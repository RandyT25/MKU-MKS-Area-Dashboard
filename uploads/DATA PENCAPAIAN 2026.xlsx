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9195" windowHeight="7290" tabRatio="500" activeTab="6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2" i="7" l="1"/>
  <c r="D83" i="7"/>
  <c r="D75" i="7"/>
  <c r="D81" i="7"/>
  <c r="D80" i="7"/>
  <c r="D79" i="7"/>
  <c r="D78" i="7"/>
  <c r="D77" i="7"/>
  <c r="D76" i="7"/>
  <c r="D74" i="7"/>
  <c r="D73" i="7"/>
  <c r="D72" i="7"/>
  <c r="D71" i="7"/>
  <c r="D70" i="7"/>
  <c r="D70" i="6"/>
  <c r="D79" i="6"/>
  <c r="E3" i="14" l="1"/>
  <c r="C3" i="14"/>
  <c r="E3" i="13"/>
  <c r="C3" i="13"/>
  <c r="E3" i="12"/>
  <c r="C3" i="12"/>
  <c r="E3" i="11"/>
  <c r="C3" i="11"/>
  <c r="E3" i="10"/>
  <c r="C3" i="10"/>
  <c r="E3" i="9"/>
  <c r="C3" i="9"/>
  <c r="E3" i="8"/>
  <c r="C3" i="8"/>
  <c r="E3" i="6"/>
  <c r="C3" i="6"/>
  <c r="E3" i="5"/>
  <c r="C3" i="5"/>
  <c r="E3" i="4"/>
  <c r="C3" i="4"/>
  <c r="E3" i="3"/>
  <c r="C3" i="3"/>
  <c r="E3" i="7"/>
  <c r="C3" i="7"/>
  <c r="N19" i="7"/>
  <c r="D93" i="14" l="1"/>
  <c r="D92" i="14"/>
  <c r="D91" i="14"/>
  <c r="D90" i="14"/>
  <c r="D89" i="14"/>
  <c r="D45" i="14"/>
  <c r="D43" i="14"/>
  <c r="D64" i="14"/>
  <c r="D63" i="14"/>
  <c r="D62" i="14"/>
  <c r="D61" i="14"/>
  <c r="D60" i="14"/>
  <c r="D59" i="14"/>
  <c r="D58" i="14"/>
  <c r="F58" i="14" s="1"/>
  <c r="D57" i="14"/>
  <c r="D56" i="14"/>
  <c r="D55" i="14"/>
  <c r="D54" i="14"/>
  <c r="D53" i="14"/>
  <c r="D52" i="14"/>
  <c r="D51" i="14"/>
  <c r="F41" i="14"/>
  <c r="D93" i="13"/>
  <c r="D92" i="13"/>
  <c r="D91" i="13"/>
  <c r="D90" i="13"/>
  <c r="D89" i="13"/>
  <c r="D45" i="13"/>
  <c r="D44" i="13"/>
  <c r="D43" i="13"/>
  <c r="D46" i="13" s="1"/>
  <c r="E64" i="13"/>
  <c r="E63" i="13"/>
  <c r="E62" i="13"/>
  <c r="E61" i="13"/>
  <c r="E60" i="13"/>
  <c r="E59" i="13"/>
  <c r="E58" i="13"/>
  <c r="E57" i="13"/>
  <c r="E65" i="13" s="1"/>
  <c r="E56" i="13"/>
  <c r="E55" i="13"/>
  <c r="E54" i="13"/>
  <c r="E53" i="13"/>
  <c r="E52" i="13"/>
  <c r="E51" i="13"/>
  <c r="D64" i="13"/>
  <c r="D63" i="13"/>
  <c r="F63" i="13" s="1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93" i="12"/>
  <c r="D92" i="12"/>
  <c r="D91" i="12"/>
  <c r="D90" i="12"/>
  <c r="D89" i="12"/>
  <c r="D45" i="12"/>
  <c r="D44" i="12"/>
  <c r="D43" i="12"/>
  <c r="E64" i="12"/>
  <c r="E63" i="12"/>
  <c r="E62" i="12"/>
  <c r="E61" i="12"/>
  <c r="E60" i="12"/>
  <c r="E59" i="12"/>
  <c r="E58" i="12"/>
  <c r="E57" i="12"/>
  <c r="E56" i="12"/>
  <c r="E55" i="12"/>
  <c r="E54" i="12"/>
  <c r="E65" i="12" s="1"/>
  <c r="E53" i="12"/>
  <c r="E52" i="12"/>
  <c r="E51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65" i="12" s="1"/>
  <c r="D51" i="12"/>
  <c r="F41" i="12"/>
  <c r="D93" i="11"/>
  <c r="D92" i="11"/>
  <c r="D91" i="11"/>
  <c r="D90" i="11"/>
  <c r="D89" i="11"/>
  <c r="D45" i="11"/>
  <c r="D44" i="11"/>
  <c r="D43" i="11"/>
  <c r="D46" i="11" s="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E51" i="11"/>
  <c r="F51" i="11" s="1"/>
  <c r="D64" i="11"/>
  <c r="D63" i="11"/>
  <c r="D62" i="11"/>
  <c r="D61" i="11"/>
  <c r="D60" i="11"/>
  <c r="D59" i="11"/>
  <c r="D58" i="11"/>
  <c r="D57" i="11"/>
  <c r="F57" i="11" s="1"/>
  <c r="D56" i="11"/>
  <c r="D55" i="11"/>
  <c r="F55" i="11" s="1"/>
  <c r="D54" i="11"/>
  <c r="D53" i="11"/>
  <c r="D52" i="11"/>
  <c r="D51" i="11"/>
  <c r="F41" i="11"/>
  <c r="D93" i="10"/>
  <c r="D92" i="10"/>
  <c r="D91" i="10"/>
  <c r="D90" i="10"/>
  <c r="D89" i="10"/>
  <c r="D45" i="10"/>
  <c r="D44" i="10"/>
  <c r="D43" i="10"/>
  <c r="E64" i="10"/>
  <c r="F64" i="10" s="1"/>
  <c r="E63" i="10"/>
  <c r="E62" i="10"/>
  <c r="E61" i="10"/>
  <c r="E60" i="10"/>
  <c r="E59" i="10"/>
  <c r="E58" i="10"/>
  <c r="E57" i="10"/>
  <c r="F57" i="10" s="1"/>
  <c r="E56" i="10"/>
  <c r="F56" i="10" s="1"/>
  <c r="E55" i="10"/>
  <c r="E54" i="10"/>
  <c r="E65" i="10" s="1"/>
  <c r="E53" i="10"/>
  <c r="E52" i="10"/>
  <c r="E51" i="10"/>
  <c r="D64" i="10"/>
  <c r="D63" i="10"/>
  <c r="F63" i="10" s="1"/>
  <c r="D62" i="10"/>
  <c r="F62" i="10" s="1"/>
  <c r="D61" i="10"/>
  <c r="D60" i="10"/>
  <c r="D59" i="10"/>
  <c r="D58" i="10"/>
  <c r="D57" i="10"/>
  <c r="D56" i="10"/>
  <c r="D55" i="10"/>
  <c r="D54" i="10"/>
  <c r="D53" i="10"/>
  <c r="D52" i="10"/>
  <c r="D65" i="10" s="1"/>
  <c r="D51" i="10"/>
  <c r="F41" i="10"/>
  <c r="D93" i="9"/>
  <c r="D92" i="9"/>
  <c r="D91" i="9"/>
  <c r="D90" i="9"/>
  <c r="D94" i="9" s="1"/>
  <c r="D89" i="9"/>
  <c r="D45" i="9"/>
  <c r="D46" i="9" s="1"/>
  <c r="D44" i="9"/>
  <c r="D43" i="9"/>
  <c r="E64" i="9"/>
  <c r="E63" i="9"/>
  <c r="E62" i="9"/>
  <c r="F62" i="9" s="1"/>
  <c r="E61" i="9"/>
  <c r="F61" i="9" s="1"/>
  <c r="E60" i="9"/>
  <c r="E59" i="9"/>
  <c r="E58" i="9"/>
  <c r="E57" i="9"/>
  <c r="E56" i="9"/>
  <c r="E55" i="9"/>
  <c r="E54" i="9"/>
  <c r="E53" i="9"/>
  <c r="E52" i="9"/>
  <c r="E51" i="9"/>
  <c r="D64" i="9"/>
  <c r="D63" i="9"/>
  <c r="D62" i="9"/>
  <c r="D61" i="9"/>
  <c r="D60" i="9"/>
  <c r="F60" i="9" s="1"/>
  <c r="D59" i="9"/>
  <c r="D58" i="9"/>
  <c r="D57" i="9"/>
  <c r="F57" i="9" s="1"/>
  <c r="D56" i="9"/>
  <c r="D55" i="9"/>
  <c r="D54" i="9"/>
  <c r="D53" i="9"/>
  <c r="D52" i="9"/>
  <c r="D51" i="9"/>
  <c r="F51" i="9" s="1"/>
  <c r="F41" i="9"/>
  <c r="D93" i="8"/>
  <c r="F93" i="8" s="1"/>
  <c r="D92" i="8"/>
  <c r="D91" i="8"/>
  <c r="D90" i="8"/>
  <c r="D89" i="8"/>
  <c r="D45" i="8"/>
  <c r="D44" i="8"/>
  <c r="D43" i="8"/>
  <c r="E64" i="8"/>
  <c r="E63" i="8"/>
  <c r="E62" i="8"/>
  <c r="E61" i="8"/>
  <c r="E60" i="8"/>
  <c r="E59" i="8"/>
  <c r="E58" i="8"/>
  <c r="E57" i="8"/>
  <c r="F57" i="8" s="1"/>
  <c r="E56" i="8"/>
  <c r="E65" i="8" s="1"/>
  <c r="E55" i="8"/>
  <c r="E54" i="8"/>
  <c r="E53" i="8"/>
  <c r="E52" i="8"/>
  <c r="E51" i="8"/>
  <c r="D64" i="8"/>
  <c r="D63" i="8"/>
  <c r="D62" i="8"/>
  <c r="F62" i="8" s="1"/>
  <c r="D61" i="8"/>
  <c r="D60" i="8"/>
  <c r="D59" i="8"/>
  <c r="D58" i="8"/>
  <c r="D57" i="8"/>
  <c r="D56" i="8"/>
  <c r="F56" i="8" s="1"/>
  <c r="D55" i="8"/>
  <c r="F55" i="8" s="1"/>
  <c r="D54" i="8"/>
  <c r="F54" i="8" s="1"/>
  <c r="D53" i="8"/>
  <c r="D52" i="8"/>
  <c r="D51" i="8"/>
  <c r="F41" i="8"/>
  <c r="D93" i="7"/>
  <c r="D92" i="7"/>
  <c r="D91" i="7"/>
  <c r="D90" i="7"/>
  <c r="D89" i="7"/>
  <c r="D45" i="7"/>
  <c r="D44" i="7"/>
  <c r="D43" i="7"/>
  <c r="E64" i="7"/>
  <c r="E63" i="7"/>
  <c r="F63" i="7" s="1"/>
  <c r="E62" i="7"/>
  <c r="E61" i="7"/>
  <c r="E60" i="7"/>
  <c r="E59" i="7"/>
  <c r="E58" i="7"/>
  <c r="E57" i="7"/>
  <c r="E56" i="7"/>
  <c r="E55" i="7"/>
  <c r="F55" i="7" s="1"/>
  <c r="E54" i="7"/>
  <c r="E53" i="7"/>
  <c r="E52" i="7"/>
  <c r="E51" i="7"/>
  <c r="D64" i="7"/>
  <c r="D63" i="7"/>
  <c r="D62" i="7"/>
  <c r="D61" i="7"/>
  <c r="F61" i="7" s="1"/>
  <c r="D60" i="7"/>
  <c r="F60" i="7" s="1"/>
  <c r="D59" i="7"/>
  <c r="D58" i="7"/>
  <c r="D57" i="7"/>
  <c r="D56" i="7"/>
  <c r="D55" i="7"/>
  <c r="D54" i="7"/>
  <c r="D53" i="7"/>
  <c r="F53" i="7" s="1"/>
  <c r="D52" i="7"/>
  <c r="F52" i="7" s="1"/>
  <c r="D51" i="7"/>
  <c r="F41" i="7"/>
  <c r="D94" i="14"/>
  <c r="E93" i="14"/>
  <c r="F93" i="14" s="1"/>
  <c r="E92" i="14"/>
  <c r="F92" i="14" s="1"/>
  <c r="G90" i="14"/>
  <c r="F90" i="14"/>
  <c r="E90" i="14"/>
  <c r="E89" i="14"/>
  <c r="F89" i="14" s="1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E65" i="14"/>
  <c r="D65" i="14"/>
  <c r="F64" i="14"/>
  <c r="F63" i="14"/>
  <c r="F62" i="14"/>
  <c r="F61" i="14"/>
  <c r="F60" i="14"/>
  <c r="H59" i="14"/>
  <c r="L59" i="14" s="1"/>
  <c r="G59" i="14"/>
  <c r="K59" i="14" s="1"/>
  <c r="F59" i="14"/>
  <c r="F57" i="14"/>
  <c r="F56" i="14"/>
  <c r="F55" i="14"/>
  <c r="F54" i="14"/>
  <c r="H53" i="14"/>
  <c r="L53" i="14" s="1"/>
  <c r="G53" i="14"/>
  <c r="K53" i="14" s="1"/>
  <c r="F53" i="14"/>
  <c r="F52" i="14"/>
  <c r="F51" i="14"/>
  <c r="D46" i="14"/>
  <c r="M20" i="14"/>
  <c r="M21" i="14" s="1"/>
  <c r="N19" i="14"/>
  <c r="H64" i="14" s="1"/>
  <c r="L64" i="14" s="1"/>
  <c r="M19" i="14"/>
  <c r="G64" i="14" s="1"/>
  <c r="N18" i="14"/>
  <c r="H63" i="14" s="1"/>
  <c r="L63" i="14" s="1"/>
  <c r="M18" i="14"/>
  <c r="G63" i="14" s="1"/>
  <c r="K63" i="14" s="1"/>
  <c r="N17" i="14"/>
  <c r="H62" i="14" s="1"/>
  <c r="L62" i="14" s="1"/>
  <c r="M17" i="14"/>
  <c r="G62" i="14" s="1"/>
  <c r="N16" i="14"/>
  <c r="H61" i="14" s="1"/>
  <c r="L61" i="14" s="1"/>
  <c r="M16" i="14"/>
  <c r="G61" i="14" s="1"/>
  <c r="N15" i="14"/>
  <c r="H60" i="14" s="1"/>
  <c r="L60" i="14" s="1"/>
  <c r="M15" i="14"/>
  <c r="G60" i="14" s="1"/>
  <c r="N14" i="14"/>
  <c r="H58" i="14" s="1"/>
  <c r="L58" i="14" s="1"/>
  <c r="M14" i="14"/>
  <c r="G58" i="14" s="1"/>
  <c r="N13" i="14"/>
  <c r="H57" i="14" s="1"/>
  <c r="L57" i="14" s="1"/>
  <c r="M13" i="14"/>
  <c r="G57" i="14" s="1"/>
  <c r="N12" i="14"/>
  <c r="H56" i="14" s="1"/>
  <c r="L56" i="14" s="1"/>
  <c r="M12" i="14"/>
  <c r="G56" i="14" s="1"/>
  <c r="N11" i="14"/>
  <c r="H55" i="14" s="1"/>
  <c r="L55" i="14" s="1"/>
  <c r="M11" i="14"/>
  <c r="G55" i="14" s="1"/>
  <c r="K55" i="14" s="1"/>
  <c r="N10" i="14"/>
  <c r="H54" i="14" s="1"/>
  <c r="L54" i="14" s="1"/>
  <c r="M10" i="14"/>
  <c r="G54" i="14" s="1"/>
  <c r="N9" i="14"/>
  <c r="H52" i="14" s="1"/>
  <c r="L52" i="14" s="1"/>
  <c r="M9" i="14"/>
  <c r="G52" i="14" s="1"/>
  <c r="N8" i="14"/>
  <c r="M8" i="14"/>
  <c r="G51" i="14" s="1"/>
  <c r="N7" i="14"/>
  <c r="M7" i="14"/>
  <c r="D94" i="13"/>
  <c r="E93" i="13"/>
  <c r="G93" i="13" s="1"/>
  <c r="E92" i="13"/>
  <c r="E90" i="13"/>
  <c r="E89" i="13"/>
  <c r="F89" i="13" s="1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5" i="13"/>
  <c r="F64" i="13"/>
  <c r="F62" i="13"/>
  <c r="F61" i="13"/>
  <c r="F60" i="13"/>
  <c r="H59" i="13"/>
  <c r="L59" i="13" s="1"/>
  <c r="G59" i="13"/>
  <c r="F59" i="13"/>
  <c r="F58" i="13"/>
  <c r="F57" i="13"/>
  <c r="F56" i="13"/>
  <c r="F54" i="13"/>
  <c r="H53" i="13"/>
  <c r="L53" i="13" s="1"/>
  <c r="G53" i="13"/>
  <c r="F53" i="13"/>
  <c r="F52" i="13"/>
  <c r="F51" i="13"/>
  <c r="M20" i="13"/>
  <c r="M21" i="13" s="1"/>
  <c r="E45" i="13" s="1"/>
  <c r="N19" i="13"/>
  <c r="H64" i="13" s="1"/>
  <c r="L64" i="13" s="1"/>
  <c r="M19" i="13"/>
  <c r="G64" i="13" s="1"/>
  <c r="N18" i="13"/>
  <c r="H63" i="13" s="1"/>
  <c r="L63" i="13" s="1"/>
  <c r="M18" i="13"/>
  <c r="G63" i="13" s="1"/>
  <c r="N17" i="13"/>
  <c r="H62" i="13" s="1"/>
  <c r="L62" i="13" s="1"/>
  <c r="M17" i="13"/>
  <c r="G62" i="13" s="1"/>
  <c r="N16" i="13"/>
  <c r="H61" i="13" s="1"/>
  <c r="L61" i="13" s="1"/>
  <c r="M16" i="13"/>
  <c r="G61" i="13" s="1"/>
  <c r="N15" i="13"/>
  <c r="H60" i="13" s="1"/>
  <c r="M15" i="13"/>
  <c r="G60" i="13" s="1"/>
  <c r="K60" i="13" s="1"/>
  <c r="N14" i="13"/>
  <c r="H58" i="13" s="1"/>
  <c r="L58" i="13" s="1"/>
  <c r="M14" i="13"/>
  <c r="G58" i="13" s="1"/>
  <c r="N13" i="13"/>
  <c r="H57" i="13" s="1"/>
  <c r="L57" i="13" s="1"/>
  <c r="M13" i="13"/>
  <c r="G57" i="13" s="1"/>
  <c r="N12" i="13"/>
  <c r="H56" i="13" s="1"/>
  <c r="L56" i="13" s="1"/>
  <c r="M12" i="13"/>
  <c r="G56" i="13" s="1"/>
  <c r="N11" i="13"/>
  <c r="H55" i="13" s="1"/>
  <c r="L55" i="13" s="1"/>
  <c r="M11" i="13"/>
  <c r="G55" i="13" s="1"/>
  <c r="N10" i="13"/>
  <c r="H54" i="13" s="1"/>
  <c r="L54" i="13" s="1"/>
  <c r="M10" i="13"/>
  <c r="G54" i="13" s="1"/>
  <c r="N9" i="13"/>
  <c r="H52" i="13" s="1"/>
  <c r="L52" i="13" s="1"/>
  <c r="M9" i="13"/>
  <c r="G52" i="13" s="1"/>
  <c r="N8" i="13"/>
  <c r="H51" i="13" s="1"/>
  <c r="M8" i="13"/>
  <c r="G51" i="13" s="1"/>
  <c r="N7" i="13"/>
  <c r="M7" i="13"/>
  <c r="D94" i="12"/>
  <c r="E93" i="12"/>
  <c r="F93" i="12" s="1"/>
  <c r="E92" i="12"/>
  <c r="G92" i="12" s="1"/>
  <c r="E90" i="12"/>
  <c r="G90" i="12" s="1"/>
  <c r="E89" i="12"/>
  <c r="F89" i="12" s="1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F64" i="12"/>
  <c r="F63" i="12"/>
  <c r="F62" i="12"/>
  <c r="F61" i="12"/>
  <c r="F60" i="12"/>
  <c r="H59" i="12"/>
  <c r="L59" i="12" s="1"/>
  <c r="G59" i="12"/>
  <c r="F59" i="12"/>
  <c r="F58" i="12"/>
  <c r="F57" i="12"/>
  <c r="F56" i="12"/>
  <c r="F55" i="12"/>
  <c r="F54" i="12"/>
  <c r="H53" i="12"/>
  <c r="L53" i="12" s="1"/>
  <c r="G53" i="12"/>
  <c r="K53" i="12" s="1"/>
  <c r="F53" i="12"/>
  <c r="F51" i="12"/>
  <c r="D46" i="12"/>
  <c r="M20" i="12"/>
  <c r="M21" i="12" s="1"/>
  <c r="N19" i="12"/>
  <c r="H64" i="12" s="1"/>
  <c r="L64" i="12" s="1"/>
  <c r="M19" i="12"/>
  <c r="G64" i="12" s="1"/>
  <c r="K64" i="12" s="1"/>
  <c r="N18" i="12"/>
  <c r="H63" i="12" s="1"/>
  <c r="L63" i="12" s="1"/>
  <c r="M18" i="12"/>
  <c r="G63" i="12" s="1"/>
  <c r="N17" i="12"/>
  <c r="H62" i="12" s="1"/>
  <c r="M17" i="12"/>
  <c r="G62" i="12" s="1"/>
  <c r="N16" i="12"/>
  <c r="H61" i="12" s="1"/>
  <c r="L61" i="12" s="1"/>
  <c r="M16" i="12"/>
  <c r="G61" i="12" s="1"/>
  <c r="K61" i="12" s="1"/>
  <c r="N15" i="12"/>
  <c r="H60" i="12" s="1"/>
  <c r="L60" i="12" s="1"/>
  <c r="M15" i="12"/>
  <c r="G60" i="12" s="1"/>
  <c r="N14" i="12"/>
  <c r="H58" i="12" s="1"/>
  <c r="M14" i="12"/>
  <c r="G58" i="12" s="1"/>
  <c r="K58" i="12" s="1"/>
  <c r="N13" i="12"/>
  <c r="H57" i="12" s="1"/>
  <c r="L57" i="12" s="1"/>
  <c r="M13" i="12"/>
  <c r="G57" i="12" s="1"/>
  <c r="N12" i="12"/>
  <c r="H56" i="12" s="1"/>
  <c r="L56" i="12" s="1"/>
  <c r="M12" i="12"/>
  <c r="G56" i="12" s="1"/>
  <c r="K56" i="12" s="1"/>
  <c r="N11" i="12"/>
  <c r="H55" i="12" s="1"/>
  <c r="L55" i="12" s="1"/>
  <c r="M11" i="12"/>
  <c r="G55" i="12" s="1"/>
  <c r="K55" i="12" s="1"/>
  <c r="N10" i="12"/>
  <c r="M10" i="12"/>
  <c r="G54" i="12" s="1"/>
  <c r="N9" i="12"/>
  <c r="H52" i="12" s="1"/>
  <c r="L52" i="12" s="1"/>
  <c r="M9" i="12"/>
  <c r="G52" i="12" s="1"/>
  <c r="N8" i="12"/>
  <c r="H51" i="12" s="1"/>
  <c r="L51" i="12" s="1"/>
  <c r="M8" i="12"/>
  <c r="G51" i="12" s="1"/>
  <c r="N7" i="12"/>
  <c r="M7" i="12"/>
  <c r="D94" i="11"/>
  <c r="E93" i="11"/>
  <c r="E92" i="11"/>
  <c r="G92" i="11" s="1"/>
  <c r="E90" i="11"/>
  <c r="F90" i="11" s="1"/>
  <c r="E89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E65" i="11"/>
  <c r="D65" i="11"/>
  <c r="F64" i="11"/>
  <c r="F63" i="11"/>
  <c r="F62" i="11"/>
  <c r="F61" i="11"/>
  <c r="F60" i="11"/>
  <c r="H59" i="11"/>
  <c r="G59" i="11"/>
  <c r="K59" i="11" s="1"/>
  <c r="F59" i="11"/>
  <c r="F58" i="11"/>
  <c r="F56" i="11"/>
  <c r="F54" i="11"/>
  <c r="H53" i="11"/>
  <c r="L53" i="11" s="1"/>
  <c r="G53" i="11"/>
  <c r="F53" i="11"/>
  <c r="F52" i="11"/>
  <c r="M20" i="11"/>
  <c r="M21" i="11" s="1"/>
  <c r="N19" i="11"/>
  <c r="H64" i="11" s="1"/>
  <c r="L64" i="11" s="1"/>
  <c r="M19" i="11"/>
  <c r="G64" i="11" s="1"/>
  <c r="N18" i="11"/>
  <c r="H63" i="11" s="1"/>
  <c r="L63" i="11" s="1"/>
  <c r="M18" i="11"/>
  <c r="G63" i="11" s="1"/>
  <c r="K63" i="11" s="1"/>
  <c r="N17" i="11"/>
  <c r="H62" i="11" s="1"/>
  <c r="L62" i="11" s="1"/>
  <c r="M17" i="11"/>
  <c r="G62" i="11" s="1"/>
  <c r="K62" i="11" s="1"/>
  <c r="N16" i="11"/>
  <c r="H61" i="11" s="1"/>
  <c r="L61" i="11" s="1"/>
  <c r="M16" i="11"/>
  <c r="G61" i="11" s="1"/>
  <c r="N15" i="11"/>
  <c r="H60" i="11" s="1"/>
  <c r="L60" i="11" s="1"/>
  <c r="M15" i="11"/>
  <c r="G60" i="11" s="1"/>
  <c r="N14" i="11"/>
  <c r="H58" i="11" s="1"/>
  <c r="L58" i="11" s="1"/>
  <c r="M14" i="11"/>
  <c r="G58" i="11" s="1"/>
  <c r="K58" i="11" s="1"/>
  <c r="N13" i="11"/>
  <c r="H57" i="11" s="1"/>
  <c r="L57" i="11" s="1"/>
  <c r="M13" i="11"/>
  <c r="G57" i="11" s="1"/>
  <c r="N12" i="11"/>
  <c r="H56" i="11" s="1"/>
  <c r="L56" i="11" s="1"/>
  <c r="M12" i="11"/>
  <c r="G56" i="11" s="1"/>
  <c r="N11" i="11"/>
  <c r="H55" i="11" s="1"/>
  <c r="L55" i="11" s="1"/>
  <c r="M11" i="11"/>
  <c r="G55" i="11" s="1"/>
  <c r="N10" i="11"/>
  <c r="H54" i="11" s="1"/>
  <c r="L54" i="11" s="1"/>
  <c r="M10" i="11"/>
  <c r="G54" i="11" s="1"/>
  <c r="K54" i="11" s="1"/>
  <c r="N9" i="11"/>
  <c r="H52" i="11" s="1"/>
  <c r="L52" i="11" s="1"/>
  <c r="M9" i="11"/>
  <c r="G52" i="11" s="1"/>
  <c r="N8" i="11"/>
  <c r="M8" i="11"/>
  <c r="G51" i="11" s="1"/>
  <c r="N7" i="11"/>
  <c r="M7" i="11"/>
  <c r="D94" i="10"/>
  <c r="E93" i="10"/>
  <c r="G93" i="10" s="1"/>
  <c r="E92" i="10"/>
  <c r="E90" i="10"/>
  <c r="G90" i="10" s="1"/>
  <c r="E89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F61" i="10"/>
  <c r="F60" i="10"/>
  <c r="H59" i="10"/>
  <c r="L59" i="10" s="1"/>
  <c r="G59" i="10"/>
  <c r="F59" i="10"/>
  <c r="F58" i="10"/>
  <c r="F55" i="10"/>
  <c r="F54" i="10"/>
  <c r="H53" i="10"/>
  <c r="L53" i="10" s="1"/>
  <c r="G53" i="10"/>
  <c r="K53" i="10" s="1"/>
  <c r="F53" i="10"/>
  <c r="F51" i="10"/>
  <c r="D46" i="10"/>
  <c r="M20" i="10"/>
  <c r="M21" i="10" s="1"/>
  <c r="E45" i="10" s="1"/>
  <c r="F45" i="10" s="1"/>
  <c r="N19" i="10"/>
  <c r="H64" i="10" s="1"/>
  <c r="L64" i="10" s="1"/>
  <c r="M19" i="10"/>
  <c r="G64" i="10" s="1"/>
  <c r="K64" i="10" s="1"/>
  <c r="N18" i="10"/>
  <c r="H63" i="10" s="1"/>
  <c r="L63" i="10" s="1"/>
  <c r="M18" i="10"/>
  <c r="G63" i="10" s="1"/>
  <c r="N17" i="10"/>
  <c r="H62" i="10" s="1"/>
  <c r="M17" i="10"/>
  <c r="G62" i="10" s="1"/>
  <c r="N16" i="10"/>
  <c r="H61" i="10" s="1"/>
  <c r="L61" i="10" s="1"/>
  <c r="M16" i="10"/>
  <c r="G61" i="10" s="1"/>
  <c r="N15" i="10"/>
  <c r="H60" i="10" s="1"/>
  <c r="L60" i="10" s="1"/>
  <c r="M15" i="10"/>
  <c r="G60" i="10" s="1"/>
  <c r="N14" i="10"/>
  <c r="H58" i="10" s="1"/>
  <c r="L58" i="10" s="1"/>
  <c r="M14" i="10"/>
  <c r="G58" i="10" s="1"/>
  <c r="N13" i="10"/>
  <c r="H57" i="10" s="1"/>
  <c r="M13" i="10"/>
  <c r="G57" i="10" s="1"/>
  <c r="N12" i="10"/>
  <c r="H56" i="10" s="1"/>
  <c r="L56" i="10" s="1"/>
  <c r="M12" i="10"/>
  <c r="G56" i="10" s="1"/>
  <c r="N11" i="10"/>
  <c r="H55" i="10" s="1"/>
  <c r="L55" i="10" s="1"/>
  <c r="M11" i="10"/>
  <c r="G55" i="10" s="1"/>
  <c r="N10" i="10"/>
  <c r="H54" i="10" s="1"/>
  <c r="M10" i="10"/>
  <c r="G54" i="10" s="1"/>
  <c r="N9" i="10"/>
  <c r="H52" i="10" s="1"/>
  <c r="L52" i="10" s="1"/>
  <c r="M9" i="10"/>
  <c r="G52" i="10" s="1"/>
  <c r="N8" i="10"/>
  <c r="M8" i="10"/>
  <c r="G51" i="10" s="1"/>
  <c r="N7" i="10"/>
  <c r="M7" i="10"/>
  <c r="E93" i="9"/>
  <c r="G93" i="9" s="1"/>
  <c r="E92" i="9"/>
  <c r="G92" i="9" s="1"/>
  <c r="E90" i="9"/>
  <c r="G90" i="9" s="1"/>
  <c r="E89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E65" i="9"/>
  <c r="D65" i="9"/>
  <c r="F64" i="9"/>
  <c r="F63" i="9"/>
  <c r="H59" i="9"/>
  <c r="G59" i="9"/>
  <c r="K59" i="9" s="1"/>
  <c r="F59" i="9"/>
  <c r="F58" i="9"/>
  <c r="F56" i="9"/>
  <c r="F55" i="9"/>
  <c r="F54" i="9"/>
  <c r="H53" i="9"/>
  <c r="L53" i="9" s="1"/>
  <c r="G53" i="9"/>
  <c r="F53" i="9"/>
  <c r="F52" i="9"/>
  <c r="M20" i="9"/>
  <c r="M21" i="9" s="1"/>
  <c r="E45" i="9" s="1"/>
  <c r="N19" i="9"/>
  <c r="H64" i="9" s="1"/>
  <c r="L64" i="9" s="1"/>
  <c r="M19" i="9"/>
  <c r="G64" i="9" s="1"/>
  <c r="K64" i="9" s="1"/>
  <c r="N18" i="9"/>
  <c r="H63" i="9" s="1"/>
  <c r="L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L60" i="9" s="1"/>
  <c r="M15" i="9"/>
  <c r="G60" i="9" s="1"/>
  <c r="N14" i="9"/>
  <c r="H58" i="9" s="1"/>
  <c r="L58" i="9" s="1"/>
  <c r="M14" i="9"/>
  <c r="G58" i="9" s="1"/>
  <c r="K58" i="9" s="1"/>
  <c r="N13" i="9"/>
  <c r="H57" i="9" s="1"/>
  <c r="L57" i="9" s="1"/>
  <c r="M13" i="9"/>
  <c r="G57" i="9" s="1"/>
  <c r="N12" i="9"/>
  <c r="H56" i="9" s="1"/>
  <c r="L56" i="9" s="1"/>
  <c r="M12" i="9"/>
  <c r="G56" i="9" s="1"/>
  <c r="N11" i="9"/>
  <c r="H55" i="9" s="1"/>
  <c r="L55" i="9" s="1"/>
  <c r="M11" i="9"/>
  <c r="G55" i="9" s="1"/>
  <c r="K55" i="9" s="1"/>
  <c r="N10" i="9"/>
  <c r="H54" i="9" s="1"/>
  <c r="L54" i="9" s="1"/>
  <c r="M10" i="9"/>
  <c r="G54" i="9" s="1"/>
  <c r="N9" i="9"/>
  <c r="M9" i="9"/>
  <c r="G52" i="9" s="1"/>
  <c r="N8" i="9"/>
  <c r="H51" i="9" s="1"/>
  <c r="L51" i="9" s="1"/>
  <c r="M8" i="9"/>
  <c r="G51" i="9" s="1"/>
  <c r="N7" i="9"/>
  <c r="M7" i="9"/>
  <c r="D94" i="8"/>
  <c r="E93" i="8"/>
  <c r="E92" i="8"/>
  <c r="G92" i="8" s="1"/>
  <c r="E90" i="8"/>
  <c r="G90" i="8" s="1"/>
  <c r="E89" i="8"/>
  <c r="G89" i="8" s="1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F64" i="8"/>
  <c r="F63" i="8"/>
  <c r="F61" i="8"/>
  <c r="F60" i="8"/>
  <c r="H59" i="8"/>
  <c r="G59" i="8"/>
  <c r="K59" i="8" s="1"/>
  <c r="F59" i="8"/>
  <c r="F58" i="8"/>
  <c r="K57" i="8"/>
  <c r="H53" i="8"/>
  <c r="L53" i="8" s="1"/>
  <c r="G53" i="8"/>
  <c r="F53" i="8"/>
  <c r="F52" i="8"/>
  <c r="F51" i="8"/>
  <c r="M20" i="8"/>
  <c r="M21" i="8" s="1"/>
  <c r="E45" i="8" s="1"/>
  <c r="F45" i="8" s="1"/>
  <c r="N19" i="8"/>
  <c r="H64" i="8" s="1"/>
  <c r="M19" i="8"/>
  <c r="G64" i="8" s="1"/>
  <c r="N18" i="8"/>
  <c r="H63" i="8" s="1"/>
  <c r="L63" i="8" s="1"/>
  <c r="M18" i="8"/>
  <c r="G63" i="8" s="1"/>
  <c r="N17" i="8"/>
  <c r="H62" i="8" s="1"/>
  <c r="L62" i="8" s="1"/>
  <c r="M17" i="8"/>
  <c r="G62" i="8" s="1"/>
  <c r="K62" i="8" s="1"/>
  <c r="N16" i="8"/>
  <c r="H61" i="8" s="1"/>
  <c r="L61" i="8" s="1"/>
  <c r="M16" i="8"/>
  <c r="G61" i="8" s="1"/>
  <c r="K61" i="8" s="1"/>
  <c r="N15" i="8"/>
  <c r="H60" i="8" s="1"/>
  <c r="L60" i="8" s="1"/>
  <c r="M15" i="8"/>
  <c r="G60" i="8" s="1"/>
  <c r="N14" i="8"/>
  <c r="H58" i="8" s="1"/>
  <c r="M14" i="8"/>
  <c r="G58" i="8" s="1"/>
  <c r="K58" i="8" s="1"/>
  <c r="N13" i="8"/>
  <c r="H57" i="8" s="1"/>
  <c r="M13" i="8"/>
  <c r="G57" i="8" s="1"/>
  <c r="N12" i="8"/>
  <c r="H56" i="8" s="1"/>
  <c r="L56" i="8" s="1"/>
  <c r="M12" i="8"/>
  <c r="G56" i="8" s="1"/>
  <c r="N11" i="8"/>
  <c r="H55" i="8" s="1"/>
  <c r="L55" i="8" s="1"/>
  <c r="M11" i="8"/>
  <c r="G55" i="8" s="1"/>
  <c r="N10" i="8"/>
  <c r="H54" i="8" s="1"/>
  <c r="L54" i="8" s="1"/>
  <c r="M10" i="8"/>
  <c r="G54" i="8" s="1"/>
  <c r="N9" i="8"/>
  <c r="M9" i="8"/>
  <c r="G52" i="8" s="1"/>
  <c r="N8" i="8"/>
  <c r="H51" i="8" s="1"/>
  <c r="M8" i="8"/>
  <c r="G51" i="8" s="1"/>
  <c r="N7" i="8"/>
  <c r="M7" i="8"/>
  <c r="E93" i="7"/>
  <c r="G92" i="7"/>
  <c r="E92" i="7"/>
  <c r="F92" i="7" s="1"/>
  <c r="E90" i="7"/>
  <c r="F90" i="7" s="1"/>
  <c r="E89" i="7"/>
  <c r="H59" i="7"/>
  <c r="G59" i="7"/>
  <c r="F59" i="7"/>
  <c r="F58" i="7"/>
  <c r="H53" i="7"/>
  <c r="G53" i="7"/>
  <c r="K53" i="7" s="1"/>
  <c r="M20" i="7"/>
  <c r="M21" i="7" s="1"/>
  <c r="E45" i="7" s="1"/>
  <c r="H64" i="7"/>
  <c r="M19" i="7"/>
  <c r="G64" i="7" s="1"/>
  <c r="N18" i="7"/>
  <c r="H63" i="7" s="1"/>
  <c r="M18" i="7"/>
  <c r="G63" i="7" s="1"/>
  <c r="K63" i="7" s="1"/>
  <c r="N17" i="7"/>
  <c r="H62" i="7" s="1"/>
  <c r="L62" i="7" s="1"/>
  <c r="M17" i="7"/>
  <c r="G62" i="7" s="1"/>
  <c r="K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L57" i="7" s="1"/>
  <c r="M13" i="7"/>
  <c r="G57" i="7" s="1"/>
  <c r="N12" i="7"/>
  <c r="H56" i="7" s="1"/>
  <c r="M12" i="7"/>
  <c r="G56" i="7" s="1"/>
  <c r="N11" i="7"/>
  <c r="M11" i="7"/>
  <c r="G55" i="7" s="1"/>
  <c r="K55" i="7" s="1"/>
  <c r="N10" i="7"/>
  <c r="H54" i="7" s="1"/>
  <c r="M10" i="7"/>
  <c r="G54" i="7" s="1"/>
  <c r="N9" i="7"/>
  <c r="H52" i="7" s="1"/>
  <c r="L52" i="7" s="1"/>
  <c r="M9" i="7"/>
  <c r="G52" i="7" s="1"/>
  <c r="N8" i="7"/>
  <c r="H51" i="7" s="1"/>
  <c r="M8" i="7"/>
  <c r="G51" i="7" s="1"/>
  <c r="N7" i="7"/>
  <c r="M7" i="7"/>
  <c r="G59" i="6"/>
  <c r="G53" i="6"/>
  <c r="D78" i="6"/>
  <c r="D72" i="6"/>
  <c r="H59" i="6"/>
  <c r="H53" i="6"/>
  <c r="D59" i="6"/>
  <c r="D53" i="6"/>
  <c r="D43" i="6"/>
  <c r="D44" i="6"/>
  <c r="D83" i="6"/>
  <c r="D82" i="6"/>
  <c r="D81" i="6"/>
  <c r="D80" i="6"/>
  <c r="D77" i="6"/>
  <c r="D76" i="6"/>
  <c r="D74" i="6"/>
  <c r="D73" i="6"/>
  <c r="D7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G65" i="3" s="1"/>
  <c r="G57" i="3"/>
  <c r="P20" i="3"/>
  <c r="P21" i="3" s="1"/>
  <c r="Q19" i="3"/>
  <c r="H60" i="3" s="1"/>
  <c r="P19" i="3"/>
  <c r="G60" i="3" s="1"/>
  <c r="Q18" i="3"/>
  <c r="H59" i="3" s="1"/>
  <c r="L59" i="3" s="1"/>
  <c r="P18" i="3"/>
  <c r="G59" i="3" s="1"/>
  <c r="Q17" i="3"/>
  <c r="H58" i="3" s="1"/>
  <c r="P17" i="3"/>
  <c r="G58" i="3" s="1"/>
  <c r="Q16" i="3"/>
  <c r="H57" i="3" s="1"/>
  <c r="P16" i="3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L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D46" i="8" l="1"/>
  <c r="D65" i="8"/>
  <c r="K63" i="8"/>
  <c r="L59" i="9"/>
  <c r="K62" i="10"/>
  <c r="G90" i="11"/>
  <c r="K55" i="13"/>
  <c r="G89" i="13"/>
  <c r="F62" i="7"/>
  <c r="L59" i="8"/>
  <c r="L61" i="9"/>
  <c r="L57" i="10"/>
  <c r="F52" i="12"/>
  <c r="G92" i="14"/>
  <c r="H92" i="14" s="1"/>
  <c r="G65" i="7"/>
  <c r="E43" i="7" s="1"/>
  <c r="G43" i="7" s="1"/>
  <c r="H43" i="7" s="1"/>
  <c r="K64" i="8"/>
  <c r="F93" i="9"/>
  <c r="K54" i="8"/>
  <c r="F89" i="8"/>
  <c r="K52" i="10"/>
  <c r="L59" i="11"/>
  <c r="F54" i="7"/>
  <c r="L52" i="3"/>
  <c r="G93" i="7"/>
  <c r="L58" i="8"/>
  <c r="L62" i="10"/>
  <c r="F52" i="10"/>
  <c r="L62" i="12"/>
  <c r="K58" i="3"/>
  <c r="F54" i="3"/>
  <c r="L61" i="7"/>
  <c r="L64" i="8"/>
  <c r="G93" i="8"/>
  <c r="L62" i="9"/>
  <c r="L54" i="10"/>
  <c r="G89" i="12"/>
  <c r="F57" i="7"/>
  <c r="K56" i="8"/>
  <c r="I54" i="9"/>
  <c r="J54" i="9" s="1"/>
  <c r="I63" i="9"/>
  <c r="J63" i="9" s="1"/>
  <c r="I55" i="10"/>
  <c r="J55" i="10" s="1"/>
  <c r="I60" i="10"/>
  <c r="J60" i="10" s="1"/>
  <c r="L53" i="7"/>
  <c r="G93" i="12"/>
  <c r="H93" i="12" s="1"/>
  <c r="F68" i="3"/>
  <c r="F60" i="3"/>
  <c r="L54" i="7"/>
  <c r="L63" i="7"/>
  <c r="G66" i="3"/>
  <c r="H66" i="3" s="1"/>
  <c r="K60" i="7"/>
  <c r="K59" i="6"/>
  <c r="L60" i="7"/>
  <c r="L64" i="7"/>
  <c r="I62" i="9"/>
  <c r="M62" i="9" s="1"/>
  <c r="K60" i="10"/>
  <c r="F65" i="14"/>
  <c r="E65" i="7"/>
  <c r="I51" i="13"/>
  <c r="I61" i="13"/>
  <c r="D94" i="7"/>
  <c r="I55" i="8"/>
  <c r="M55" i="8" s="1"/>
  <c r="F92" i="12"/>
  <c r="F65" i="13"/>
  <c r="K63" i="9"/>
  <c r="F90" i="8"/>
  <c r="I56" i="9"/>
  <c r="F92" i="11"/>
  <c r="I59" i="14"/>
  <c r="M59" i="14" s="1"/>
  <c r="N59" i="14" s="1"/>
  <c r="E44" i="10"/>
  <c r="G44" i="10" s="1"/>
  <c r="H44" i="10" s="1"/>
  <c r="E44" i="14"/>
  <c r="G44" i="14" s="1"/>
  <c r="H44" i="14" s="1"/>
  <c r="F56" i="7"/>
  <c r="F64" i="7"/>
  <c r="D84" i="7"/>
  <c r="H55" i="7"/>
  <c r="L55" i="7" s="1"/>
  <c r="E44" i="7"/>
  <c r="I54" i="7"/>
  <c r="J54" i="7" s="1"/>
  <c r="I52" i="7"/>
  <c r="M52" i="7" s="1"/>
  <c r="N52" i="7" s="1"/>
  <c r="I61" i="7"/>
  <c r="J61" i="7" s="1"/>
  <c r="G90" i="7"/>
  <c r="H90" i="7" s="1"/>
  <c r="L59" i="7"/>
  <c r="F89" i="7"/>
  <c r="D46" i="7"/>
  <c r="D65" i="7"/>
  <c r="K56" i="7"/>
  <c r="F51" i="7"/>
  <c r="L58" i="7"/>
  <c r="K64" i="7"/>
  <c r="K57" i="7"/>
  <c r="H90" i="12"/>
  <c r="L60" i="13"/>
  <c r="I60" i="13"/>
  <c r="J60" i="13" s="1"/>
  <c r="I55" i="11"/>
  <c r="K55" i="11"/>
  <c r="K51" i="9"/>
  <c r="I51" i="9"/>
  <c r="G45" i="9"/>
  <c r="H45" i="9" s="1"/>
  <c r="F45" i="9"/>
  <c r="I53" i="7"/>
  <c r="J53" i="7" s="1"/>
  <c r="K54" i="7"/>
  <c r="D84" i="8"/>
  <c r="H51" i="10"/>
  <c r="L51" i="10" s="1"/>
  <c r="L65" i="10" s="1"/>
  <c r="E44" i="13"/>
  <c r="G44" i="13" s="1"/>
  <c r="H44" i="13" s="1"/>
  <c r="K50" i="3"/>
  <c r="K49" i="3"/>
  <c r="I62" i="7"/>
  <c r="J62" i="7" s="1"/>
  <c r="E44" i="8"/>
  <c r="G44" i="8" s="1"/>
  <c r="H44" i="8" s="1"/>
  <c r="E91" i="9"/>
  <c r="F91" i="9" s="1"/>
  <c r="I55" i="9"/>
  <c r="J55" i="9" s="1"/>
  <c r="I64" i="9"/>
  <c r="M64" i="9" s="1"/>
  <c r="N64" i="9" s="1"/>
  <c r="F65" i="10"/>
  <c r="F93" i="10"/>
  <c r="I59" i="11"/>
  <c r="J59" i="11" s="1"/>
  <c r="I63" i="11"/>
  <c r="I53" i="14"/>
  <c r="M53" i="14" s="1"/>
  <c r="N53" i="14" s="1"/>
  <c r="H93" i="13"/>
  <c r="F66" i="3"/>
  <c r="K57" i="3"/>
  <c r="I56" i="10"/>
  <c r="J56" i="10" s="1"/>
  <c r="I59" i="12"/>
  <c r="J59" i="12" s="1"/>
  <c r="K53" i="3"/>
  <c r="I64" i="11"/>
  <c r="J64" i="11" s="1"/>
  <c r="D84" i="14"/>
  <c r="H92" i="11"/>
  <c r="F92" i="8"/>
  <c r="I59" i="9"/>
  <c r="J59" i="9" s="1"/>
  <c r="I57" i="10"/>
  <c r="J57" i="10" s="1"/>
  <c r="G45" i="10"/>
  <c r="I58" i="11"/>
  <c r="M58" i="11" s="1"/>
  <c r="N58" i="11" s="1"/>
  <c r="D84" i="11"/>
  <c r="I53" i="12"/>
  <c r="M53" i="12" s="1"/>
  <c r="N53" i="12" s="1"/>
  <c r="F93" i="13"/>
  <c r="H93" i="10"/>
  <c r="I63" i="7"/>
  <c r="M63" i="7" s="1"/>
  <c r="N63" i="7" s="1"/>
  <c r="K54" i="9"/>
  <c r="F90" i="12"/>
  <c r="H90" i="9"/>
  <c r="I56" i="8"/>
  <c r="J56" i="8" s="1"/>
  <c r="H52" i="8"/>
  <c r="L52" i="8" s="1"/>
  <c r="E44" i="12"/>
  <c r="D84" i="13"/>
  <c r="H92" i="8"/>
  <c r="I53" i="6"/>
  <c r="G45" i="8"/>
  <c r="I53" i="10"/>
  <c r="K56" i="10"/>
  <c r="D84" i="10"/>
  <c r="H54" i="12"/>
  <c r="L54" i="12" s="1"/>
  <c r="D84" i="12"/>
  <c r="H93" i="7"/>
  <c r="H93" i="9"/>
  <c r="L53" i="6"/>
  <c r="L59" i="6"/>
  <c r="H89" i="13"/>
  <c r="D84" i="6"/>
  <c r="H92" i="7"/>
  <c r="N62" i="9"/>
  <c r="H92" i="9"/>
  <c r="H90" i="11"/>
  <c r="N55" i="8"/>
  <c r="H89" i="8"/>
  <c r="H93" i="8"/>
  <c r="H45" i="8"/>
  <c r="H90" i="8"/>
  <c r="H45" i="10"/>
  <c r="H90" i="10"/>
  <c r="H89" i="12"/>
  <c r="H92" i="12"/>
  <c r="H90" i="14"/>
  <c r="L57" i="8"/>
  <c r="I57" i="8"/>
  <c r="L56" i="7"/>
  <c r="I56" i="7"/>
  <c r="J56" i="7" s="1"/>
  <c r="G45" i="7"/>
  <c r="H45" i="7" s="1"/>
  <c r="F45" i="7"/>
  <c r="F44" i="8"/>
  <c r="K60" i="8"/>
  <c r="I60" i="8"/>
  <c r="J60" i="8" s="1"/>
  <c r="K57" i="9"/>
  <c r="I57" i="9"/>
  <c r="J57" i="9" s="1"/>
  <c r="K52" i="7"/>
  <c r="I57" i="7"/>
  <c r="J57" i="7" s="1"/>
  <c r="I59" i="7"/>
  <c r="J59" i="7" s="1"/>
  <c r="K59" i="7"/>
  <c r="I61" i="9"/>
  <c r="J61" i="9" s="1"/>
  <c r="K61" i="9"/>
  <c r="I52" i="12"/>
  <c r="J52" i="12" s="1"/>
  <c r="K52" i="12"/>
  <c r="G65" i="12"/>
  <c r="E43" i="12" s="1"/>
  <c r="L51" i="8"/>
  <c r="I62" i="8"/>
  <c r="I58" i="9"/>
  <c r="J58" i="9" s="1"/>
  <c r="K61" i="10"/>
  <c r="I61" i="10"/>
  <c r="M57" i="10"/>
  <c r="N57" i="10" s="1"/>
  <c r="E44" i="11"/>
  <c r="H51" i="11"/>
  <c r="E45" i="11"/>
  <c r="E91" i="11"/>
  <c r="E94" i="11" s="1"/>
  <c r="F94" i="11" s="1"/>
  <c r="M51" i="13"/>
  <c r="J51" i="13"/>
  <c r="I52" i="11"/>
  <c r="K52" i="11"/>
  <c r="G65" i="14"/>
  <c r="E43" i="14" s="1"/>
  <c r="K51" i="14"/>
  <c r="I56" i="14"/>
  <c r="J56" i="14" s="1"/>
  <c r="K56" i="14"/>
  <c r="K61" i="14"/>
  <c r="I61" i="14"/>
  <c r="E91" i="14"/>
  <c r="E45" i="14"/>
  <c r="I64" i="8"/>
  <c r="J64" i="8" s="1"/>
  <c r="I51" i="7"/>
  <c r="K52" i="8"/>
  <c r="I52" i="8"/>
  <c r="J52" i="8" s="1"/>
  <c r="I61" i="8"/>
  <c r="J61" i="8" s="1"/>
  <c r="K60" i="9"/>
  <c r="I60" i="9"/>
  <c r="J60" i="9" s="1"/>
  <c r="M61" i="9"/>
  <c r="N61" i="9" s="1"/>
  <c r="F44" i="10"/>
  <c r="G89" i="9"/>
  <c r="K57" i="12"/>
  <c r="I57" i="12"/>
  <c r="F93" i="7"/>
  <c r="F65" i="8"/>
  <c r="I58" i="8"/>
  <c r="J58" i="8" s="1"/>
  <c r="M56" i="9"/>
  <c r="N56" i="9" s="1"/>
  <c r="J56" i="9"/>
  <c r="K54" i="10"/>
  <c r="I54" i="10"/>
  <c r="J54" i="10" s="1"/>
  <c r="K58" i="10"/>
  <c r="I58" i="10"/>
  <c r="K63" i="10"/>
  <c r="I63" i="10"/>
  <c r="J63" i="10" s="1"/>
  <c r="I52" i="10"/>
  <c r="J52" i="10" s="1"/>
  <c r="I64" i="10"/>
  <c r="J64" i="10" s="1"/>
  <c r="K57" i="13"/>
  <c r="I57" i="13"/>
  <c r="I62" i="13"/>
  <c r="J62" i="13" s="1"/>
  <c r="K62" i="13"/>
  <c r="I57" i="11"/>
  <c r="J57" i="11" s="1"/>
  <c r="K57" i="11"/>
  <c r="F89" i="9"/>
  <c r="K55" i="8"/>
  <c r="F65" i="9"/>
  <c r="K59" i="10"/>
  <c r="I59" i="10"/>
  <c r="J59" i="10" s="1"/>
  <c r="K62" i="12"/>
  <c r="I62" i="12"/>
  <c r="E91" i="7"/>
  <c r="E94" i="7" s="1"/>
  <c r="F94" i="7" s="1"/>
  <c r="G65" i="8"/>
  <c r="E43" i="8" s="1"/>
  <c r="K51" i="8"/>
  <c r="I63" i="8"/>
  <c r="J63" i="8" s="1"/>
  <c r="I53" i="9"/>
  <c r="J53" i="9" s="1"/>
  <c r="K53" i="9"/>
  <c r="M59" i="9"/>
  <c r="N59" i="9" s="1"/>
  <c r="J62" i="9"/>
  <c r="M55" i="10"/>
  <c r="N55" i="10" s="1"/>
  <c r="M63" i="11"/>
  <c r="N63" i="11" s="1"/>
  <c r="J63" i="11"/>
  <c r="D84" i="9"/>
  <c r="K51" i="7"/>
  <c r="K58" i="7"/>
  <c r="I58" i="7"/>
  <c r="M56" i="8"/>
  <c r="N56" i="8" s="1"/>
  <c r="E91" i="8"/>
  <c r="E94" i="8" s="1"/>
  <c r="F94" i="8" s="1"/>
  <c r="K52" i="9"/>
  <c r="K62" i="9"/>
  <c r="G91" i="9"/>
  <c r="H91" i="9" s="1"/>
  <c r="G89" i="10"/>
  <c r="F89" i="10"/>
  <c r="I60" i="7"/>
  <c r="K61" i="7"/>
  <c r="I64" i="7"/>
  <c r="G89" i="7"/>
  <c r="I54" i="8"/>
  <c r="J54" i="8" s="1"/>
  <c r="I51" i="8"/>
  <c r="M51" i="8" s="1"/>
  <c r="I53" i="8"/>
  <c r="K53" i="8"/>
  <c r="I59" i="8"/>
  <c r="J59" i="8" s="1"/>
  <c r="E44" i="9"/>
  <c r="H52" i="9"/>
  <c r="G65" i="10"/>
  <c r="E43" i="10" s="1"/>
  <c r="K51" i="10"/>
  <c r="K55" i="10"/>
  <c r="I62" i="10"/>
  <c r="J62" i="10" s="1"/>
  <c r="K61" i="11"/>
  <c r="I61" i="11"/>
  <c r="J61" i="11" s="1"/>
  <c r="K56" i="9"/>
  <c r="K57" i="10"/>
  <c r="M64" i="10"/>
  <c r="N64" i="10" s="1"/>
  <c r="G92" i="10"/>
  <c r="H92" i="10" s="1"/>
  <c r="F92" i="10"/>
  <c r="K56" i="11"/>
  <c r="I56" i="11"/>
  <c r="J56" i="11" s="1"/>
  <c r="K51" i="13"/>
  <c r="G65" i="13"/>
  <c r="E43" i="13" s="1"/>
  <c r="I53" i="13"/>
  <c r="K53" i="13"/>
  <c r="G92" i="13"/>
  <c r="H92" i="13" s="1"/>
  <c r="F92" i="13"/>
  <c r="F65" i="11"/>
  <c r="G93" i="11"/>
  <c r="H93" i="11" s="1"/>
  <c r="F93" i="11"/>
  <c r="L58" i="12"/>
  <c r="I58" i="12"/>
  <c r="J58" i="12" s="1"/>
  <c r="G65" i="11"/>
  <c r="E43" i="11" s="1"/>
  <c r="K51" i="11"/>
  <c r="I51" i="11"/>
  <c r="K53" i="11"/>
  <c r="I53" i="11"/>
  <c r="J53" i="11" s="1"/>
  <c r="I60" i="11"/>
  <c r="K60" i="11"/>
  <c r="K63" i="12"/>
  <c r="I63" i="12"/>
  <c r="K52" i="13"/>
  <c r="I52" i="13"/>
  <c r="J52" i="13" s="1"/>
  <c r="I54" i="13"/>
  <c r="J54" i="13" s="1"/>
  <c r="K54" i="13"/>
  <c r="M63" i="13"/>
  <c r="N63" i="13" s="1"/>
  <c r="K52" i="14"/>
  <c r="I52" i="14"/>
  <c r="J52" i="14" s="1"/>
  <c r="I57" i="14"/>
  <c r="K57" i="14"/>
  <c r="K62" i="14"/>
  <c r="I62" i="14"/>
  <c r="J62" i="14" s="1"/>
  <c r="I62" i="11"/>
  <c r="G65" i="9"/>
  <c r="E43" i="9" s="1"/>
  <c r="E91" i="10"/>
  <c r="E94" i="10" s="1"/>
  <c r="F94" i="10" s="1"/>
  <c r="M59" i="11"/>
  <c r="N59" i="11" s="1"/>
  <c r="I58" i="13"/>
  <c r="J58" i="13" s="1"/>
  <c r="K58" i="13"/>
  <c r="K63" i="13"/>
  <c r="I63" i="13"/>
  <c r="J63" i="13" s="1"/>
  <c r="F45" i="13"/>
  <c r="G45" i="13"/>
  <c r="H45" i="13" s="1"/>
  <c r="K59" i="13"/>
  <c r="I59" i="13"/>
  <c r="M57" i="11"/>
  <c r="N57" i="11" s="1"/>
  <c r="K59" i="12"/>
  <c r="I61" i="12"/>
  <c r="J61" i="12" s="1"/>
  <c r="M60" i="10"/>
  <c r="N60" i="10" s="1"/>
  <c r="K64" i="11"/>
  <c r="F89" i="11"/>
  <c r="G89" i="11"/>
  <c r="I51" i="12"/>
  <c r="K51" i="12"/>
  <c r="I56" i="12"/>
  <c r="J56" i="12" s="1"/>
  <c r="E91" i="12"/>
  <c r="E45" i="12"/>
  <c r="M59" i="12"/>
  <c r="N59" i="12" s="1"/>
  <c r="M64" i="11"/>
  <c r="N64" i="11" s="1"/>
  <c r="F65" i="12"/>
  <c r="K64" i="13"/>
  <c r="I64" i="13"/>
  <c r="J61" i="13"/>
  <c r="M61" i="13"/>
  <c r="N61" i="13" s="1"/>
  <c r="F90" i="10"/>
  <c r="I54" i="11"/>
  <c r="K54" i="12"/>
  <c r="I55" i="12"/>
  <c r="I60" i="12"/>
  <c r="J60" i="12" s="1"/>
  <c r="K60" i="12"/>
  <c r="G90" i="13"/>
  <c r="F90" i="13"/>
  <c r="K54" i="14"/>
  <c r="I54" i="14"/>
  <c r="J54" i="14" s="1"/>
  <c r="K58" i="14"/>
  <c r="I58" i="14"/>
  <c r="E94" i="14"/>
  <c r="F94" i="14" s="1"/>
  <c r="F90" i="9"/>
  <c r="F92" i="9"/>
  <c r="K56" i="13"/>
  <c r="I56" i="13"/>
  <c r="E91" i="13"/>
  <c r="I55" i="13"/>
  <c r="K61" i="13"/>
  <c r="M62" i="14"/>
  <c r="N62" i="14" s="1"/>
  <c r="I64" i="12"/>
  <c r="J64" i="12" s="1"/>
  <c r="L51" i="13"/>
  <c r="L65" i="13" s="1"/>
  <c r="H65" i="13"/>
  <c r="M60" i="13"/>
  <c r="N60" i="13" s="1"/>
  <c r="K60" i="14"/>
  <c r="I60" i="14"/>
  <c r="J60" i="14" s="1"/>
  <c r="I64" i="14"/>
  <c r="J64" i="14" s="1"/>
  <c r="K64" i="14"/>
  <c r="H51" i="14"/>
  <c r="I51" i="14" s="1"/>
  <c r="G89" i="14"/>
  <c r="G93" i="14"/>
  <c r="H93" i="14" s="1"/>
  <c r="J59" i="14"/>
  <c r="J53" i="14"/>
  <c r="I55" i="14"/>
  <c r="I63" i="14"/>
  <c r="K53" i="6"/>
  <c r="F53" i="6"/>
  <c r="M53" i="6" s="1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J54" i="3" s="1"/>
  <c r="K54" i="3"/>
  <c r="I57" i="3"/>
  <c r="G61" i="3"/>
  <c r="H65" i="3"/>
  <c r="I52" i="3"/>
  <c r="K52" i="3"/>
  <c r="K56" i="3"/>
  <c r="I56" i="3"/>
  <c r="I60" i="3"/>
  <c r="J60" i="3" s="1"/>
  <c r="K60" i="3"/>
  <c r="H61" i="3"/>
  <c r="L49" i="3"/>
  <c r="I55" i="3"/>
  <c r="K55" i="3"/>
  <c r="I50" i="3"/>
  <c r="F65" i="3"/>
  <c r="F50" i="3"/>
  <c r="K51" i="3"/>
  <c r="L56" i="3"/>
  <c r="F58" i="3"/>
  <c r="M58" i="3" s="1"/>
  <c r="N58" i="3" s="1"/>
  <c r="K59" i="3"/>
  <c r="D70" i="3"/>
  <c r="I53" i="3"/>
  <c r="E42" i="3"/>
  <c r="F42" i="3" s="1"/>
  <c r="F49" i="3"/>
  <c r="L55" i="3"/>
  <c r="J52" i="7" l="1"/>
  <c r="G42" i="3"/>
  <c r="H42" i="3" s="1"/>
  <c r="M52" i="10"/>
  <c r="N52" i="10" s="1"/>
  <c r="M52" i="13"/>
  <c r="N52" i="13" s="1"/>
  <c r="M60" i="14"/>
  <c r="N60" i="14" s="1"/>
  <c r="M59" i="10"/>
  <c r="N59" i="10" s="1"/>
  <c r="L65" i="12"/>
  <c r="F65" i="7"/>
  <c r="M63" i="9"/>
  <c r="N63" i="9" s="1"/>
  <c r="M64" i="8"/>
  <c r="N64" i="8" s="1"/>
  <c r="I51" i="10"/>
  <c r="M51" i="10" s="1"/>
  <c r="H65" i="10"/>
  <c r="M54" i="9"/>
  <c r="N54" i="9" s="1"/>
  <c r="M53" i="3"/>
  <c r="N53" i="3" s="1"/>
  <c r="M60" i="8"/>
  <c r="N60" i="8" s="1"/>
  <c r="J55" i="8"/>
  <c r="J53" i="12"/>
  <c r="H65" i="8"/>
  <c r="M51" i="3"/>
  <c r="N51" i="3" s="1"/>
  <c r="F44" i="14"/>
  <c r="M59" i="3"/>
  <c r="N59" i="3" s="1"/>
  <c r="F44" i="13"/>
  <c r="I54" i="12"/>
  <c r="M54" i="12" s="1"/>
  <c r="N54" i="12" s="1"/>
  <c r="M52" i="12"/>
  <c r="N52" i="12" s="1"/>
  <c r="J64" i="9"/>
  <c r="K65" i="9"/>
  <c r="H65" i="12"/>
  <c r="M63" i="8"/>
  <c r="N63" i="8" s="1"/>
  <c r="M55" i="9"/>
  <c r="N55" i="9" s="1"/>
  <c r="M62" i="13"/>
  <c r="N62" i="13" s="1"/>
  <c r="E70" i="3"/>
  <c r="J53" i="3"/>
  <c r="J64" i="7"/>
  <c r="M61" i="7"/>
  <c r="N61" i="7" s="1"/>
  <c r="L65" i="8"/>
  <c r="I55" i="7"/>
  <c r="J55" i="7" s="1"/>
  <c r="M54" i="7"/>
  <c r="N54" i="7" s="1"/>
  <c r="F43" i="7"/>
  <c r="M59" i="7"/>
  <c r="N59" i="7" s="1"/>
  <c r="J63" i="7"/>
  <c r="H65" i="7"/>
  <c r="M53" i="7"/>
  <c r="N53" i="7" s="1"/>
  <c r="J51" i="9"/>
  <c r="M51" i="9"/>
  <c r="N51" i="9" s="1"/>
  <c r="J58" i="11"/>
  <c r="M62" i="7"/>
  <c r="N62" i="7" s="1"/>
  <c r="M56" i="10"/>
  <c r="N56" i="10" s="1"/>
  <c r="M56" i="12"/>
  <c r="N56" i="12" s="1"/>
  <c r="M62" i="10"/>
  <c r="N62" i="10" s="1"/>
  <c r="F44" i="12"/>
  <c r="G44" i="12"/>
  <c r="H44" i="12" s="1"/>
  <c r="G41" i="3"/>
  <c r="M50" i="3"/>
  <c r="N50" i="3" s="1"/>
  <c r="M58" i="13"/>
  <c r="N58" i="13" s="1"/>
  <c r="J55" i="11"/>
  <c r="M55" i="11"/>
  <c r="N55" i="11" s="1"/>
  <c r="G67" i="3"/>
  <c r="H67" i="3" s="1"/>
  <c r="M58" i="9"/>
  <c r="N58" i="9" s="1"/>
  <c r="M59" i="8"/>
  <c r="N59" i="8" s="1"/>
  <c r="M57" i="9"/>
  <c r="N57" i="9" s="1"/>
  <c r="M56" i="7"/>
  <c r="N56" i="7" s="1"/>
  <c r="J53" i="10"/>
  <c r="M53" i="10"/>
  <c r="N53" i="10" s="1"/>
  <c r="M63" i="10"/>
  <c r="N63" i="10" s="1"/>
  <c r="E94" i="9"/>
  <c r="F94" i="9" s="1"/>
  <c r="M59" i="6"/>
  <c r="N51" i="8"/>
  <c r="M51" i="14"/>
  <c r="J51" i="14"/>
  <c r="I65" i="14"/>
  <c r="J65" i="14" s="1"/>
  <c r="M58" i="14"/>
  <c r="N58" i="14" s="1"/>
  <c r="J58" i="14"/>
  <c r="E46" i="9"/>
  <c r="F46" i="9" s="1"/>
  <c r="G43" i="9"/>
  <c r="F43" i="9"/>
  <c r="M56" i="11"/>
  <c r="N56" i="11" s="1"/>
  <c r="H89" i="14"/>
  <c r="M54" i="13"/>
  <c r="N54" i="13" s="1"/>
  <c r="G91" i="13"/>
  <c r="H91" i="13" s="1"/>
  <c r="F91" i="13"/>
  <c r="F45" i="12"/>
  <c r="G45" i="12"/>
  <c r="H45" i="12" s="1"/>
  <c r="E46" i="8"/>
  <c r="F46" i="8" s="1"/>
  <c r="G43" i="8"/>
  <c r="F43" i="8"/>
  <c r="M58" i="10"/>
  <c r="N58" i="10" s="1"/>
  <c r="J58" i="10"/>
  <c r="L51" i="7"/>
  <c r="L65" i="7" s="1"/>
  <c r="M58" i="8"/>
  <c r="N58" i="8" s="1"/>
  <c r="M57" i="7"/>
  <c r="N57" i="7" s="1"/>
  <c r="G91" i="7"/>
  <c r="H91" i="7" s="1"/>
  <c r="F91" i="7"/>
  <c r="M57" i="13"/>
  <c r="N57" i="13" s="1"/>
  <c r="J57" i="13"/>
  <c r="F44" i="7"/>
  <c r="G44" i="7"/>
  <c r="H44" i="7" s="1"/>
  <c r="J64" i="13"/>
  <c r="M64" i="13"/>
  <c r="N64" i="13" s="1"/>
  <c r="J51" i="11"/>
  <c r="I65" i="11"/>
  <c r="J65" i="11" s="1"/>
  <c r="J53" i="13"/>
  <c r="M53" i="13"/>
  <c r="N53" i="13" s="1"/>
  <c r="G44" i="9"/>
  <c r="H44" i="9" s="1"/>
  <c r="F44" i="9"/>
  <c r="H89" i="7"/>
  <c r="N51" i="10"/>
  <c r="J58" i="7"/>
  <c r="M58" i="7"/>
  <c r="N58" i="7" s="1"/>
  <c r="M58" i="12"/>
  <c r="N58" i="12" s="1"/>
  <c r="N51" i="13"/>
  <c r="M54" i="8"/>
  <c r="N54" i="8" s="1"/>
  <c r="H89" i="10"/>
  <c r="J63" i="14"/>
  <c r="M63" i="14"/>
  <c r="N63" i="14" s="1"/>
  <c r="M59" i="13"/>
  <c r="N59" i="13" s="1"/>
  <c r="J59" i="13"/>
  <c r="M51" i="11"/>
  <c r="K65" i="11"/>
  <c r="F43" i="13"/>
  <c r="E46" i="13"/>
  <c r="F46" i="13" s="1"/>
  <c r="G43" i="13"/>
  <c r="I65" i="13"/>
  <c r="J65" i="13" s="1"/>
  <c r="E46" i="12"/>
  <c r="F46" i="12" s="1"/>
  <c r="F43" i="12"/>
  <c r="G43" i="12"/>
  <c r="M55" i="12"/>
  <c r="N55" i="12" s="1"/>
  <c r="J55" i="12"/>
  <c r="M64" i="7"/>
  <c r="N64" i="7" s="1"/>
  <c r="J57" i="12"/>
  <c r="M57" i="12"/>
  <c r="N57" i="12" s="1"/>
  <c r="M61" i="10"/>
  <c r="N61" i="10" s="1"/>
  <c r="J61" i="10"/>
  <c r="J55" i="14"/>
  <c r="M55" i="14"/>
  <c r="N55" i="14" s="1"/>
  <c r="M61" i="11"/>
  <c r="N61" i="11" s="1"/>
  <c r="E94" i="13"/>
  <c r="F94" i="13" s="1"/>
  <c r="J54" i="11"/>
  <c r="M54" i="11"/>
  <c r="N54" i="11" s="1"/>
  <c r="M60" i="12"/>
  <c r="N60" i="12" s="1"/>
  <c r="J51" i="12"/>
  <c r="I65" i="12"/>
  <c r="J65" i="12" s="1"/>
  <c r="M51" i="12"/>
  <c r="M61" i="12"/>
  <c r="N61" i="12" s="1"/>
  <c r="M64" i="14"/>
  <c r="N64" i="14" s="1"/>
  <c r="E46" i="11"/>
  <c r="F46" i="11" s="1"/>
  <c r="G43" i="11"/>
  <c r="F43" i="11"/>
  <c r="K65" i="13"/>
  <c r="I65" i="10"/>
  <c r="J65" i="10" s="1"/>
  <c r="J51" i="10"/>
  <c r="K65" i="7"/>
  <c r="M62" i="12"/>
  <c r="N62" i="12" s="1"/>
  <c r="J62" i="12"/>
  <c r="M54" i="10"/>
  <c r="N54" i="10" s="1"/>
  <c r="M53" i="9"/>
  <c r="N53" i="9" s="1"/>
  <c r="K65" i="14"/>
  <c r="F91" i="11"/>
  <c r="G91" i="11"/>
  <c r="H91" i="11" s="1"/>
  <c r="H65" i="9"/>
  <c r="L52" i="9"/>
  <c r="L65" i="9" s="1"/>
  <c r="J51" i="7"/>
  <c r="M51" i="7"/>
  <c r="H89" i="9"/>
  <c r="G94" i="9"/>
  <c r="H94" i="9" s="1"/>
  <c r="G45" i="14"/>
  <c r="H45" i="14" s="1"/>
  <c r="F45" i="14"/>
  <c r="G43" i="14"/>
  <c r="F43" i="14"/>
  <c r="E46" i="14"/>
  <c r="F46" i="14" s="1"/>
  <c r="G45" i="11"/>
  <c r="H45" i="11" s="1"/>
  <c r="F45" i="11"/>
  <c r="E46" i="7"/>
  <c r="F46" i="7" s="1"/>
  <c r="M62" i="11"/>
  <c r="N62" i="11" s="1"/>
  <c r="J62" i="11"/>
  <c r="M57" i="14"/>
  <c r="N57" i="14" s="1"/>
  <c r="J57" i="14"/>
  <c r="M63" i="12"/>
  <c r="N63" i="12" s="1"/>
  <c r="J63" i="12"/>
  <c r="K65" i="12"/>
  <c r="H90" i="13"/>
  <c r="G94" i="11"/>
  <c r="H94" i="11" s="1"/>
  <c r="H89" i="11"/>
  <c r="M64" i="12"/>
  <c r="N64" i="12" s="1"/>
  <c r="M60" i="11"/>
  <c r="N60" i="11" s="1"/>
  <c r="J60" i="11"/>
  <c r="K65" i="10"/>
  <c r="I52" i="9"/>
  <c r="M52" i="14"/>
  <c r="N52" i="14" s="1"/>
  <c r="G91" i="10"/>
  <c r="H91" i="10" s="1"/>
  <c r="F91" i="10"/>
  <c r="M54" i="14"/>
  <c r="N54" i="14" s="1"/>
  <c r="M56" i="14"/>
  <c r="N56" i="14" s="1"/>
  <c r="F43" i="10"/>
  <c r="E46" i="10"/>
  <c r="F46" i="10" s="1"/>
  <c r="G43" i="10"/>
  <c r="J53" i="8"/>
  <c r="M53" i="8"/>
  <c r="N53" i="8" s="1"/>
  <c r="J60" i="7"/>
  <c r="M60" i="7"/>
  <c r="N60" i="7" s="1"/>
  <c r="F91" i="14"/>
  <c r="G91" i="14"/>
  <c r="H91" i="14" s="1"/>
  <c r="L51" i="11"/>
  <c r="L65" i="11" s="1"/>
  <c r="H65" i="11"/>
  <c r="M62" i="8"/>
  <c r="N62" i="8" s="1"/>
  <c r="J62" i="8"/>
  <c r="M52" i="8"/>
  <c r="N52" i="8" s="1"/>
  <c r="M57" i="8"/>
  <c r="N57" i="8" s="1"/>
  <c r="J57" i="8"/>
  <c r="L51" i="14"/>
  <c r="L65" i="14" s="1"/>
  <c r="H65" i="14"/>
  <c r="M56" i="13"/>
  <c r="N56" i="13" s="1"/>
  <c r="J56" i="13"/>
  <c r="G91" i="12"/>
  <c r="E94" i="12"/>
  <c r="F94" i="12" s="1"/>
  <c r="F91" i="12"/>
  <c r="J55" i="13"/>
  <c r="M55" i="13"/>
  <c r="N55" i="13" s="1"/>
  <c r="M53" i="11"/>
  <c r="N53" i="11" s="1"/>
  <c r="M60" i="9"/>
  <c r="N60" i="9" s="1"/>
  <c r="I65" i="8"/>
  <c r="J65" i="8" s="1"/>
  <c r="J51" i="8"/>
  <c r="G91" i="8"/>
  <c r="F91" i="8"/>
  <c r="K65" i="8"/>
  <c r="M61" i="14"/>
  <c r="N61" i="14" s="1"/>
  <c r="J61" i="14"/>
  <c r="J52" i="11"/>
  <c r="M52" i="11"/>
  <c r="N52" i="11" s="1"/>
  <c r="F44" i="11"/>
  <c r="G44" i="11"/>
  <c r="H44" i="11" s="1"/>
  <c r="M61" i="8"/>
  <c r="N61" i="8" s="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F70" i="3"/>
  <c r="K61" i="3"/>
  <c r="G70" i="3"/>
  <c r="H70" i="3" s="1"/>
  <c r="F61" i="3"/>
  <c r="M49" i="3"/>
  <c r="M60" i="3"/>
  <c r="N60" i="3" s="1"/>
  <c r="J49" i="3"/>
  <c r="I61" i="3"/>
  <c r="J50" i="3"/>
  <c r="L61" i="3"/>
  <c r="H41" i="3"/>
  <c r="M56" i="3"/>
  <c r="N56" i="3" s="1"/>
  <c r="J58" i="3"/>
  <c r="E44" i="3"/>
  <c r="F44" i="3" s="1"/>
  <c r="G46" i="7" l="1"/>
  <c r="H46" i="7" s="1"/>
  <c r="J54" i="12"/>
  <c r="M55" i="7"/>
  <c r="N55" i="7" s="1"/>
  <c r="G94" i="13"/>
  <c r="H94" i="13" s="1"/>
  <c r="I65" i="7"/>
  <c r="J65" i="7" s="1"/>
  <c r="G44" i="3"/>
  <c r="H44" i="3" s="1"/>
  <c r="G46" i="10"/>
  <c r="H46" i="10" s="1"/>
  <c r="H43" i="10"/>
  <c r="H91" i="12"/>
  <c r="G94" i="12"/>
  <c r="H94" i="12" s="1"/>
  <c r="G46" i="13"/>
  <c r="H46" i="13" s="1"/>
  <c r="H43" i="13"/>
  <c r="N51" i="12"/>
  <c r="M65" i="12"/>
  <c r="N65" i="12" s="1"/>
  <c r="M65" i="10"/>
  <c r="N65" i="10" s="1"/>
  <c r="N51" i="7"/>
  <c r="M65" i="7"/>
  <c r="N65" i="7" s="1"/>
  <c r="G46" i="12"/>
  <c r="H46" i="12" s="1"/>
  <c r="H43" i="12"/>
  <c r="M65" i="11"/>
  <c r="N65" i="11" s="1"/>
  <c r="N51" i="11"/>
  <c r="G94" i="10"/>
  <c r="H94" i="10" s="1"/>
  <c r="G46" i="8"/>
  <c r="H46" i="8" s="1"/>
  <c r="H43" i="8"/>
  <c r="G94" i="14"/>
  <c r="H94" i="14" s="1"/>
  <c r="G94" i="7"/>
  <c r="H94" i="7" s="1"/>
  <c r="N51" i="14"/>
  <c r="M65" i="14"/>
  <c r="N65" i="14" s="1"/>
  <c r="M65" i="13"/>
  <c r="N65" i="13" s="1"/>
  <c r="J52" i="9"/>
  <c r="I65" i="9"/>
  <c r="J65" i="9" s="1"/>
  <c r="M52" i="9"/>
  <c r="H91" i="8"/>
  <c r="G94" i="8"/>
  <c r="H94" i="8" s="1"/>
  <c r="G46" i="14"/>
  <c r="H46" i="14" s="1"/>
  <c r="H43" i="14"/>
  <c r="H43" i="11"/>
  <c r="G46" i="11"/>
  <c r="H46" i="11" s="1"/>
  <c r="G46" i="9"/>
  <c r="H46" i="9" s="1"/>
  <c r="H43" i="9"/>
  <c r="M65" i="8"/>
  <c r="N65" i="8" s="1"/>
  <c r="J61" i="3"/>
  <c r="N49" i="3"/>
  <c r="M61" i="3"/>
  <c r="N61" i="3" s="1"/>
  <c r="N52" i="9" l="1"/>
  <c r="M65" i="9"/>
  <c r="N65" i="9" s="1"/>
  <c r="E69" i="4"/>
  <c r="F69" i="4" s="1"/>
  <c r="E68" i="4"/>
  <c r="F68" i="4" s="1"/>
  <c r="G68" i="4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I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I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D46" i="6" s="1"/>
  <c r="E92" i="6"/>
  <c r="D9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89" i="6"/>
  <c r="E89" i="6"/>
  <c r="D90" i="6"/>
  <c r="E90" i="6"/>
  <c r="D91" i="6"/>
  <c r="D93" i="6"/>
  <c r="E9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H53" i="5"/>
  <c r="Q11" i="5"/>
  <c r="H52" i="5" s="1"/>
  <c r="Q10" i="5"/>
  <c r="H51" i="5" s="1"/>
  <c r="Q9" i="5"/>
  <c r="H50" i="5" s="1"/>
  <c r="E67" i="5" l="1"/>
  <c r="E67" i="4"/>
  <c r="F67" i="4" s="1"/>
  <c r="E43" i="5"/>
  <c r="E41" i="4"/>
  <c r="F41" i="4" s="1"/>
  <c r="G66" i="4"/>
  <c r="H66" i="4" s="1"/>
  <c r="E70" i="5"/>
  <c r="M54" i="4"/>
  <c r="G50" i="4"/>
  <c r="I50" i="4" s="1"/>
  <c r="J50" i="4" s="1"/>
  <c r="K54" i="6"/>
  <c r="I58" i="6"/>
  <c r="E65" i="6"/>
  <c r="D65" i="6"/>
  <c r="G65" i="6"/>
  <c r="E43" i="6" s="1"/>
  <c r="H65" i="6"/>
  <c r="G92" i="6"/>
  <c r="H92" i="6" s="1"/>
  <c r="N53" i="6"/>
  <c r="N59" i="6"/>
  <c r="F58" i="6"/>
  <c r="F52" i="6"/>
  <c r="F93" i="6"/>
  <c r="G93" i="6"/>
  <c r="H93" i="6" s="1"/>
  <c r="K58" i="4"/>
  <c r="E41" i="5"/>
  <c r="G41" i="5" s="1"/>
  <c r="M50" i="4"/>
  <c r="N50" i="4" s="1"/>
  <c r="M58" i="4"/>
  <c r="N58" i="4" s="1"/>
  <c r="G67" i="4"/>
  <c r="E43" i="4"/>
  <c r="I56" i="4"/>
  <c r="J56" i="4" s="1"/>
  <c r="G69" i="4"/>
  <c r="H69" i="4" s="1"/>
  <c r="F89" i="6"/>
  <c r="F90" i="6"/>
  <c r="F62" i="6"/>
  <c r="F61" i="6"/>
  <c r="F56" i="6"/>
  <c r="L64" i="6"/>
  <c r="E91" i="6"/>
  <c r="F91" i="6" s="1"/>
  <c r="J58" i="4"/>
  <c r="N54" i="4"/>
  <c r="H67" i="4"/>
  <c r="H68" i="4"/>
  <c r="I51" i="4"/>
  <c r="J51" i="4" s="1"/>
  <c r="K55" i="4"/>
  <c r="I55" i="4"/>
  <c r="J55" i="4" s="1"/>
  <c r="I59" i="4"/>
  <c r="J59" i="4" s="1"/>
  <c r="M56" i="4"/>
  <c r="N56" i="4" s="1"/>
  <c r="K60" i="4"/>
  <c r="I60" i="4"/>
  <c r="J60" i="4" s="1"/>
  <c r="E70" i="4"/>
  <c r="K57" i="4"/>
  <c r="I57" i="4"/>
  <c r="J57" i="4" s="1"/>
  <c r="H65" i="4"/>
  <c r="H61" i="4"/>
  <c r="L49" i="4"/>
  <c r="L61" i="4" s="1"/>
  <c r="G41" i="4"/>
  <c r="J54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L63" i="6"/>
  <c r="L54" i="6"/>
  <c r="F51" i="6"/>
  <c r="F92" i="6"/>
  <c r="F64" i="6"/>
  <c r="F57" i="6"/>
  <c r="L57" i="6"/>
  <c r="I61" i="6"/>
  <c r="I64" i="6"/>
  <c r="L61" i="6"/>
  <c r="I51" i="6"/>
  <c r="I63" i="6"/>
  <c r="L56" i="6"/>
  <c r="I62" i="6"/>
  <c r="K56" i="6"/>
  <c r="K52" i="6"/>
  <c r="L55" i="6"/>
  <c r="I55" i="6"/>
  <c r="L58" i="6"/>
  <c r="L51" i="6"/>
  <c r="L62" i="6"/>
  <c r="I54" i="6"/>
  <c r="K62" i="6"/>
  <c r="I60" i="6"/>
  <c r="L52" i="6"/>
  <c r="E44" i="6"/>
  <c r="G44" i="6" s="1"/>
  <c r="H44" i="6" s="1"/>
  <c r="K61" i="6"/>
  <c r="L60" i="6"/>
  <c r="K60" i="6"/>
  <c r="I56" i="6"/>
  <c r="K51" i="6"/>
  <c r="K58" i="6"/>
  <c r="K63" i="6"/>
  <c r="F45" i="6"/>
  <c r="K57" i="6"/>
  <c r="I57" i="6"/>
  <c r="D94" i="6"/>
  <c r="K64" i="6"/>
  <c r="F63" i="6"/>
  <c r="K55" i="6"/>
  <c r="F54" i="6"/>
  <c r="I52" i="6"/>
  <c r="G90" i="6"/>
  <c r="H90" i="6" s="1"/>
  <c r="F60" i="6"/>
  <c r="G89" i="6"/>
  <c r="E42" i="5"/>
  <c r="D70" i="5"/>
  <c r="I57" i="5"/>
  <c r="L57" i="5"/>
  <c r="F58" i="5"/>
  <c r="K59" i="5"/>
  <c r="F69" i="5"/>
  <c r="L52" i="5"/>
  <c r="L60" i="5"/>
  <c r="F43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G43" i="5"/>
  <c r="H43" i="5" s="1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61" i="4" l="1"/>
  <c r="M60" i="4"/>
  <c r="N60" i="4" s="1"/>
  <c r="E44" i="5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L65" i="6"/>
  <c r="I65" i="6"/>
  <c r="K65" i="6"/>
  <c r="F65" i="6"/>
  <c r="J58" i="6"/>
  <c r="G70" i="4"/>
  <c r="H70" i="4" s="1"/>
  <c r="M61" i="6"/>
  <c r="N61" i="6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F70" i="4"/>
  <c r="M52" i="4"/>
  <c r="N52" i="4" s="1"/>
  <c r="I61" i="4"/>
  <c r="J49" i="4"/>
  <c r="M49" i="4"/>
  <c r="F61" i="4"/>
  <c r="M57" i="4"/>
  <c r="N57" i="4" s="1"/>
  <c r="J61" i="6"/>
  <c r="M56" i="6"/>
  <c r="N56" i="6" s="1"/>
  <c r="M62" i="6"/>
  <c r="N62" i="6" s="1"/>
  <c r="M64" i="6"/>
  <c r="N64" i="6" s="1"/>
  <c r="M51" i="6"/>
  <c r="J63" i="6"/>
  <c r="M58" i="6"/>
  <c r="F44" i="6"/>
  <c r="M63" i="6"/>
  <c r="N63" i="6" s="1"/>
  <c r="M60" i="6"/>
  <c r="N60" i="6" s="1"/>
  <c r="G45" i="6"/>
  <c r="H45" i="6" s="1"/>
  <c r="G43" i="6"/>
  <c r="H43" i="6" s="1"/>
  <c r="M57" i="6"/>
  <c r="N57" i="6" s="1"/>
  <c r="M55" i="6"/>
  <c r="N55" i="6" s="1"/>
  <c r="F43" i="6"/>
  <c r="M54" i="6"/>
  <c r="N54" i="6" s="1"/>
  <c r="G91" i="6"/>
  <c r="H91" i="6" s="1"/>
  <c r="J54" i="6"/>
  <c r="H89" i="6"/>
  <c r="M52" i="6"/>
  <c r="N52" i="6" s="1"/>
  <c r="E94" i="6"/>
  <c r="F9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F44" i="5"/>
  <c r="N51" i="6" l="1"/>
  <c r="M65" i="6"/>
  <c r="N65" i="6" s="1"/>
  <c r="J65" i="6"/>
  <c r="N58" i="6"/>
  <c r="J61" i="4"/>
  <c r="G44" i="4"/>
  <c r="H44" i="4" s="1"/>
  <c r="N49" i="4"/>
  <c r="M61" i="4"/>
  <c r="N61" i="4" s="1"/>
  <c r="G46" i="6"/>
  <c r="H46" i="6" s="1"/>
  <c r="G94" i="6"/>
  <c r="H94" i="6" s="1"/>
  <c r="G44" i="5"/>
  <c r="H44" i="5" s="1"/>
  <c r="G70" i="5"/>
  <c r="H70" i="5" s="1"/>
  <c r="M61" i="5"/>
  <c r="N61" i="5" s="1"/>
  <c r="J49" i="5"/>
  <c r="I61" i="5"/>
  <c r="J61" i="5" s="1"/>
</calcChain>
</file>

<file path=xl/sharedStrings.xml><?xml version="1.0" encoding="utf-8"?>
<sst xmlns="http://schemas.openxmlformats.org/spreadsheetml/2006/main" count="1872" uniqueCount="185">
  <si>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</si>
  <si>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</si>
  <si>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</si>
  <si>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</si>
  <si>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</si>
  <si>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</si>
  <si>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</si>
  <si>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</si>
  <si>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</si>
  <si>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</si>
  <si>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</si>
  <si>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</si>
  <si>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</si>
  <si>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</si>
  <si>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</si>
  <si>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</si>
  <si>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</si>
  <si>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</si>
  <si>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</si>
  <si>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</si>
  <si>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</si>
  <si>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</si>
  <si>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</si>
  <si>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</si>
  <si>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</si>
  <si>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</si>
  <si>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</si>
  <si>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</si>
  <si>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</si>
  <si>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</si>
  <si>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</si>
  <si>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</si>
  <si>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</si>
  <si>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</si>
  <si>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</si>
  <si>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</si>
  <si>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</si>
  <si>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</si>
  <si>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</si>
  <si>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</si>
  <si>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</si>
  <si>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</si>
  <si>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</si>
  <si>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</si>
  <si>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</si>
  <si>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</si>
  <si>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</si>
  <si>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</si>
  <si>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</si>
  <si>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</si>
  <si>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</si>
  <si>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</si>
  <si>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</si>
  <si>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</si>
  <si>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</si>
  <si>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</si>
  <si>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</si>
  <si>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</si>
  <si>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</si>
  <si>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</si>
  <si>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</si>
  <si>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</si>
  <si>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</si>
  <si>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</si>
  <si>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</si>
  <si>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</si>
  <si>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</si>
  <si>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</si>
  <si>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</si>
  <si>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</si>
  <si>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</si>
  <si>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</si>
  <si>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</si>
  <si>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</si>
  <si>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</si>
  <si>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</si>
  <si>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</si>
  <si>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</si>
  <si>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</si>
  <si>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</si>
  <si>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</si>
  <si>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</si>
  <si>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</si>
  <si>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</si>
  <si>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</si>
  <si>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</si>
  <si>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</si>
  <si>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</si>
  <si>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</si>
  <si>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</si>
  <si>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</si>
  <si>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</si>
  <si>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</si>
  <si>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</si>
  <si>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</si>
  <si>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</si>
  <si>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</si>
  <si>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</si>
  <si>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</si>
  <si>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</si>
  <si>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</si>
  <si>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</si>
  <si>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</si>
  <si>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</si>
  <si>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</si>
  <si>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</si>
  <si>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</si>
  <si>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</si>
  <si>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</si>
  <si>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</si>
  <si>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</si>
  <si>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</si>
  <si>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</si>
  <si>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</si>
  <si>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</si>
  <si>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</si>
  <si>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</si>
  <si>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</si>
  <si>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</si>
  <si>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</si>
  <si>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</si>
  <si>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</si>
  <si>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</si>
  <si>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</si>
  <si>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</si>
  <si>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</si>
  <si>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</si>
  <si>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</si>
  <si>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</si>
  <si>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</si>
  <si>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</si>
  <si>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</si>
  <si>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</si>
  <si>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</si>
  <si>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</si>
  <si>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</si>
  <si>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</si>
  <si>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</si>
  <si>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</si>
  <si>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</si>
  <si>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</si>
  <si>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</si>
  <si>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</si>
  <si>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</si>
  <si>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</si>
  <si>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</si>
  <si>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</si>
  <si>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</si>
  <si>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</si>
  <si>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</si>
  <si>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</si>
  <si>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</si>
  <si>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</si>
  <si>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</si>
  <si>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</si>
  <si>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</si>
  <si>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</si>
  <si>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</si>
  <si>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</si>
  <si>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</si>
  <si>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GLOBAL — JUNI 2026</t>
  </si>
  <si>
    <t>DATA PENCAPAIAN — JULI 2026</t>
  </si>
  <si>
    <t>DATA PENCAPAIAN — AGUSTUS 2026</t>
  </si>
  <si>
    <t>DATA PENCAPAIAN — GLOBAL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</si>
  <si>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</si>
  <si>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</si>
  <si>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</si>
  <si>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</si>
  <si>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</si>
  <si>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</si>
  <si>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</si>
  <si>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</si>
  <si>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</si>
  <si>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</si>
  <si>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</si>
  <si>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</si>
  <si>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</si>
  <si>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</si>
  <si>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</si>
  <si>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JULI 2026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</si>
  <si>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</si>
  <si>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</si>
  <si>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</si>
  <si>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</si>
  <si>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29 MEI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</si>
</sst>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4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48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18" fillId="17" borderId="1" xfId="0" applyNumberFormat="1" applyFont="1" applyFill="1" applyBorder="1" applyAlignment="1">
      <alignment horizontal="centerContinuous" vertical="center" wrapText="1"/>
    </xf>
    <xf numFmtId="41" fontId="26" fillId="0" borderId="1" xfId="0" applyNumberFormat="1" applyFont="1" applyBorder="1" applyAlignment="1">
      <alignment horizontal="right" vertical="center"/>
    </xf>
    <xf numFmtId="41" fontId="22" fillId="17" borderId="1" xfId="0" applyNumberFormat="1" applyFont="1" applyFill="1" applyBorder="1" applyAlignment="1">
      <alignment horizontal="right" vertical="center"/>
    </xf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4" fillId="18" borderId="1" xfId="0" applyNumberFormat="1" applyFont="1" applyFill="1" applyBorder="1" applyAlignment="1">
      <alignment horizontal="centerContinuous" vertical="center" wrapText="1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41" fontId="33" fillId="18" borderId="1" xfId="0" applyNumberFormat="1" applyFont="1" applyFill="1" applyBorder="1" applyAlignment="1">
      <alignment horizontal="center" vertical="center" wrapText="1"/>
    </xf>
    <xf numFmtId="41" fontId="22" fillId="18" borderId="1" xfId="0" applyNumberFormat="1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Continuous" vertical="center" wrapText="1"/>
    </xf>
    <xf numFmtId="0" fontId="34" fillId="23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9" fontId="22" fillId="26" borderId="1" xfId="0" applyNumberFormat="1" applyFont="1" applyFill="1" applyBorder="1" applyAlignment="1">
      <alignment horizontal="center" vertical="center" wrapText="1"/>
    </xf>
    <xf numFmtId="3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6" fillId="0" borderId="0" xfId="0" applyFont="1"/>
    <xf numFmtId="41" fontId="37" fillId="15" borderId="1" xfId="0" applyNumberFormat="1" applyFont="1" applyFill="1" applyBorder="1" applyAlignment="1">
      <alignment horizontal="centerContinuous" vertical="center" wrapText="1"/>
    </xf>
    <xf numFmtId="0" fontId="35" fillId="18" borderId="1" xfId="0" applyFont="1" applyFill="1" applyBorder="1" applyAlignment="1">
      <alignment horizontal="centerContinuous" vertical="center" wrapText="1"/>
    </xf>
    <xf numFmtId="0" fontId="37" fillId="22" borderId="1" xfId="0" applyFont="1" applyFill="1" applyBorder="1" applyAlignment="1">
      <alignment horizontal="center" vertical="center" wrapText="1"/>
    </xf>
    <xf numFmtId="41" fontId="37" fillId="22" borderId="1" xfId="0" applyNumberFormat="1" applyFont="1" applyFill="1" applyBorder="1" applyAlignment="1">
      <alignment horizontal="center" vertical="center" wrapText="1"/>
    </xf>
    <xf numFmtId="0" fontId="35" fillId="23" borderId="1" xfId="0" applyFont="1" applyFill="1" applyBorder="1" applyAlignment="1">
      <alignment horizontal="center" vertical="center" wrapText="1"/>
    </xf>
    <xf numFmtId="3" fontId="38" fillId="12" borderId="1" xfId="0" applyNumberFormat="1" applyFont="1" applyFill="1" applyBorder="1" applyAlignment="1">
      <alignment horizontal="right" vertical="center"/>
    </xf>
    <xf numFmtId="3" fontId="38" fillId="10" borderId="1" xfId="0" applyNumberFormat="1" applyFont="1" applyFill="1" applyBorder="1" applyAlignment="1">
      <alignment horizontal="right" vertical="center"/>
    </xf>
    <xf numFmtId="3" fontId="35" fillId="26" borderId="1" xfId="0" applyNumberFormat="1" applyFont="1" applyFill="1" applyBorder="1" applyAlignment="1">
      <alignment horizontal="right" vertical="center"/>
    </xf>
    <xf numFmtId="41" fontId="35" fillId="18" borderId="1" xfId="0" applyNumberFormat="1" applyFont="1" applyFill="1" applyBorder="1" applyAlignment="1">
      <alignment horizontal="centerContinuous" vertical="center" wrapText="1"/>
    </xf>
    <xf numFmtId="41" fontId="36" fillId="0" borderId="0" xfId="0" applyNumberFormat="1" applyFont="1"/>
    <xf numFmtId="0" fontId="37" fillId="15" borderId="1" xfId="0" applyFont="1" applyFill="1" applyBorder="1" applyAlignment="1">
      <alignment horizontal="center" vertical="center" wrapText="1"/>
    </xf>
    <xf numFmtId="41" fontId="35" fillId="18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41" fontId="35" fillId="17" borderId="1" xfId="0" applyNumberFormat="1" applyFont="1" applyFill="1" applyBorder="1" applyAlignment="1">
      <alignment horizontal="right" vertical="center"/>
    </xf>
    <xf numFmtId="9" fontId="34" fillId="16" borderId="1" xfId="0" applyNumberFormat="1" applyFont="1" applyFill="1" applyBorder="1" applyAlignment="1">
      <alignment horizontal="center" vertical="center" wrapText="1"/>
    </xf>
    <xf numFmtId="41" fontId="39" fillId="12" borderId="1" xfId="0" applyNumberFormat="1" applyFont="1" applyFill="1" applyBorder="1" applyAlignment="1">
      <alignment horizontal="center" vertical="center"/>
    </xf>
    <xf numFmtId="41" fontId="39" fillId="24" borderId="1" xfId="0" applyNumberFormat="1" applyFont="1" applyFill="1" applyBorder="1" applyAlignment="1">
      <alignment horizontal="right" vertical="center"/>
    </xf>
    <xf numFmtId="9" fontId="40" fillId="24" borderId="1" xfId="0" applyNumberFormat="1" applyFont="1" applyFill="1" applyBorder="1" applyAlignment="1">
      <alignment horizontal="center" vertical="center" wrapText="1"/>
    </xf>
    <xf numFmtId="41" fontId="39" fillId="10" borderId="1" xfId="0" applyNumberFormat="1" applyFont="1" applyFill="1" applyBorder="1" applyAlignment="1">
      <alignment horizontal="center" vertical="center"/>
    </xf>
    <xf numFmtId="41" fontId="39" fillId="30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center" vertical="center"/>
    </xf>
    <xf numFmtId="41" fontId="34" fillId="26" borderId="1" xfId="0" applyNumberFormat="1" applyFont="1" applyFill="1" applyBorder="1" applyAlignment="1">
      <alignment horizontal="right" vertical="center"/>
    </xf>
    <xf numFmtId="9" fontId="34" fillId="26" borderId="1" xfId="0" applyNumberFormat="1" applyFont="1" applyFill="1" applyBorder="1" applyAlignment="1">
      <alignment horizontal="center" vertical="center" wrapText="1"/>
    </xf>
    <xf numFmtId="0" fontId="39" fillId="12" borderId="1" xfId="0" applyFont="1" applyFill="1" applyBorder="1" applyAlignment="1">
      <alignment horizontal="left" vertical="center"/>
    </xf>
    <xf numFmtId="0" fontId="39" fillId="12" borderId="1" xfId="0" applyFont="1" applyFill="1" applyBorder="1" applyAlignment="1">
      <alignment horizontal="left" vertical="center" wrapText="1"/>
    </xf>
    <xf numFmtId="0" fontId="39" fillId="10" borderId="1" xfId="0" applyFont="1" applyFill="1" applyBorder="1" applyAlignment="1">
      <alignment horizontal="left" vertical="center"/>
    </xf>
    <xf numFmtId="0" fontId="39" fillId="10" borderId="1" xfId="0" applyFont="1" applyFill="1" applyBorder="1" applyAlignment="1">
      <alignment horizontal="left" vertical="center" wrapText="1"/>
    </xf>
    <xf numFmtId="0" fontId="39" fillId="29" borderId="1" xfId="0" applyFont="1" applyFill="1" applyBorder="1" applyAlignment="1">
      <alignment horizontal="left" vertical="center"/>
    </xf>
    <xf numFmtId="0" fontId="39" fillId="29" borderId="1" xfId="0" applyFont="1" applyFill="1" applyBorder="1" applyAlignment="1">
      <alignment horizontal="left" vertical="center" wrapText="1"/>
    </xf>
    <xf numFmtId="0" fontId="34" fillId="16" borderId="1" xfId="0" applyFont="1" applyFill="1" applyBorder="1" applyAlignment="1">
      <alignment horizontal="centerContinuous" vertical="center" wrapText="1"/>
    </xf>
    <xf numFmtId="0" fontId="41" fillId="16" borderId="1" xfId="0" applyFont="1" applyFill="1" applyBorder="1" applyAlignment="1">
      <alignment horizontal="centerContinuous"/>
    </xf>
    <xf numFmtId="41" fontId="39" fillId="27" borderId="1" xfId="0" applyNumberFormat="1" applyFont="1" applyFill="1" applyBorder="1" applyAlignment="1">
      <alignment horizontal="center" vertical="center"/>
    </xf>
    <xf numFmtId="41" fontId="39" fillId="28" borderId="1" xfId="0" applyNumberFormat="1" applyFont="1" applyFill="1" applyBorder="1" applyAlignment="1">
      <alignment horizontal="center" vertical="center"/>
    </xf>
    <xf numFmtId="41" fontId="34" fillId="16" borderId="1" xfId="0" applyNumberFormat="1" applyFont="1" applyFill="1" applyBorder="1" applyAlignment="1">
      <alignment horizontal="center" vertical="center"/>
    </xf>
    <xf numFmtId="41" fontId="39" fillId="12" borderId="1" xfId="0" applyNumberFormat="1" applyFont="1" applyFill="1" applyBorder="1" applyAlignment="1">
      <alignment horizontal="right" vertical="center"/>
    </xf>
    <xf numFmtId="41" fontId="39" fillId="10" borderId="1" xfId="0" applyNumberFormat="1" applyFont="1" applyFill="1" applyBorder="1" applyAlignment="1">
      <alignment horizontal="right" vertical="center"/>
    </xf>
    <xf numFmtId="0" fontId="42" fillId="12" borderId="1" xfId="0" applyFont="1" applyFill="1" applyBorder="1" applyAlignment="1">
      <alignment horizontal="left" vertical="center" wrapText="1"/>
    </xf>
    <xf numFmtId="41" fontId="34" fillId="16" borderId="1" xfId="0" applyNumberFormat="1" applyFont="1" applyFill="1" applyBorder="1" applyAlignment="1">
      <alignment horizontal="right" vertical="center"/>
    </xf>
    <xf numFmtId="0" fontId="39" fillId="31" borderId="1" xfId="0" applyFont="1" applyFill="1" applyBorder="1" applyAlignment="1">
      <alignment horizontal="left" vertical="center"/>
    </xf>
    <xf numFmtId="0" fontId="39" fillId="31" borderId="1" xfId="0" applyFont="1" applyFill="1" applyBorder="1" applyAlignment="1">
      <alignment horizontal="left" vertical="center" wrapText="1"/>
    </xf>
    <xf numFmtId="41" fontId="39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28" fillId="18" borderId="3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37" fillId="15" borderId="6" xfId="0" applyFont="1" applyFill="1" applyBorder="1" applyAlignment="1">
      <alignment horizontal="center" vertical="center" wrapText="1"/>
    </xf>
    <xf numFmtId="0" fontId="37" fillId="15" borderId="3" xfId="0" applyFont="1" applyFill="1" applyBorder="1" applyAlignment="1">
      <alignment horizontal="center" vertical="center" wrapText="1"/>
    </xf>
    <xf numFmtId="0" fontId="37" fillId="15" borderId="1" xfId="0" applyFont="1" applyFill="1" applyBorder="1" applyAlignment="1">
      <alignment horizontal="center" vertical="center" wrapText="1"/>
    </xf>
    <xf numFmtId="0" fontId="35" fillId="18" borderId="2" xfId="0" applyFont="1" applyFill="1" applyBorder="1" applyAlignment="1">
      <alignment horizontal="center" vertical="center" wrapText="1"/>
    </xf>
    <xf numFmtId="0" fontId="35" fillId="18" borderId="6" xfId="0" applyFont="1" applyFill="1" applyBorder="1" applyAlignment="1">
      <alignment horizontal="center" vertical="center" wrapText="1"/>
    </xf>
    <xf numFmtId="0" fontId="35" fillId="18" borderId="3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34" fillId="18" borderId="2" xfId="0" applyFont="1" applyFill="1" applyBorder="1" applyAlignment="1">
      <alignment horizontal="center" vertical="center" wrapText="1"/>
    </xf>
    <xf numFmtId="0" fontId="34" fillId="18" borderId="6" xfId="0" applyFont="1" applyFill="1" applyBorder="1" applyAlignment="1">
      <alignment horizontal="center" vertical="center" wrapText="1"/>
    </xf>
    <xf numFmtId="0" fontId="34" fillId="18" borderId="3" xfId="0" applyFont="1" applyFill="1" applyBorder="1" applyAlignment="1">
      <alignment horizontal="center" vertical="center" wrapText="1"/>
    </xf>
    <xf numFmtId="0" fontId="34" fillId="18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topLeftCell="A4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06" t="s">
        <v>0</v>
      </c>
      <c r="C1" s="206"/>
    </row>
    <row r="3" spans="2:3" x14ac:dyDescent="0.25">
      <c r="B3" s="207" t="s">
        <v>1</v>
      </c>
      <c r="C3" s="207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08" t="s">
        <v>14</v>
      </c>
      <c r="C11" s="208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A29"/>
  <sheetViews>
    <sheetView showGridLines="0" topLeftCell="E4" zoomScale="165" zoomScaleNormal="100" workbookViewId="0">
      <selection activeCell="L19" sqref="L19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6" width="12.7109375" bestFit="1" customWidth="1"/>
    <col min="7" max="7" width="12.85546875" bestFit="1" customWidth="1"/>
    <col min="8" max="8" width="12.7109375" bestFit="1" customWidth="1"/>
    <col min="9" max="9" width="11.140625" bestFit="1" customWidth="1"/>
    <col min="10" max="11" width="11.28515625" bestFit="1" customWidth="1"/>
    <col min="12" max="13" width="11.140625" bestFit="1" customWidth="1"/>
    <col min="14" max="14" width="9.85546875" bestFit="1" customWidth="1"/>
    <col min="15" max="15" width="8.42578125" bestFit="1" customWidth="1"/>
    <col min="16" max="16" width="9.7109375" bestFit="1" customWidth="1"/>
    <col min="17" max="17" width="8.28515625" bestFit="1" customWidth="1"/>
    <col min="18" max="18" width="10.28515625" bestFit="1" customWidth="1"/>
    <col min="19" max="19" width="8.8554687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07" t="s">
        <v>28</v>
      </c>
      <c r="C3" s="207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9" t="s">
        <v>69</v>
      </c>
      <c r="C6" s="140" t="s">
        <v>70</v>
      </c>
      <c r="D6" s="141">
        <v>1058997546</v>
      </c>
      <c r="E6" s="141">
        <v>173866062</v>
      </c>
      <c r="F6" s="141">
        <v>1018372028</v>
      </c>
      <c r="G6" s="141">
        <v>159266402</v>
      </c>
      <c r="H6" s="141">
        <v>1009948386</v>
      </c>
      <c r="I6" s="141">
        <v>172865092</v>
      </c>
      <c r="J6" s="141">
        <v>535182371</v>
      </c>
      <c r="K6" s="141">
        <v>172865092</v>
      </c>
      <c r="L6" s="7">
        <v>555182371</v>
      </c>
      <c r="M6" s="7">
        <v>191546784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45" t="s">
        <v>176</v>
      </c>
      <c r="C7" s="146" t="s">
        <v>177</v>
      </c>
      <c r="D7" s="147">
        <v>241473268</v>
      </c>
      <c r="E7" s="147">
        <v>0</v>
      </c>
      <c r="F7" s="147">
        <v>0</v>
      </c>
      <c r="G7" s="147">
        <v>0</v>
      </c>
      <c r="H7" s="147">
        <v>0</v>
      </c>
      <c r="I7" s="147">
        <v>0</v>
      </c>
      <c r="J7" s="147">
        <v>241473268</v>
      </c>
      <c r="K7" s="147">
        <v>0</v>
      </c>
      <c r="L7" s="138">
        <v>241473268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42" t="s">
        <v>71</v>
      </c>
      <c r="C8" s="143" t="s">
        <v>72</v>
      </c>
      <c r="D8" s="144">
        <v>491334077</v>
      </c>
      <c r="E8" s="144">
        <v>28700620</v>
      </c>
      <c r="F8" s="144">
        <v>471021318</v>
      </c>
      <c r="G8" s="144">
        <v>21400790</v>
      </c>
      <c r="H8" s="144">
        <v>466809497</v>
      </c>
      <c r="I8" s="144">
        <v>28200135</v>
      </c>
      <c r="J8" s="144">
        <v>590712471.92289722</v>
      </c>
      <c r="K8" s="144">
        <v>28200135</v>
      </c>
      <c r="L8" s="7">
        <v>610712472</v>
      </c>
      <c r="M8" s="7">
        <v>46881826.81733489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74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74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9" t="s">
        <v>78</v>
      </c>
      <c r="C12" s="140" t="s">
        <v>79</v>
      </c>
      <c r="D12" s="141">
        <v>988070138</v>
      </c>
      <c r="E12" s="141">
        <v>45600197</v>
      </c>
      <c r="F12" s="141">
        <v>967757378</v>
      </c>
      <c r="G12" s="141">
        <v>38300367</v>
      </c>
      <c r="H12" s="141">
        <v>963545558</v>
      </c>
      <c r="I12" s="141">
        <v>45099712</v>
      </c>
      <c r="J12" s="141">
        <v>485287059</v>
      </c>
      <c r="K12" s="141">
        <v>45099712</v>
      </c>
      <c r="L12" s="7">
        <v>505287059</v>
      </c>
      <c r="M12" s="7">
        <v>63781404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45" t="s">
        <v>176</v>
      </c>
      <c r="C13" s="146" t="s">
        <v>178</v>
      </c>
      <c r="D13" s="147">
        <v>404133664</v>
      </c>
      <c r="E13" s="147">
        <v>0</v>
      </c>
      <c r="F13" s="147">
        <v>0</v>
      </c>
      <c r="G13" s="147">
        <v>0</v>
      </c>
      <c r="H13" s="147">
        <v>0</v>
      </c>
      <c r="I13" s="147">
        <v>0</v>
      </c>
      <c r="J13" s="147">
        <v>404133664</v>
      </c>
      <c r="K13" s="147">
        <v>0</v>
      </c>
      <c r="L13" s="138">
        <v>404133664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42" t="s">
        <v>80</v>
      </c>
      <c r="C14" s="143" t="s">
        <v>81</v>
      </c>
      <c r="D14" s="144">
        <v>479914486</v>
      </c>
      <c r="E14" s="144">
        <v>120283183</v>
      </c>
      <c r="F14" s="144">
        <v>459601727</v>
      </c>
      <c r="G14" s="144">
        <v>112983353</v>
      </c>
      <c r="H14" s="144">
        <v>455389906</v>
      </c>
      <c r="I14" s="144">
        <v>119782698</v>
      </c>
      <c r="J14" s="144">
        <v>384017309.32355773</v>
      </c>
      <c r="K14" s="144">
        <v>119782698</v>
      </c>
      <c r="L14" s="7">
        <v>404017309</v>
      </c>
      <c r="M14" s="7">
        <v>138464390.21799541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0</v>
      </c>
      <c r="J23" s="7">
        <v>0</v>
      </c>
      <c r="K23" s="7">
        <v>0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0</v>
      </c>
      <c r="J24" s="7">
        <v>0</v>
      </c>
      <c r="K24" s="7">
        <v>0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09" t="s">
        <v>102</v>
      </c>
      <c r="C29" s="209"/>
      <c r="D29" s="209"/>
      <c r="E29" s="209"/>
      <c r="F29" s="209"/>
    </row>
  </sheetData>
  <mergeCells count="2">
    <mergeCell ref="B3:C3"/>
    <mergeCell ref="B29:F29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MAX(0,NETWORKDAYS.INTL(MAX(TODAY(),DATE(YEAR(TODAY()),1,1)),EOMONTH(DATE(YEAR(TODAY()),1,1),0),11))</f>
        <v>0</v>
      </c>
      <c r="D3" s="79" t="s">
        <v>104</v>
      </c>
      <c r="E3" s="80">
        <f ca="1">DAY(EOMONTH(DATE(YEAR(TODAY()),1,1),0))</f>
        <v>31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171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</row>
    <row r="3" spans="2:17" ht="15.75" x14ac:dyDescent="0.25">
      <c r="B3" s="77" t="s">
        <v>103</v>
      </c>
      <c r="C3" s="78">
        <f ca="1">MAX(0,NETWORKDAYS.INTL(MAX(TODAY(),DATE(YEAR(TODAY()),2,1)),EOMONTH(DATE(YEAR(TODAY()),2,1),0),11))</f>
        <v>0</v>
      </c>
      <c r="D3" s="79" t="s">
        <v>104</v>
      </c>
      <c r="E3" s="80">
        <f ca="1">DAY(EOMONTH(DATE(YEAR(TODAY()),2,1),0))</f>
        <v>28</v>
      </c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11" t="s">
        <v>146</v>
      </c>
      <c r="C44" s="212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13" t="s">
        <v>41</v>
      </c>
      <c r="C47" s="213" t="s">
        <v>42</v>
      </c>
      <c r="D47" s="214" t="s">
        <v>138</v>
      </c>
      <c r="E47" s="215"/>
      <c r="F47" s="216"/>
      <c r="G47" s="101" t="s">
        <v>139</v>
      </c>
      <c r="H47" s="101"/>
      <c r="I47" s="101"/>
      <c r="J47" s="213" t="s">
        <v>140</v>
      </c>
      <c r="K47" s="102" t="s">
        <v>148</v>
      </c>
      <c r="L47" s="102"/>
      <c r="M47" s="102"/>
      <c r="N47" s="210" t="s">
        <v>149</v>
      </c>
    </row>
    <row r="48" spans="2:14" ht="15.75" x14ac:dyDescent="0.25">
      <c r="B48" s="213"/>
      <c r="C48" s="213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13"/>
      <c r="K48" s="104" t="s">
        <v>143</v>
      </c>
      <c r="L48" s="104" t="s">
        <v>111</v>
      </c>
      <c r="M48" s="104" t="s">
        <v>146</v>
      </c>
      <c r="N48" s="210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3" spans="2:17" ht="15.75" x14ac:dyDescent="0.25">
      <c r="B3" s="22" t="s">
        <v>103</v>
      </c>
      <c r="C3" s="8">
        <f ca="1">MAX(0,NETWORKDAYS.INTL(MAX(TODAY(),DATE(YEAR(TODAY()),3,1)),EOMONTH(DATE(YEAR(TODAY()),3,1),0),11))</f>
        <v>0</v>
      </c>
      <c r="D3" s="23" t="s">
        <v>104</v>
      </c>
      <c r="E3" s="9">
        <f ca="1">DAY(EOMONTH(DATE(YEAR(TODAY()),3,1),0))</f>
        <v>31</v>
      </c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170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169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169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21" t="s">
        <v>146</v>
      </c>
      <c r="C44" s="222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23" t="s">
        <v>41</v>
      </c>
      <c r="C47" s="223" t="s">
        <v>42</v>
      </c>
      <c r="D47" s="218" t="s">
        <v>138</v>
      </c>
      <c r="E47" s="219"/>
      <c r="F47" s="220"/>
      <c r="G47" s="70" t="s">
        <v>139</v>
      </c>
      <c r="H47" s="70"/>
      <c r="I47" s="70"/>
      <c r="J47" s="223" t="s">
        <v>140</v>
      </c>
      <c r="K47" s="35" t="s">
        <v>148</v>
      </c>
      <c r="L47" s="35"/>
      <c r="M47" s="35"/>
      <c r="N47" s="217" t="s">
        <v>149</v>
      </c>
    </row>
    <row r="48" spans="2:17" ht="15.75" x14ac:dyDescent="0.25">
      <c r="B48" s="223"/>
      <c r="C48" s="223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23"/>
      <c r="K48" s="34" t="s">
        <v>143</v>
      </c>
      <c r="L48" s="34" t="s">
        <v>111</v>
      </c>
      <c r="M48" s="34" t="s">
        <v>146</v>
      </c>
      <c r="N48" s="217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94"/>
  <sheetViews>
    <sheetView showGridLines="0" topLeftCell="A29" zoomScaleNormal="100" workbookViewId="0">
      <selection activeCell="B41" sqref="B41:F46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7" width="15.7109375" style="116" bestFit="1" customWidth="1"/>
    <col min="8" max="8" width="14" style="116" bestFit="1" customWidth="1"/>
    <col min="9" max="9" width="15.7109375" style="116" bestFit="1" customWidth="1"/>
    <col min="10" max="10" width="9.42578125" customWidth="1"/>
    <col min="11" max="11" width="14.28515625" bestFit="1" customWidth="1"/>
    <col min="12" max="12" width="12.140625" customWidth="1"/>
    <col min="13" max="13" width="14.28515625" bestFit="1" customWidth="1"/>
    <col min="14" max="14" width="12.42578125" bestFit="1" customWidth="1"/>
    <col min="16" max="16" width="13.28515625" bestFit="1" customWidth="1"/>
    <col min="17" max="17" width="12.140625" bestFit="1" customWidth="1"/>
    <col min="18" max="18" width="13.28515625" bestFit="1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3" spans="2:14" ht="15.75" x14ac:dyDescent="0.25">
      <c r="B3" s="77" t="s">
        <v>103</v>
      </c>
      <c r="C3" s="78">
        <f ca="1">MAX(0,NETWORKDAYS.INTL(MAX(TODAY(),DATE(YEAR(TODAY()),4,1)),EOMONTH(DATE(YEAR(TODAY()),4,1),0),11))</f>
        <v>0</v>
      </c>
      <c r="D3" s="79" t="s">
        <v>104</v>
      </c>
      <c r="E3" s="80">
        <f ca="1">DAY(EOMONTH(DATE(YEAR(TODAY()),4,1),0))</f>
        <v>30</v>
      </c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50"/>
      <c r="D15" s="150" t="s">
        <v>169</v>
      </c>
      <c r="E15" s="150"/>
      <c r="F15" s="150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169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169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169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173</v>
      </c>
      <c r="C22" s="15">
        <v>38884328.600000001</v>
      </c>
      <c r="D22" s="15" t="s">
        <v>169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174</v>
      </c>
      <c r="C23" s="15">
        <v>120550492.72</v>
      </c>
      <c r="D23" s="15" t="s">
        <v>169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169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4" x14ac:dyDescent="0.25">
      <c r="B33" s="84" t="s">
        <v>133</v>
      </c>
      <c r="C33" s="15">
        <v>449933743.924721</v>
      </c>
    </row>
    <row r="34" spans="2:14" x14ac:dyDescent="0.25">
      <c r="B34" s="84" t="s">
        <v>134</v>
      </c>
      <c r="C34" s="15">
        <v>318278585.086043</v>
      </c>
    </row>
    <row r="35" spans="2:14" x14ac:dyDescent="0.25">
      <c r="B35" s="84" t="s">
        <v>135</v>
      </c>
      <c r="C35" s="15">
        <v>267561093.287265</v>
      </c>
    </row>
    <row r="36" spans="2:14" x14ac:dyDescent="0.25">
      <c r="B36" s="84" t="s">
        <v>136</v>
      </c>
      <c r="C36" s="15">
        <v>311290805.19997603</v>
      </c>
    </row>
    <row r="37" spans="2:14" x14ac:dyDescent="0.25">
      <c r="B37" s="84"/>
      <c r="C37" s="85"/>
    </row>
    <row r="38" spans="2:14" x14ac:dyDescent="0.25">
      <c r="B38" s="76"/>
      <c r="C38" s="85"/>
    </row>
    <row r="41" spans="2:14" ht="20.100000000000001" customHeight="1" x14ac:dyDescent="0.25">
      <c r="B41" s="224" t="s">
        <v>183</v>
      </c>
      <c r="C41" s="225"/>
      <c r="D41" s="226"/>
      <c r="E41" s="67" t="s">
        <v>138</v>
      </c>
      <c r="F41" s="73">
        <v>1</v>
      </c>
      <c r="G41" s="117"/>
      <c r="H41" s="117"/>
    </row>
    <row r="42" spans="2:14" ht="20.100000000000001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</row>
    <row r="43" spans="2:14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44">
        <f>IFERROR(E43/D43,0)</f>
        <v>0.84857499817777438</v>
      </c>
      <c r="G43" s="118">
        <f>D43-E43</f>
        <v>1002324385.071167</v>
      </c>
      <c r="H43" s="118">
        <f ca="1">IFERROR(G43/C3,0)</f>
        <v>0</v>
      </c>
    </row>
    <row r="44" spans="2:14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44">
        <f>IFERROR(E44/D44,0)</f>
        <v>0.76899057819092842</v>
      </c>
      <c r="G44" s="118">
        <f>D44-E44</f>
        <v>293327958.46681499</v>
      </c>
      <c r="H44" s="118">
        <f ca="1">IFERROR(G44/C3,0)</f>
        <v>0</v>
      </c>
    </row>
    <row r="45" spans="2:14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44">
        <f>IFERROR(E45/D45,0)</f>
        <v>0.88602358411334747</v>
      </c>
      <c r="G45" s="118">
        <f>D45-E45</f>
        <v>204187536.54587555</v>
      </c>
      <c r="H45" s="118">
        <f ca="1">IFERROR(G45/C3,0)</f>
        <v>0</v>
      </c>
    </row>
    <row r="46" spans="2:14" ht="20.100000000000001" customHeight="1" x14ac:dyDescent="0.25">
      <c r="B46" s="221" t="s">
        <v>146</v>
      </c>
      <c r="C46" s="222"/>
      <c r="D46" s="47">
        <f>D43+D44+D45</f>
        <v>9680534906.7669907</v>
      </c>
      <c r="E46" s="47">
        <f>E43+E44+E45</f>
        <v>8180695026.6831322</v>
      </c>
      <c r="F46" s="43">
        <f>IFERROR(E46/D46,0)</f>
        <v>0.84506642509646601</v>
      </c>
      <c r="G46" s="119">
        <f>G43+G44+G45</f>
        <v>1499839880.0838575</v>
      </c>
      <c r="H46" s="119">
        <f ca="1">IFERROR(G46/C3,0)</f>
        <v>0</v>
      </c>
    </row>
    <row r="48" spans="2:14" s="158" customFormat="1" ht="20.100000000000001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35"/>
      <c r="L48" s="236"/>
      <c r="M48" s="236"/>
      <c r="N48" s="237"/>
    </row>
    <row r="49" spans="2:14" s="158" customFormat="1" ht="20.100000000000001" customHeight="1" x14ac:dyDescent="0.25">
      <c r="B49" s="234" t="s">
        <v>41</v>
      </c>
      <c r="C49" s="234" t="s">
        <v>42</v>
      </c>
      <c r="D49" s="231" t="s">
        <v>138</v>
      </c>
      <c r="E49" s="232"/>
      <c r="F49" s="233"/>
      <c r="G49" s="159" t="s">
        <v>139</v>
      </c>
      <c r="H49" s="159"/>
      <c r="I49" s="159"/>
      <c r="J49" s="234" t="s">
        <v>140</v>
      </c>
      <c r="K49" s="160" t="s">
        <v>148</v>
      </c>
      <c r="L49" s="160"/>
      <c r="M49" s="160"/>
      <c r="N49" s="227" t="s">
        <v>149</v>
      </c>
    </row>
    <row r="50" spans="2:14" s="158" customFormat="1" ht="20.100000000000001" customHeight="1" x14ac:dyDescent="0.25">
      <c r="B50" s="234"/>
      <c r="C50" s="234"/>
      <c r="D50" s="161" t="s">
        <v>150</v>
      </c>
      <c r="E50" s="161" t="s">
        <v>151</v>
      </c>
      <c r="F50" s="161" t="s">
        <v>131</v>
      </c>
      <c r="G50" s="162" t="s">
        <v>150</v>
      </c>
      <c r="H50" s="162" t="s">
        <v>151</v>
      </c>
      <c r="I50" s="162" t="s">
        <v>131</v>
      </c>
      <c r="J50" s="234"/>
      <c r="K50" s="163" t="s">
        <v>143</v>
      </c>
      <c r="L50" s="163" t="s">
        <v>111</v>
      </c>
      <c r="M50" s="163" t="s">
        <v>146</v>
      </c>
      <c r="N50" s="227"/>
    </row>
    <row r="51" spans="2:14" s="158" customFormat="1" ht="20.100000000000001" customHeight="1" x14ac:dyDescent="0.25">
      <c r="B51" s="183" t="s">
        <v>67</v>
      </c>
      <c r="C51" s="184" t="s">
        <v>68</v>
      </c>
      <c r="D51" s="175">
        <f>TARGETS!J5</f>
        <v>396683478.3262167</v>
      </c>
      <c r="E51" s="175">
        <f>TARGETS!K5</f>
        <v>49588709</v>
      </c>
      <c r="F51" s="175">
        <f t="shared" ref="F51:F64" si="0">D51+E51</f>
        <v>446272187.3262167</v>
      </c>
      <c r="G51" s="176">
        <f>M8</f>
        <v>299770568.60838997</v>
      </c>
      <c r="H51" s="176">
        <f>N8</f>
        <v>45375105.343964003</v>
      </c>
      <c r="I51" s="176">
        <f t="shared" ref="I51:I64" si="1">G51+H51</f>
        <v>345145673.95235395</v>
      </c>
      <c r="J51" s="177">
        <f t="shared" ref="J51:J64" si="2">IFERROR(I51/F51,0)</f>
        <v>0.77339723100435753</v>
      </c>
      <c r="K51" s="164">
        <f t="shared" ref="K51:K64" si="3">D51-G51</f>
        <v>96912909.717826724</v>
      </c>
      <c r="L51" s="164">
        <f t="shared" ref="L51:L64" si="4">E51-H51</f>
        <v>4213603.656035997</v>
      </c>
      <c r="M51" s="164">
        <f t="shared" ref="M51:M64" si="5">F51-I51</f>
        <v>101126513.37386274</v>
      </c>
      <c r="N51" s="164">
        <f ca="1">IFERROR(M51/C3,0)</f>
        <v>0</v>
      </c>
    </row>
    <row r="52" spans="2:14" s="158" customFormat="1" ht="20.100000000000001" customHeight="1" x14ac:dyDescent="0.25">
      <c r="B52" s="185" t="s">
        <v>69</v>
      </c>
      <c r="C52" s="186" t="s">
        <v>70</v>
      </c>
      <c r="D52" s="178">
        <f>TARGETS!J6</f>
        <v>535182371</v>
      </c>
      <c r="E52" s="178">
        <f>TARGETS!K6</f>
        <v>172865092</v>
      </c>
      <c r="F52" s="178">
        <f t="shared" si="0"/>
        <v>708047463</v>
      </c>
      <c r="G52" s="176">
        <f>M9</f>
        <v>491669786.60148901</v>
      </c>
      <c r="H52" s="176">
        <f>N9</f>
        <v>120248212.43861198</v>
      </c>
      <c r="I52" s="176">
        <f t="shared" si="1"/>
        <v>611917999.04010105</v>
      </c>
      <c r="J52" s="177">
        <f t="shared" si="2"/>
        <v>0.86423302252563972</v>
      </c>
      <c r="K52" s="165">
        <f t="shared" si="3"/>
        <v>43512584.398510993</v>
      </c>
      <c r="L52" s="165">
        <f t="shared" si="4"/>
        <v>52616879.561388016</v>
      </c>
      <c r="M52" s="165">
        <f t="shared" si="5"/>
        <v>96129463.959898949</v>
      </c>
      <c r="N52" s="165">
        <f ca="1">IFERROR(M52/C3,0)</f>
        <v>0</v>
      </c>
    </row>
    <row r="53" spans="2:14" s="158" customFormat="1" ht="20.100000000000001" customHeight="1" x14ac:dyDescent="0.25">
      <c r="B53" s="187" t="s">
        <v>176</v>
      </c>
      <c r="C53" s="188" t="s">
        <v>177</v>
      </c>
      <c r="D53" s="179">
        <f>TARGETS!J7</f>
        <v>241473268</v>
      </c>
      <c r="E53" s="179">
        <f>TARGETS!K7</f>
        <v>0</v>
      </c>
      <c r="F53" s="179">
        <f>D53+E53</f>
        <v>241473268</v>
      </c>
      <c r="G53" s="176">
        <f>C22</f>
        <v>38884328.600000001</v>
      </c>
      <c r="H53" s="176">
        <f>IF(D22="",0,D22)</f>
        <v>0</v>
      </c>
      <c r="I53" s="176">
        <f>G53+H53</f>
        <v>38884328.600000001</v>
      </c>
      <c r="J53" s="177">
        <f>IFERROR(I53/F53,0)</f>
        <v>0.1610295372322538</v>
      </c>
      <c r="K53" s="165">
        <f>D53-G53</f>
        <v>202588939.40000001</v>
      </c>
      <c r="L53" s="165">
        <f>E53-H53</f>
        <v>0</v>
      </c>
      <c r="M53" s="165">
        <f>F53-I53</f>
        <v>202588939.40000001</v>
      </c>
      <c r="N53" s="165">
        <f ca="1">IFERROR(M53/C3,0)</f>
        <v>0</v>
      </c>
    </row>
    <row r="54" spans="2:14" s="158" customFormat="1" ht="20.100000000000001" customHeight="1" x14ac:dyDescent="0.25">
      <c r="B54" s="185" t="s">
        <v>71</v>
      </c>
      <c r="C54" s="186" t="s">
        <v>72</v>
      </c>
      <c r="D54" s="178">
        <f>TARGETS!J8</f>
        <v>590712471.92289722</v>
      </c>
      <c r="E54" s="178">
        <f>TARGETS!K8</f>
        <v>28200135</v>
      </c>
      <c r="F54" s="178">
        <f t="shared" si="0"/>
        <v>618912606.92289722</v>
      </c>
      <c r="G54" s="176">
        <f>M10</f>
        <v>537997275.46389103</v>
      </c>
      <c r="H54" s="176">
        <f t="shared" ref="H54:H58" si="6">N10</f>
        <v>21205741.099730998</v>
      </c>
      <c r="I54" s="176">
        <f t="shared" si="1"/>
        <v>559203016.563622</v>
      </c>
      <c r="J54" s="177">
        <f t="shared" si="2"/>
        <v>0.90352500548318337</v>
      </c>
      <c r="K54" s="165">
        <f>D54-G54</f>
        <v>52715196.45900619</v>
      </c>
      <c r="L54" s="165">
        <f t="shared" si="4"/>
        <v>6994393.9002690017</v>
      </c>
      <c r="M54" s="165">
        <f t="shared" si="5"/>
        <v>59709590.359275222</v>
      </c>
      <c r="N54" s="165">
        <f ca="1">IFERROR(M54/C3,0)</f>
        <v>0</v>
      </c>
    </row>
    <row r="55" spans="2:14" s="158" customFormat="1" ht="20.100000000000001" customHeight="1" x14ac:dyDescent="0.25">
      <c r="B55" s="183" t="s">
        <v>73</v>
      </c>
      <c r="C55" s="184" t="s">
        <v>74</v>
      </c>
      <c r="D55" s="175">
        <f>TARGETS!J9</f>
        <v>395063284.19152415</v>
      </c>
      <c r="E55" s="175">
        <f>TARGETS!K9</f>
        <v>73528469</v>
      </c>
      <c r="F55" s="175">
        <f t="shared" si="0"/>
        <v>468591753.19152415</v>
      </c>
      <c r="G55" s="176">
        <f>M11</f>
        <v>355626119.92999297</v>
      </c>
      <c r="H55" s="176">
        <f t="shared" si="6"/>
        <v>44657675.509999998</v>
      </c>
      <c r="I55" s="176">
        <f t="shared" si="1"/>
        <v>400283795.43999296</v>
      </c>
      <c r="J55" s="177">
        <f t="shared" si="2"/>
        <v>0.85422714487334961</v>
      </c>
      <c r="K55" s="165">
        <f t="shared" si="3"/>
        <v>39437164.261531174</v>
      </c>
      <c r="L55" s="165">
        <f t="shared" si="4"/>
        <v>28870793.490000002</v>
      </c>
      <c r="M55" s="165">
        <f t="shared" si="5"/>
        <v>68307957.751531184</v>
      </c>
      <c r="N55" s="165">
        <f ca="1">IFERROR(M55/C3,0)</f>
        <v>0</v>
      </c>
    </row>
    <row r="56" spans="2:14" s="158" customFormat="1" ht="20.100000000000001" customHeight="1" x14ac:dyDescent="0.25">
      <c r="B56" s="185" t="s">
        <v>75</v>
      </c>
      <c r="C56" s="186" t="s">
        <v>74</v>
      </c>
      <c r="D56" s="178">
        <f>TARGETS!J10</f>
        <v>463918832.1226536</v>
      </c>
      <c r="E56" s="178">
        <f>TARGETS!K10</f>
        <v>71898548</v>
      </c>
      <c r="F56" s="178">
        <f t="shared" si="0"/>
        <v>535817380.1226536</v>
      </c>
      <c r="G56" s="176">
        <f>M12</f>
        <v>449682614.319305</v>
      </c>
      <c r="H56" s="176">
        <f t="shared" si="6"/>
        <v>60505589.095815003</v>
      </c>
      <c r="I56" s="176">
        <f t="shared" si="1"/>
        <v>510188203.41512001</v>
      </c>
      <c r="J56" s="177">
        <f t="shared" si="2"/>
        <v>0.95216807506007584</v>
      </c>
      <c r="K56" s="165">
        <f t="shared" si="3"/>
        <v>14236217.803348601</v>
      </c>
      <c r="L56" s="165">
        <f t="shared" si="4"/>
        <v>11392958.904184997</v>
      </c>
      <c r="M56" s="165">
        <f t="shared" si="5"/>
        <v>25629176.707533598</v>
      </c>
      <c r="N56" s="165">
        <f ca="1">IFERROR(M56/C3,0)</f>
        <v>0</v>
      </c>
    </row>
    <row r="57" spans="2:14" s="158" customFormat="1" ht="20.100000000000001" customHeight="1" x14ac:dyDescent="0.25">
      <c r="B57" s="183" t="s">
        <v>76</v>
      </c>
      <c r="C57" s="184" t="s">
        <v>77</v>
      </c>
      <c r="D57" s="175">
        <f>TARGETS!J11</f>
        <v>941758345.44471872</v>
      </c>
      <c r="E57" s="175">
        <f>TARGETS!K11</f>
        <v>73246884</v>
      </c>
      <c r="F57" s="175">
        <f t="shared" si="0"/>
        <v>1015005229.4447187</v>
      </c>
      <c r="G57" s="176">
        <f>M13</f>
        <v>1030915377.322188</v>
      </c>
      <c r="H57" s="176">
        <f t="shared" si="6"/>
        <v>59498535.799857996</v>
      </c>
      <c r="I57" s="176">
        <f t="shared" si="1"/>
        <v>1090413913.122046</v>
      </c>
      <c r="J57" s="177">
        <f t="shared" si="2"/>
        <v>1.0742938868586729</v>
      </c>
      <c r="K57" s="165">
        <f t="shared" si="3"/>
        <v>-89157031.877469301</v>
      </c>
      <c r="L57" s="165">
        <f t="shared" si="4"/>
        <v>13748348.200142004</v>
      </c>
      <c r="M57" s="165">
        <f t="shared" si="5"/>
        <v>-75408683.677327275</v>
      </c>
      <c r="N57" s="165">
        <f ca="1">IFERROR(M57/C3,0)</f>
        <v>0</v>
      </c>
    </row>
    <row r="58" spans="2:14" s="158" customFormat="1" ht="20.100000000000001" customHeight="1" x14ac:dyDescent="0.25">
      <c r="B58" s="185" t="s">
        <v>78</v>
      </c>
      <c r="C58" s="186" t="s">
        <v>79</v>
      </c>
      <c r="D58" s="178">
        <f>TARGETS!J12</f>
        <v>485287059</v>
      </c>
      <c r="E58" s="178">
        <f>TARGETS!K12</f>
        <v>45099712</v>
      </c>
      <c r="F58" s="178">
        <f t="shared" si="0"/>
        <v>530386771</v>
      </c>
      <c r="G58" s="176">
        <f>M14</f>
        <v>378754537.60554802</v>
      </c>
      <c r="H58" s="176">
        <f t="shared" si="6"/>
        <v>62284984.519973002</v>
      </c>
      <c r="I58" s="176">
        <f>G58+H58</f>
        <v>441039522.125521</v>
      </c>
      <c r="J58" s="177">
        <f>IFERROR(I58/F58,0)</f>
        <v>0.83154321759190519</v>
      </c>
      <c r="K58" s="165">
        <f t="shared" si="3"/>
        <v>106532521.39445198</v>
      </c>
      <c r="L58" s="165">
        <f t="shared" si="4"/>
        <v>-17185272.519973002</v>
      </c>
      <c r="M58" s="165">
        <f t="shared" si="5"/>
        <v>89347248.874478996</v>
      </c>
      <c r="N58" s="165">
        <f ca="1">IFERROR(M58/C3,0)</f>
        <v>0</v>
      </c>
    </row>
    <row r="59" spans="2:14" s="158" customFormat="1" ht="20.100000000000001" customHeight="1" x14ac:dyDescent="0.25">
      <c r="B59" s="187" t="s">
        <v>176</v>
      </c>
      <c r="C59" s="188" t="s">
        <v>178</v>
      </c>
      <c r="D59" s="179">
        <f>TARGETS!J13</f>
        <v>404133664</v>
      </c>
      <c r="E59" s="179">
        <f>TARGETS!K13</f>
        <v>0</v>
      </c>
      <c r="F59" s="179">
        <f>D59+E59</f>
        <v>404133664</v>
      </c>
      <c r="G59" s="176">
        <f>C23</f>
        <v>120550492.72</v>
      </c>
      <c r="H59" s="176">
        <f>IF(D23="",0,D23)</f>
        <v>0</v>
      </c>
      <c r="I59" s="176">
        <f>G59+H59</f>
        <v>120550492.72</v>
      </c>
      <c r="J59" s="177">
        <f>IFERROR(I59/F59,0)</f>
        <v>0.29829361782640307</v>
      </c>
      <c r="K59" s="165">
        <f>D59-G59</f>
        <v>283583171.27999997</v>
      </c>
      <c r="L59" s="165">
        <f>E59-H59</f>
        <v>0</v>
      </c>
      <c r="M59" s="165">
        <f>F59-I59</f>
        <v>283583171.27999997</v>
      </c>
      <c r="N59" s="165">
        <f ca="1">IFERROR(M59/C3,0)</f>
        <v>0</v>
      </c>
    </row>
    <row r="60" spans="2:14" s="158" customFormat="1" ht="20.100000000000001" customHeight="1" x14ac:dyDescent="0.25">
      <c r="B60" s="185" t="s">
        <v>80</v>
      </c>
      <c r="C60" s="186" t="s">
        <v>81</v>
      </c>
      <c r="D60" s="178">
        <f>TARGETS!J14</f>
        <v>384017309.32355773</v>
      </c>
      <c r="E60" s="178">
        <f>TARGETS!K14</f>
        <v>119782698</v>
      </c>
      <c r="F60" s="178">
        <f t="shared" si="0"/>
        <v>503800007.32355773</v>
      </c>
      <c r="G60" s="176">
        <f>M15</f>
        <v>304137742.30899602</v>
      </c>
      <c r="H60" s="176">
        <f t="shared" ref="H60:H64" si="7">N15</f>
        <v>119707150.766315</v>
      </c>
      <c r="I60" s="176">
        <f t="shared" si="1"/>
        <v>423844893.07531101</v>
      </c>
      <c r="J60" s="177">
        <f t="shared" si="2"/>
        <v>0.84129592479958659</v>
      </c>
      <c r="K60" s="165">
        <f t="shared" si="3"/>
        <v>79879567.014561713</v>
      </c>
      <c r="L60" s="165">
        <f t="shared" si="4"/>
        <v>75547.233685001731</v>
      </c>
      <c r="M60" s="165">
        <f t="shared" si="5"/>
        <v>79955114.248246729</v>
      </c>
      <c r="N60" s="165">
        <f ca="1">IFERROR(M60/C3,0)</f>
        <v>0</v>
      </c>
    </row>
    <row r="61" spans="2:14" s="158" customFormat="1" ht="20.100000000000001" customHeight="1" x14ac:dyDescent="0.25">
      <c r="B61" s="183" t="s">
        <v>82</v>
      </c>
      <c r="C61" s="184" t="s">
        <v>83</v>
      </c>
      <c r="D61" s="175">
        <f>TARGETS!J15</f>
        <v>611629595.7161876</v>
      </c>
      <c r="E61" s="175">
        <f>TARGETS!K15</f>
        <v>40059909</v>
      </c>
      <c r="F61" s="175">
        <f t="shared" si="0"/>
        <v>651689504.7161876</v>
      </c>
      <c r="G61" s="176">
        <f>M16</f>
        <v>479291727.990435</v>
      </c>
      <c r="H61" s="176">
        <f t="shared" si="7"/>
        <v>61629599.543938003</v>
      </c>
      <c r="I61" s="176">
        <f t="shared" si="1"/>
        <v>540921327.53437304</v>
      </c>
      <c r="J61" s="177">
        <f t="shared" si="2"/>
        <v>0.8300292142497302</v>
      </c>
      <c r="K61" s="165">
        <f t="shared" si="3"/>
        <v>132337867.72575259</v>
      </c>
      <c r="L61" s="165">
        <f t="shared" si="4"/>
        <v>-21569690.543938003</v>
      </c>
      <c r="M61" s="165">
        <f t="shared" si="5"/>
        <v>110768177.18181455</v>
      </c>
      <c r="N61" s="165">
        <f ca="1">IFERROR(M61/C3,0)</f>
        <v>0</v>
      </c>
    </row>
    <row r="62" spans="2:14" s="158" customFormat="1" ht="20.100000000000001" customHeight="1" x14ac:dyDescent="0.25">
      <c r="B62" s="185" t="s">
        <v>84</v>
      </c>
      <c r="C62" s="186" t="s">
        <v>85</v>
      </c>
      <c r="D62" s="178">
        <f>TARGETS!J16</f>
        <v>366543022.9053762</v>
      </c>
      <c r="E62" s="178">
        <f>TARGETS!K16</f>
        <v>45082463</v>
      </c>
      <c r="F62" s="178">
        <f t="shared" si="0"/>
        <v>411625485.9053762</v>
      </c>
      <c r="G62" s="176">
        <f>M17</f>
        <v>303439555.68576801</v>
      </c>
      <c r="H62" s="176">
        <f t="shared" si="7"/>
        <v>28364314.698472001</v>
      </c>
      <c r="I62" s="176">
        <f t="shared" si="1"/>
        <v>331803870.38424003</v>
      </c>
      <c r="J62" s="177">
        <f t="shared" si="2"/>
        <v>0.80608194036973346</v>
      </c>
      <c r="K62" s="165">
        <f t="shared" si="3"/>
        <v>63103467.219608188</v>
      </c>
      <c r="L62" s="165">
        <f t="shared" si="4"/>
        <v>16718148.301527999</v>
      </c>
      <c r="M62" s="165">
        <f t="shared" si="5"/>
        <v>79821615.521136165</v>
      </c>
      <c r="N62" s="165">
        <f ca="1">IFERROR(M62/C3,0)</f>
        <v>0</v>
      </c>
    </row>
    <row r="63" spans="2:14" s="158" customFormat="1" ht="20.100000000000001" customHeight="1" x14ac:dyDescent="0.25">
      <c r="B63" s="183" t="s">
        <v>86</v>
      </c>
      <c r="C63" s="184" t="s">
        <v>87</v>
      </c>
      <c r="D63" s="175">
        <f>TARGETS!J17</f>
        <v>563350942.09827971</v>
      </c>
      <c r="E63" s="175">
        <f>TARGETS!K17</f>
        <v>311125253</v>
      </c>
      <c r="F63" s="175">
        <f t="shared" si="0"/>
        <v>874476195.09827971</v>
      </c>
      <c r="G63" s="176">
        <f>M18</f>
        <v>663559823.79009497</v>
      </c>
      <c r="H63" s="176">
        <f t="shared" si="7"/>
        <v>200253231.98958299</v>
      </c>
      <c r="I63" s="176">
        <f t="shared" si="1"/>
        <v>863813055.77967799</v>
      </c>
      <c r="J63" s="177">
        <f t="shared" si="2"/>
        <v>0.98780625547227918</v>
      </c>
      <c r="K63" s="165">
        <f t="shared" si="3"/>
        <v>-100208881.69181526</v>
      </c>
      <c r="L63" s="165">
        <f t="shared" si="4"/>
        <v>110872021.01041701</v>
      </c>
      <c r="M63" s="165">
        <f t="shared" si="5"/>
        <v>10663139.318601727</v>
      </c>
      <c r="N63" s="165">
        <f ca="1">IFERROR(M63/C3,0)</f>
        <v>0</v>
      </c>
    </row>
    <row r="64" spans="2:14" s="158" customFormat="1" ht="20.100000000000001" customHeight="1" x14ac:dyDescent="0.25">
      <c r="B64" s="185" t="s">
        <v>88</v>
      </c>
      <c r="C64" s="186" t="s">
        <v>89</v>
      </c>
      <c r="D64" s="178">
        <f>TARGETS!J18</f>
        <v>239525689.01344877</v>
      </c>
      <c r="E64" s="178">
        <f>TARGETS!K18</f>
        <v>239288340</v>
      </c>
      <c r="F64" s="178">
        <f t="shared" si="0"/>
        <v>478814029.01344877</v>
      </c>
      <c r="G64" s="176">
        <f>M19</f>
        <v>162674997.04759601</v>
      </c>
      <c r="H64" s="176">
        <f t="shared" si="7"/>
        <v>152708112.726924</v>
      </c>
      <c r="I64" s="176">
        <f t="shared" si="1"/>
        <v>315383109.77452004</v>
      </c>
      <c r="J64" s="177">
        <f t="shared" si="2"/>
        <v>0.65867558313681251</v>
      </c>
      <c r="K64" s="165">
        <f t="shared" si="3"/>
        <v>76850691.965852767</v>
      </c>
      <c r="L64" s="165">
        <f t="shared" si="4"/>
        <v>86580227.273075998</v>
      </c>
      <c r="M64" s="165">
        <f t="shared" si="5"/>
        <v>163430919.23892874</v>
      </c>
      <c r="N64" s="165">
        <f ca="1">IFERROR(M64/C3,0)</f>
        <v>0</v>
      </c>
    </row>
    <row r="65" spans="2:14" s="158" customFormat="1" ht="20.100000000000001" customHeight="1" x14ac:dyDescent="0.25">
      <c r="B65" s="189" t="s">
        <v>152</v>
      </c>
      <c r="C65" s="190"/>
      <c r="D65" s="180">
        <f>SUM(D51:D64)</f>
        <v>6619279333.0648613</v>
      </c>
      <c r="E65" s="180">
        <f t="shared" ref="E65" si="8">SUM(E51:E52,E54:E58,E60:E64)</f>
        <v>1269766212</v>
      </c>
      <c r="F65" s="180">
        <f>SUM(F51:F64)</f>
        <v>7889045545.0648613</v>
      </c>
      <c r="G65" s="181">
        <f>SUM(G51:G64)</f>
        <v>5616954947.9936943</v>
      </c>
      <c r="H65" s="181">
        <f>SUM(H51:H64)</f>
        <v>976438253.53318501</v>
      </c>
      <c r="I65" s="181">
        <f>SUM(I51:I64)</f>
        <v>6593393201.5268793</v>
      </c>
      <c r="J65" s="182">
        <f>IFERROR(I65/F65,0)</f>
        <v>0.83576564032533673</v>
      </c>
      <c r="K65" s="166">
        <f>SUM(K51:K64)</f>
        <v>1002324385.0711663</v>
      </c>
      <c r="L65" s="166">
        <f>SUM(L51:L64)</f>
        <v>293327958.46681499</v>
      </c>
      <c r="M65" s="166">
        <f>SUM(M51:M64)</f>
        <v>1295652343.537981</v>
      </c>
      <c r="N65" s="166">
        <f ca="1">IFERROR(M65/C3,0)</f>
        <v>0</v>
      </c>
    </row>
    <row r="67" spans="2:14" ht="20.100000000000001" customHeight="1" x14ac:dyDescent="0.25">
      <c r="B67" s="135" t="s">
        <v>175</v>
      </c>
      <c r="C67" s="136"/>
      <c r="D67" s="137"/>
      <c r="G67"/>
      <c r="H67"/>
      <c r="I67"/>
    </row>
    <row r="68" spans="2:14" ht="20.100000000000001" customHeight="1" x14ac:dyDescent="0.25">
      <c r="B68" s="223" t="s">
        <v>41</v>
      </c>
      <c r="C68" s="223" t="s">
        <v>42</v>
      </c>
      <c r="D68" s="134" t="s">
        <v>139</v>
      </c>
      <c r="G68"/>
      <c r="H68"/>
      <c r="I68"/>
    </row>
    <row r="69" spans="2:14" ht="20.100000000000001" customHeight="1" x14ac:dyDescent="0.25">
      <c r="B69" s="223"/>
      <c r="C69" s="223"/>
      <c r="D69" s="71" t="s">
        <v>172</v>
      </c>
      <c r="G69"/>
      <c r="H69"/>
      <c r="I69"/>
    </row>
    <row r="70" spans="2:14" s="158" customFormat="1" ht="20.100000000000001" customHeight="1" x14ac:dyDescent="0.25">
      <c r="B70" s="183" t="s">
        <v>67</v>
      </c>
      <c r="C70" s="184" t="s">
        <v>68</v>
      </c>
      <c r="D70" s="191">
        <f>IF(E24="",0,E24)</f>
        <v>24325368.979991999</v>
      </c>
    </row>
    <row r="71" spans="2:14" s="158" customFormat="1" ht="20.100000000000001" customHeight="1" x14ac:dyDescent="0.25">
      <c r="B71" s="185" t="s">
        <v>69</v>
      </c>
      <c r="C71" s="186" t="s">
        <v>70</v>
      </c>
      <c r="D71" s="192">
        <f>IF(E12="",0,E12)+IF(E13="",0,E13)</f>
        <v>81902340.960000008</v>
      </c>
    </row>
    <row r="72" spans="2:14" s="158" customFormat="1" ht="20.100000000000001" customHeight="1" x14ac:dyDescent="0.25">
      <c r="B72" s="185" t="s">
        <v>176</v>
      </c>
      <c r="C72" s="186" t="s">
        <v>177</v>
      </c>
      <c r="D72" s="192">
        <f>IF(E22="",0,E22)</f>
        <v>12315315.119999999</v>
      </c>
    </row>
    <row r="73" spans="2:14" s="158" customFormat="1" ht="20.100000000000001" customHeight="1" x14ac:dyDescent="0.25">
      <c r="B73" s="183" t="s">
        <v>71</v>
      </c>
      <c r="C73" s="184" t="s">
        <v>72</v>
      </c>
      <c r="D73" s="191">
        <f>IF(E14="",0,E14)</f>
        <v>66130323.599985003</v>
      </c>
    </row>
    <row r="74" spans="2:14" s="158" customFormat="1" ht="20.100000000000001" customHeight="1" x14ac:dyDescent="0.25">
      <c r="B74" s="185" t="s">
        <v>73</v>
      </c>
      <c r="C74" s="186" t="s">
        <v>74</v>
      </c>
      <c r="D74" s="192">
        <f>0</f>
        <v>0</v>
      </c>
    </row>
    <row r="75" spans="2:14" s="158" customFormat="1" ht="20.100000000000001" customHeight="1" x14ac:dyDescent="0.25">
      <c r="B75" s="183" t="s">
        <v>75</v>
      </c>
      <c r="C75" s="184" t="s">
        <v>74</v>
      </c>
      <c r="D75" s="191">
        <v>2883783.76</v>
      </c>
    </row>
    <row r="76" spans="2:14" s="158" customFormat="1" ht="20.100000000000001" customHeight="1" x14ac:dyDescent="0.25">
      <c r="B76" s="185" t="s">
        <v>76</v>
      </c>
      <c r="C76" s="186" t="s">
        <v>77</v>
      </c>
      <c r="D76" s="192">
        <f>IF(E19="",0,E19)</f>
        <v>287203621.35000002</v>
      </c>
    </row>
    <row r="77" spans="2:14" s="158" customFormat="1" ht="20.100000000000001" customHeight="1" x14ac:dyDescent="0.25">
      <c r="B77" s="183" t="s">
        <v>78</v>
      </c>
      <c r="C77" s="184" t="s">
        <v>79</v>
      </c>
      <c r="D77" s="191">
        <f>IF(E25="",0,E25)</f>
        <v>26407801.439994998</v>
      </c>
    </row>
    <row r="78" spans="2:14" s="158" customFormat="1" ht="20.100000000000001" customHeight="1" x14ac:dyDescent="0.25">
      <c r="B78" s="185" t="s">
        <v>176</v>
      </c>
      <c r="C78" s="186" t="s">
        <v>178</v>
      </c>
      <c r="D78" s="192">
        <f>IF(E23="",0,E23)</f>
        <v>17151621.32</v>
      </c>
    </row>
    <row r="79" spans="2:14" s="158" customFormat="1" ht="20.100000000000001" customHeight="1" x14ac:dyDescent="0.25">
      <c r="B79" s="185" t="s">
        <v>80</v>
      </c>
      <c r="C79" s="186" t="s">
        <v>81</v>
      </c>
      <c r="D79" s="192">
        <f>IF(E11="",0,E11)</f>
        <v>34053355</v>
      </c>
    </row>
    <row r="80" spans="2:14" s="158" customFormat="1" ht="20.100000000000001" customHeight="1" x14ac:dyDescent="0.25">
      <c r="B80" s="183" t="s">
        <v>82</v>
      </c>
      <c r="C80" s="184" t="s">
        <v>83</v>
      </c>
      <c r="D80" s="191">
        <f>IF(E26="",0,E26)</f>
        <v>112736039.39988001</v>
      </c>
    </row>
    <row r="81" spans="2:9" s="158" customFormat="1" ht="20.100000000000001" customHeight="1" x14ac:dyDescent="0.25">
      <c r="B81" s="185" t="s">
        <v>84</v>
      </c>
      <c r="C81" s="186" t="s">
        <v>85</v>
      </c>
      <c r="D81" s="192">
        <f>IF(E10="",0,E10)</f>
        <v>61031205.54998</v>
      </c>
    </row>
    <row r="82" spans="2:9" s="158" customFormat="1" ht="20.100000000000001" customHeight="1" x14ac:dyDescent="0.25">
      <c r="B82" s="183" t="s">
        <v>86</v>
      </c>
      <c r="C82" s="184" t="s">
        <v>87</v>
      </c>
      <c r="D82" s="191">
        <f>0</f>
        <v>0</v>
      </c>
    </row>
    <row r="83" spans="2:9" s="158" customFormat="1" ht="20.100000000000001" customHeight="1" x14ac:dyDescent="0.25">
      <c r="B83" s="185" t="s">
        <v>88</v>
      </c>
      <c r="C83" s="186" t="s">
        <v>89</v>
      </c>
      <c r="D83" s="192">
        <f>0</f>
        <v>0</v>
      </c>
    </row>
    <row r="84" spans="2:9" s="158" customFormat="1" ht="20.100000000000001" customHeight="1" x14ac:dyDescent="0.25">
      <c r="B84" s="189" t="s">
        <v>152</v>
      </c>
      <c r="C84" s="190"/>
      <c r="D84" s="193">
        <f>SUM(D70:D83)</f>
        <v>726140776.47983217</v>
      </c>
    </row>
    <row r="87" spans="2:9" s="158" customFormat="1" ht="20.100000000000001" customHeight="1" x14ac:dyDescent="0.25">
      <c r="B87" s="228" t="s">
        <v>145</v>
      </c>
      <c r="C87" s="229"/>
      <c r="D87" s="229"/>
      <c r="E87" s="229"/>
      <c r="F87" s="230"/>
      <c r="G87" s="167"/>
      <c r="H87" s="167"/>
      <c r="I87" s="168"/>
    </row>
    <row r="88" spans="2:9" s="158" customFormat="1" ht="20.100000000000001" customHeight="1" x14ac:dyDescent="0.25">
      <c r="B88" s="169" t="s">
        <v>153</v>
      </c>
      <c r="C88" s="169" t="s">
        <v>42</v>
      </c>
      <c r="D88" s="169" t="s">
        <v>138</v>
      </c>
      <c r="E88" s="169" t="s">
        <v>139</v>
      </c>
      <c r="F88" s="169" t="s">
        <v>140</v>
      </c>
      <c r="G88" s="170" t="s">
        <v>141</v>
      </c>
      <c r="H88" s="170" t="s">
        <v>142</v>
      </c>
      <c r="I88" s="168"/>
    </row>
    <row r="89" spans="2:9" s="158" customFormat="1" ht="20.100000000000001" customHeight="1" x14ac:dyDescent="0.25">
      <c r="B89" s="183" t="s">
        <v>92</v>
      </c>
      <c r="C89" s="184" t="s">
        <v>93</v>
      </c>
      <c r="D89" s="194">
        <f>TARGETS!G22</f>
        <v>279391895.3166402</v>
      </c>
      <c r="E89" s="176">
        <f>IFERROR(C32,0)</f>
        <v>240237597.65824801</v>
      </c>
      <c r="F89" s="177">
        <f t="shared" ref="F89:F94" si="9">IFERROR(E89/D89,0)</f>
        <v>0.85985886378694742</v>
      </c>
      <c r="G89" s="171">
        <f>D89-E89</f>
        <v>39154297.658392191</v>
      </c>
      <c r="H89" s="171">
        <f ca="1">IFERROR(G89/C3,0)</f>
        <v>0</v>
      </c>
      <c r="I89" s="168"/>
    </row>
    <row r="90" spans="2:9" s="158" customFormat="1" ht="20.100000000000001" customHeight="1" x14ac:dyDescent="0.25">
      <c r="B90" s="198" t="s">
        <v>94</v>
      </c>
      <c r="C90" s="199" t="s">
        <v>95</v>
      </c>
      <c r="D90" s="200">
        <f>TARGETS!G23</f>
        <v>419611959.16831887</v>
      </c>
      <c r="E90" s="176">
        <f>IFERROR(C33,0)</f>
        <v>449933743.924721</v>
      </c>
      <c r="F90" s="177">
        <f t="shared" si="9"/>
        <v>1.0722614884868884</v>
      </c>
      <c r="G90" s="172">
        <f>D90-E90</f>
        <v>-30321784.756402135</v>
      </c>
      <c r="H90" s="172">
        <f ca="1">IFERROR(G90/C3,0)</f>
        <v>0</v>
      </c>
      <c r="I90" s="168"/>
    </row>
    <row r="91" spans="2:9" s="158" customFormat="1" ht="20.100000000000001" customHeight="1" x14ac:dyDescent="0.25">
      <c r="B91" s="183" t="s">
        <v>96</v>
      </c>
      <c r="C91" s="184" t="s">
        <v>97</v>
      </c>
      <c r="D91" s="194">
        <f>TARGETS!G24</f>
        <v>1092485507.2171693</v>
      </c>
      <c r="E91" s="176">
        <f>M21+M7</f>
        <v>897130483.57328391</v>
      </c>
      <c r="F91" s="177">
        <f t="shared" si="9"/>
        <v>0.82118296091496634</v>
      </c>
      <c r="G91" s="171">
        <f>D91-E91</f>
        <v>195355023.64388537</v>
      </c>
      <c r="H91" s="171">
        <f ca="1">IFERROR(G91/C3,0)</f>
        <v>0</v>
      </c>
      <c r="I91" s="168"/>
    </row>
    <row r="92" spans="2:9" s="158" customFormat="1" ht="20.100000000000001" hidden="1" customHeight="1" x14ac:dyDescent="0.25">
      <c r="B92" s="185" t="s">
        <v>98</v>
      </c>
      <c r="C92" s="186" t="s">
        <v>99</v>
      </c>
      <c r="D92" s="195">
        <f>TARGETS!G25</f>
        <v>0</v>
      </c>
      <c r="E92" s="176">
        <f>0</f>
        <v>0</v>
      </c>
      <c r="F92" s="177">
        <f t="shared" si="9"/>
        <v>0</v>
      </c>
      <c r="G92" s="172">
        <f>D92-E92</f>
        <v>0</v>
      </c>
      <c r="H92" s="172">
        <f ca="1">IFERROR(G92/C3,0)</f>
        <v>0</v>
      </c>
      <c r="I92" s="168"/>
    </row>
    <row r="93" spans="2:9" s="158" customFormat="1" ht="20.100000000000001" hidden="1" customHeight="1" x14ac:dyDescent="0.25">
      <c r="B93" s="183" t="s">
        <v>100</v>
      </c>
      <c r="C93" s="196" t="s">
        <v>101</v>
      </c>
      <c r="D93" s="194">
        <f>TARGETS!G26</f>
        <v>0</v>
      </c>
      <c r="E93" s="176">
        <f>0</f>
        <v>0</v>
      </c>
      <c r="F93" s="177">
        <f t="shared" si="9"/>
        <v>0</v>
      </c>
      <c r="G93" s="171">
        <f>D93-E93</f>
        <v>0</v>
      </c>
      <c r="H93" s="171">
        <f ca="1">IFERROR(G93/C3,0)</f>
        <v>0</v>
      </c>
      <c r="I93" s="168"/>
    </row>
    <row r="94" spans="2:9" s="158" customFormat="1" ht="20.100000000000001" customHeight="1" x14ac:dyDescent="0.25">
      <c r="B94" s="189" t="s">
        <v>152</v>
      </c>
      <c r="C94" s="190"/>
      <c r="D94" s="197">
        <f>SUM(D89:D93)</f>
        <v>1791489361.7021284</v>
      </c>
      <c r="E94" s="197">
        <f>SUM(E89:E93)</f>
        <v>1587301825.1562529</v>
      </c>
      <c r="F94" s="174">
        <f t="shared" si="9"/>
        <v>0.88602358411334747</v>
      </c>
      <c r="G94" s="173">
        <f>SUM(G89:G93)</f>
        <v>204187536.54587543</v>
      </c>
      <c r="H94" s="173">
        <f ca="1">IFERROR(G94/C3,0)</f>
        <v>0</v>
      </c>
      <c r="I94" s="168"/>
    </row>
  </sheetData>
  <mergeCells count="12">
    <mergeCell ref="B41:D41"/>
    <mergeCell ref="N49:N50"/>
    <mergeCell ref="B48:J48"/>
    <mergeCell ref="B87:F87"/>
    <mergeCell ref="D49:F49"/>
    <mergeCell ref="B46:C46"/>
    <mergeCell ref="B49:B50"/>
    <mergeCell ref="C49:C50"/>
    <mergeCell ref="J49:J50"/>
    <mergeCell ref="K48:N48"/>
    <mergeCell ref="B68:B69"/>
    <mergeCell ref="C68:C69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abSelected="1" topLeftCell="A55" zoomScaleNormal="100" workbookViewId="0">
      <selection activeCell="B87" sqref="B87:F94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7" width="16" customWidth="1"/>
    <col min="8" max="8" width="14.42578125" customWidth="1"/>
    <col min="9" max="9" width="15.42578125" customWidth="1"/>
    <col min="10" max="10" width="10" customWidth="1"/>
    <col min="11" max="12" width="12.710937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NETWORKDAYS.INTL(TODAY(),EOMONTH(TODAY(),0),11)</f>
        <v>2</v>
      </c>
      <c r="D3" s="79" t="s">
        <v>104</v>
      </c>
      <c r="E3" s="80">
        <f ca="1">DAY(EOMONTH(TODAY(),0))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277572338.92065102</v>
      </c>
      <c r="N8" s="11">
        <f>D24</f>
        <v>42987072.443455003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491408712.98569405</v>
      </c>
      <c r="N9" s="11">
        <f>D12+D13</f>
        <v>95115098.150067002</v>
      </c>
    </row>
    <row r="10" spans="2:14" x14ac:dyDescent="0.25">
      <c r="B10" s="74" t="s">
        <v>113</v>
      </c>
      <c r="C10" s="205">
        <v>284653659.37129903</v>
      </c>
      <c r="D10" s="205">
        <v>32538666.405825999</v>
      </c>
      <c r="E10" s="205">
        <v>160988067.75999901</v>
      </c>
      <c r="F10" s="205">
        <v>478180393.53712398</v>
      </c>
      <c r="H10" s="116"/>
      <c r="I10" s="116"/>
      <c r="J10" s="116"/>
      <c r="M10" s="11">
        <f>C14</f>
        <v>601791552.94577396</v>
      </c>
      <c r="N10" s="11">
        <f>D14</f>
        <v>24913073.601101998</v>
      </c>
    </row>
    <row r="11" spans="2:14" x14ac:dyDescent="0.25">
      <c r="B11" s="74" t="s">
        <v>114</v>
      </c>
      <c r="C11" s="205">
        <v>360481445.10647702</v>
      </c>
      <c r="D11" s="205">
        <v>90194350.395528004</v>
      </c>
      <c r="E11" s="205">
        <v>38843243.600000001</v>
      </c>
      <c r="F11" s="205">
        <v>489519039.102005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205">
        <v>265036672.84783801</v>
      </c>
      <c r="D12" s="205">
        <v>62694125.750248998</v>
      </c>
      <c r="E12" s="205">
        <v>37747611.759999998</v>
      </c>
      <c r="F12" s="205">
        <v>365478410.358087</v>
      </c>
      <c r="H12" s="116"/>
      <c r="I12" s="116"/>
      <c r="J12" s="116"/>
      <c r="M12" s="11">
        <f>C16</f>
        <v>401012002.879605</v>
      </c>
      <c r="N12" s="11">
        <f>D16</f>
        <v>60954054.369306996</v>
      </c>
    </row>
    <row r="13" spans="2:14" x14ac:dyDescent="0.25">
      <c r="B13" s="74" t="s">
        <v>115</v>
      </c>
      <c r="C13" s="205">
        <v>226372040.13785601</v>
      </c>
      <c r="D13" s="205">
        <v>32420972.399817999</v>
      </c>
      <c r="E13" s="205">
        <v>40862296.799999997</v>
      </c>
      <c r="F13" s="205">
        <v>299655309.33767402</v>
      </c>
      <c r="H13" s="116"/>
      <c r="I13" s="116"/>
      <c r="J13" s="116"/>
      <c r="M13" s="11">
        <f>C19</f>
        <v>985018350.45224202</v>
      </c>
      <c r="N13" s="11">
        <f>D19</f>
        <v>73190755.369811997</v>
      </c>
    </row>
    <row r="14" spans="2:14" x14ac:dyDescent="0.25">
      <c r="B14" s="74" t="s">
        <v>116</v>
      </c>
      <c r="C14" s="205">
        <v>601791552.94577396</v>
      </c>
      <c r="D14" s="205">
        <v>24913073.601101998</v>
      </c>
      <c r="E14" s="205">
        <v>212275674.66999999</v>
      </c>
      <c r="F14" s="205">
        <v>838980301.21687603</v>
      </c>
      <c r="H14" s="116"/>
      <c r="I14" s="116"/>
      <c r="J14" s="116"/>
      <c r="M14" s="11">
        <f>C25</f>
        <v>377190190.04997498</v>
      </c>
      <c r="N14" s="11">
        <f>D25</f>
        <v>67775158.759754002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360481445.10647702</v>
      </c>
      <c r="N15" s="11">
        <f>D11</f>
        <v>90194350.395528004</v>
      </c>
    </row>
    <row r="16" spans="2:14" x14ac:dyDescent="0.25">
      <c r="B16" s="74" t="s">
        <v>74</v>
      </c>
      <c r="C16" s="205">
        <v>401012002.879605</v>
      </c>
      <c r="D16" s="205">
        <v>60954054.369306996</v>
      </c>
      <c r="E16" s="205">
        <v>11908108</v>
      </c>
      <c r="F16" s="205">
        <v>473874165.24891198</v>
      </c>
      <c r="H16" s="116"/>
      <c r="I16" s="116"/>
      <c r="J16" s="116"/>
      <c r="M16" s="11">
        <f>C26</f>
        <v>434780667.167575</v>
      </c>
      <c r="N16" s="11">
        <f>D26</f>
        <v>55655063.089941002</v>
      </c>
    </row>
    <row r="17" spans="2:14" x14ac:dyDescent="0.25">
      <c r="B17" s="74" t="s">
        <v>118</v>
      </c>
      <c r="C17" s="205">
        <v>314350697.279998</v>
      </c>
      <c r="D17" s="205">
        <v>42787524.299999997</v>
      </c>
      <c r="E17" s="205" t="s">
        <v>169</v>
      </c>
      <c r="F17" s="205">
        <v>357138221.57999802</v>
      </c>
      <c r="H17" s="116"/>
      <c r="I17" s="116"/>
      <c r="J17" s="116"/>
      <c r="M17" s="11">
        <f>C10</f>
        <v>284653659.37129903</v>
      </c>
      <c r="N17" s="11">
        <f>D10</f>
        <v>32538666.405825999</v>
      </c>
    </row>
    <row r="18" spans="2:14" x14ac:dyDescent="0.25">
      <c r="B18" s="74" t="s">
        <v>119</v>
      </c>
      <c r="C18" s="205">
        <v>925109213.55476904</v>
      </c>
      <c r="D18" s="205">
        <v>9312204.4019750003</v>
      </c>
      <c r="E18" s="205">
        <v>11243243.220000001</v>
      </c>
      <c r="F18" s="205">
        <v>945664661.17674398</v>
      </c>
      <c r="H18" s="116"/>
      <c r="I18" s="116"/>
      <c r="J18" s="116"/>
      <c r="M18" s="11">
        <f>C27</f>
        <v>667336640.85745704</v>
      </c>
      <c r="N18" s="11">
        <f>D27</f>
        <v>179744789.15262499</v>
      </c>
    </row>
    <row r="19" spans="2:14" x14ac:dyDescent="0.25">
      <c r="B19" s="74" t="s">
        <v>121</v>
      </c>
      <c r="C19" s="205">
        <v>985018350.45224202</v>
      </c>
      <c r="D19" s="205">
        <v>73190755.369811997</v>
      </c>
      <c r="E19" s="205">
        <v>634030850.76992702</v>
      </c>
      <c r="F19" s="205">
        <v>1692239956.5919809</v>
      </c>
      <c r="H19" s="116"/>
      <c r="I19" s="116"/>
      <c r="J19" s="116"/>
      <c r="M19" s="11">
        <f>C20+C21</f>
        <v>237899949.77078599</v>
      </c>
      <c r="N19" s="11">
        <f>D20+D21</f>
        <v>128164709.80047999</v>
      </c>
    </row>
    <row r="20" spans="2:14" x14ac:dyDescent="0.25">
      <c r="B20" s="74" t="s">
        <v>123</v>
      </c>
      <c r="C20" s="205">
        <v>177226855.77078599</v>
      </c>
      <c r="D20" s="205">
        <v>28556299.959775999</v>
      </c>
      <c r="E20" s="205">
        <v>3816216.3</v>
      </c>
      <c r="F20" s="205">
        <v>209599372.03056201</v>
      </c>
      <c r="H20" s="116"/>
      <c r="I20" s="116"/>
      <c r="J20" s="116"/>
      <c r="M20" s="14">
        <f>IFERROR(C31,0)+IFERROR(C15,0)+IFERROR(C36,0)</f>
        <v>301003631.99519998</v>
      </c>
      <c r="N20" s="10" t="s">
        <v>120</v>
      </c>
    </row>
    <row r="21" spans="2:14" x14ac:dyDescent="0.25">
      <c r="B21" s="74" t="s">
        <v>124</v>
      </c>
      <c r="C21" s="205">
        <v>60673094</v>
      </c>
      <c r="D21" s="205">
        <v>99608409.840703994</v>
      </c>
      <c r="E21" s="205">
        <v>69318920.239999995</v>
      </c>
      <c r="F21" s="205">
        <v>229600424.080704</v>
      </c>
      <c r="H21" s="116"/>
      <c r="I21" s="116"/>
      <c r="J21" s="116"/>
      <c r="M21" s="14">
        <f>IFERROR(C34,0)+IFERROR(C35,0)+M20</f>
        <v>935920708.75692701</v>
      </c>
      <c r="N21" s="10" t="s">
        <v>122</v>
      </c>
    </row>
    <row r="22" spans="2:14" x14ac:dyDescent="0.25">
      <c r="B22" s="74" t="s">
        <v>173</v>
      </c>
      <c r="C22" s="205">
        <v>196977845.80000001</v>
      </c>
      <c r="D22" s="205" t="s">
        <v>169</v>
      </c>
      <c r="E22" s="205">
        <v>10814414.119999999</v>
      </c>
      <c r="F22" s="205">
        <v>207792259.91999999</v>
      </c>
      <c r="H22" s="116"/>
      <c r="I22" s="116"/>
      <c r="J22" s="116"/>
    </row>
    <row r="23" spans="2:14" x14ac:dyDescent="0.25">
      <c r="B23" s="74" t="s">
        <v>174</v>
      </c>
      <c r="C23" s="205">
        <v>241460975.249975</v>
      </c>
      <c r="D23" s="205" t="s">
        <v>169</v>
      </c>
      <c r="E23" s="205">
        <v>13813693.32</v>
      </c>
      <c r="F23" s="205">
        <v>255274668.56997499</v>
      </c>
      <c r="H23" s="116"/>
      <c r="I23" s="116"/>
      <c r="J23" s="116"/>
    </row>
    <row r="24" spans="2:14" x14ac:dyDescent="0.25">
      <c r="B24" s="74" t="s">
        <v>125</v>
      </c>
      <c r="C24" s="205">
        <v>277572338.92065102</v>
      </c>
      <c r="D24" s="205">
        <v>42987072.443455003</v>
      </c>
      <c r="E24" s="205">
        <v>117989061.36</v>
      </c>
      <c r="F24" s="205">
        <v>438548472.72410601</v>
      </c>
      <c r="H24" s="116"/>
      <c r="I24" s="116"/>
      <c r="J24" s="116"/>
    </row>
    <row r="25" spans="2:14" x14ac:dyDescent="0.25">
      <c r="B25" s="74" t="s">
        <v>126</v>
      </c>
      <c r="C25" s="205">
        <v>377190190.04997498</v>
      </c>
      <c r="D25" s="205">
        <v>67775158.759754002</v>
      </c>
      <c r="E25" s="205">
        <v>235065044.80979499</v>
      </c>
      <c r="F25" s="205">
        <v>680030393.619524</v>
      </c>
      <c r="H25" s="116"/>
      <c r="I25" s="116"/>
      <c r="J25" s="116"/>
    </row>
    <row r="26" spans="2:14" x14ac:dyDescent="0.25">
      <c r="B26" s="74" t="s">
        <v>127</v>
      </c>
      <c r="C26" s="205">
        <v>434780667.167575</v>
      </c>
      <c r="D26" s="205">
        <v>55655063.089941002</v>
      </c>
      <c r="E26" s="205">
        <v>446908556.76973099</v>
      </c>
      <c r="F26" s="205">
        <v>937344287.02724695</v>
      </c>
      <c r="H26" s="116"/>
      <c r="I26" s="116"/>
      <c r="J26" s="116"/>
    </row>
    <row r="27" spans="2:14" x14ac:dyDescent="0.25">
      <c r="B27" s="74" t="s">
        <v>128</v>
      </c>
      <c r="C27" s="205">
        <v>667336640.85745704</v>
      </c>
      <c r="D27" s="205">
        <v>179744789.15262499</v>
      </c>
      <c r="E27" s="205">
        <v>18458378.596000001</v>
      </c>
      <c r="F27" s="205">
        <v>865539808.60608196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05">
        <v>276131649.54051697</v>
      </c>
      <c r="G32" s="116"/>
      <c r="H32" s="116"/>
      <c r="I32" s="116"/>
    </row>
    <row r="33" spans="2:14" x14ac:dyDescent="0.25">
      <c r="B33" s="84" t="s">
        <v>133</v>
      </c>
      <c r="C33" s="205">
        <v>412946038.37677097</v>
      </c>
      <c r="G33" s="116"/>
      <c r="H33" s="116"/>
      <c r="I33" s="116"/>
    </row>
    <row r="34" spans="2:14" x14ac:dyDescent="0.25">
      <c r="B34" s="84" t="s">
        <v>134</v>
      </c>
      <c r="C34" s="205">
        <v>277029671.38579899</v>
      </c>
      <c r="G34" s="116"/>
      <c r="H34" s="116"/>
      <c r="I34" s="116"/>
    </row>
    <row r="35" spans="2:14" x14ac:dyDescent="0.25">
      <c r="B35" s="84" t="s">
        <v>135</v>
      </c>
      <c r="C35" s="205">
        <v>357887405.37592798</v>
      </c>
      <c r="G35" s="116"/>
      <c r="H35" s="116"/>
      <c r="I35" s="116"/>
    </row>
    <row r="36" spans="2:14" x14ac:dyDescent="0.25">
      <c r="B36" s="84" t="s">
        <v>136</v>
      </c>
      <c r="C36" s="205">
        <v>301003631.99519998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24" customHeight="1" x14ac:dyDescent="0.25">
      <c r="B41" s="245" t="s">
        <v>184</v>
      </c>
      <c r="C41" s="246"/>
      <c r="D41" s="247"/>
      <c r="E41" s="67" t="s">
        <v>138</v>
      </c>
      <c r="F41" s="73">
        <f ca="1">IF(MONTH(TODAY())=5,DAY(TODAY())/DAY(EOMONTH(TODAY(),0)),IF(MONTH(TODAY())&gt;5,1,0))</f>
        <v>0.93548387096774188</v>
      </c>
      <c r="G41" s="117"/>
      <c r="H41" s="117"/>
      <c r="I41" s="116"/>
    </row>
    <row r="42" spans="2:14" ht="18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5871935028.8375082</v>
      </c>
      <c r="F43" s="44">
        <f>IFERROR(E43/D43,0)</f>
        <v>0.85856049209213792</v>
      </c>
      <c r="G43" s="118">
        <f>D43-E43</f>
        <v>967344303.1624918</v>
      </c>
      <c r="H43" s="118">
        <f ca="1">IFERROR(G43/C3,0)</f>
        <v>483672151.5812459</v>
      </c>
      <c r="I43" s="116"/>
    </row>
    <row r="44" spans="2:14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894020315.83789694</v>
      </c>
      <c r="F44" s="44">
        <f>IFERROR(E44/D44,0)</f>
        <v>0.60600666481040988</v>
      </c>
      <c r="G44" s="118">
        <f>D44-E44</f>
        <v>581244508.38246477</v>
      </c>
      <c r="H44" s="118">
        <f ca="1">IFERROR(G44/C3,0)</f>
        <v>290622254.19123238</v>
      </c>
      <c r="I44" s="116"/>
    </row>
    <row r="45" spans="2:14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1624998396.6742148</v>
      </c>
      <c r="F45" s="44">
        <f>IFERROR(E45/D45,0)</f>
        <v>0.91139528214424914</v>
      </c>
      <c r="G45" s="118">
        <f>D45-E45</f>
        <v>157980326.73004103</v>
      </c>
      <c r="H45" s="118">
        <f ca="1">IFERROR(G45/C3,0)</f>
        <v>78990163.365020514</v>
      </c>
      <c r="I45" s="116"/>
    </row>
    <row r="46" spans="2:14" ht="18.75" customHeight="1" x14ac:dyDescent="0.25">
      <c r="B46" s="221" t="s">
        <v>146</v>
      </c>
      <c r="C46" s="222"/>
      <c r="D46" s="47">
        <f>D43+D44+D45</f>
        <v>10097522879.624619</v>
      </c>
      <c r="E46" s="47">
        <f>E43+E44+E45</f>
        <v>8390953741.3496208</v>
      </c>
      <c r="F46" s="43">
        <f>IFERROR(E46/D46,0)</f>
        <v>0.83099130760885775</v>
      </c>
      <c r="G46" s="119">
        <f>G43+G44+G45</f>
        <v>1706569138.2749977</v>
      </c>
      <c r="H46" s="119">
        <f ca="1">IFERROR(G46/C3,0)</f>
        <v>853284569.13749886</v>
      </c>
      <c r="I46" s="116"/>
    </row>
    <row r="47" spans="2:14" x14ac:dyDescent="0.25">
      <c r="G47" s="116"/>
      <c r="H47" s="116"/>
      <c r="I47" s="116"/>
    </row>
    <row r="48" spans="2:14" ht="25.5" customHeight="1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20.100000000000001" customHeight="1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22.5" customHeight="1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ht="20.100000000000001" customHeight="1" x14ac:dyDescent="0.25">
      <c r="B51" s="201" t="s">
        <v>67</v>
      </c>
      <c r="C51" s="202" t="s">
        <v>68</v>
      </c>
      <c r="D51" s="204">
        <f>TARGETS!L5</f>
        <v>416683478</v>
      </c>
      <c r="E51" s="204">
        <f>TARGETS!M5</f>
        <v>68270401.220654309</v>
      </c>
      <c r="F51" s="204">
        <f t="shared" ref="F51:F64" si="0">D51+E51</f>
        <v>484953879.22065431</v>
      </c>
      <c r="G51" s="122">
        <f>M8</f>
        <v>277572338.92065102</v>
      </c>
      <c r="H51" s="122">
        <f>N8</f>
        <v>42987072.443455003</v>
      </c>
      <c r="I51" s="122">
        <f t="shared" ref="I51:I64" si="1">G51+H51</f>
        <v>320559411.364106</v>
      </c>
      <c r="J51" s="61">
        <f t="shared" ref="J51:J64" si="2">IFERROR(I51/F51,0)</f>
        <v>0.66101009827833812</v>
      </c>
      <c r="K51" s="51">
        <f t="shared" ref="K51:M64" si="3">D51-G51</f>
        <v>139111139.07934898</v>
      </c>
      <c r="L51" s="51">
        <f t="shared" si="3"/>
        <v>25283328.777199306</v>
      </c>
      <c r="M51" s="51">
        <f t="shared" si="3"/>
        <v>164394467.85654831</v>
      </c>
      <c r="N51" s="51">
        <f ca="1">IFERROR(M51/C3,0)</f>
        <v>82197233.928274155</v>
      </c>
    </row>
    <row r="52" spans="2:14" ht="20.100000000000001" customHeight="1" x14ac:dyDescent="0.25">
      <c r="B52" s="201" t="s">
        <v>69</v>
      </c>
      <c r="C52" s="202" t="s">
        <v>70</v>
      </c>
      <c r="D52" s="204">
        <f>TARGETS!L6</f>
        <v>555182371</v>
      </c>
      <c r="E52" s="204">
        <f>TARGETS!M6</f>
        <v>191546784</v>
      </c>
      <c r="F52" s="204">
        <f t="shared" si="0"/>
        <v>746729155</v>
      </c>
      <c r="G52" s="122">
        <f>M9</f>
        <v>491408712.98569405</v>
      </c>
      <c r="H52" s="122">
        <f>N9</f>
        <v>95115098.150067002</v>
      </c>
      <c r="I52" s="122">
        <f t="shared" si="1"/>
        <v>586523811.13576102</v>
      </c>
      <c r="J52" s="61">
        <f t="shared" si="2"/>
        <v>0.78545722663763007</v>
      </c>
      <c r="K52" s="54">
        <f t="shared" si="3"/>
        <v>63773658.014305949</v>
      </c>
      <c r="L52" s="54">
        <f t="shared" si="3"/>
        <v>96431685.849932998</v>
      </c>
      <c r="M52" s="54">
        <f t="shared" si="3"/>
        <v>160205343.86423898</v>
      </c>
      <c r="N52" s="54">
        <f ca="1">IFERROR(M52/C3,0)</f>
        <v>80102671.932119489</v>
      </c>
    </row>
    <row r="53" spans="2:14" ht="20.100000000000001" customHeight="1" x14ac:dyDescent="0.25">
      <c r="B53" s="155" t="s">
        <v>176</v>
      </c>
      <c r="C53" s="156" t="s">
        <v>177</v>
      </c>
      <c r="D53" s="157">
        <f>TARGETS!L7</f>
        <v>241473268</v>
      </c>
      <c r="E53" s="157">
        <f>TARGETS!M7</f>
        <v>0</v>
      </c>
      <c r="F53" s="157">
        <f>D53+E53</f>
        <v>241473268</v>
      </c>
      <c r="G53" s="122">
        <f>C22</f>
        <v>196977845.80000001</v>
      </c>
      <c r="H53" s="122">
        <f>IF(D22="",0,D22)</f>
        <v>0</v>
      </c>
      <c r="I53" s="122">
        <f>G53+H53</f>
        <v>196977845.80000001</v>
      </c>
      <c r="J53" s="61">
        <f>IFERROR(I53/F53,0)</f>
        <v>0.81573354860961256</v>
      </c>
      <c r="K53" s="54">
        <f>D53-G53</f>
        <v>44495422.199999988</v>
      </c>
      <c r="L53" s="54">
        <f>E53-H53</f>
        <v>0</v>
      </c>
      <c r="M53" s="54">
        <f>F53-I53</f>
        <v>44495422.199999988</v>
      </c>
      <c r="N53" s="54">
        <f ca="1">IFERROR(M53/C3,0)</f>
        <v>22247711.099999994</v>
      </c>
    </row>
    <row r="54" spans="2:14" ht="20.100000000000001" customHeight="1" x14ac:dyDescent="0.25">
      <c r="B54" s="201" t="s">
        <v>71</v>
      </c>
      <c r="C54" s="202" t="s">
        <v>72</v>
      </c>
      <c r="D54" s="204">
        <f>TARGETS!L8</f>
        <v>610712472</v>
      </c>
      <c r="E54" s="204">
        <f>TARGETS!M8</f>
        <v>46881826.81733489</v>
      </c>
      <c r="F54" s="204">
        <f t="shared" si="0"/>
        <v>657594298.81733489</v>
      </c>
      <c r="G54" s="122">
        <f>M10</f>
        <v>601791552.94577396</v>
      </c>
      <c r="H54" s="122">
        <f t="shared" ref="H54:H58" si="4">N10</f>
        <v>24913073.601101998</v>
      </c>
      <c r="I54" s="122">
        <f t="shared" si="1"/>
        <v>626704626.54687595</v>
      </c>
      <c r="J54" s="61">
        <f t="shared" si="2"/>
        <v>0.95302624684244808</v>
      </c>
      <c r="K54" s="54">
        <f>D54-G54</f>
        <v>8920919.0542260408</v>
      </c>
      <c r="L54" s="54">
        <f t="shared" si="3"/>
        <v>21968753.216232892</v>
      </c>
      <c r="M54" s="54">
        <f t="shared" si="3"/>
        <v>30889672.270458937</v>
      </c>
      <c r="N54" s="54">
        <f ca="1">IFERROR(M54/C3,0)</f>
        <v>15444836.135229468</v>
      </c>
    </row>
    <row r="55" spans="2:14" ht="20.100000000000001" customHeight="1" x14ac:dyDescent="0.25">
      <c r="B55" s="201" t="s">
        <v>73</v>
      </c>
      <c r="C55" s="202" t="s">
        <v>74</v>
      </c>
      <c r="D55" s="204">
        <f>TARGETS!L9</f>
        <v>405063284</v>
      </c>
      <c r="E55" s="204">
        <f>TARGETS!M9</f>
        <v>82869315.191524148</v>
      </c>
      <c r="F55" s="204">
        <f t="shared" si="0"/>
        <v>487932599.19152415</v>
      </c>
      <c r="G55" s="122">
        <f>M11</f>
        <v>314350697.279998</v>
      </c>
      <c r="H55" s="122">
        <f t="shared" si="4"/>
        <v>42787524.299999997</v>
      </c>
      <c r="I55" s="122">
        <f t="shared" si="1"/>
        <v>357138221.57999802</v>
      </c>
      <c r="J55" s="61">
        <f t="shared" si="2"/>
        <v>0.73194171115386675</v>
      </c>
      <c r="K55" s="54">
        <f t="shared" si="3"/>
        <v>90712586.720001996</v>
      </c>
      <c r="L55" s="54">
        <f t="shared" si="3"/>
        <v>40081790.891524151</v>
      </c>
      <c r="M55" s="54">
        <f t="shared" si="3"/>
        <v>130794377.61152613</v>
      </c>
      <c r="N55" s="54">
        <f ca="1">IFERROR(M55/C3,0)</f>
        <v>65397188.805763066</v>
      </c>
    </row>
    <row r="56" spans="2:14" ht="20.100000000000001" customHeight="1" x14ac:dyDescent="0.25">
      <c r="B56" s="201" t="s">
        <v>75</v>
      </c>
      <c r="C56" s="202" t="s">
        <v>74</v>
      </c>
      <c r="D56" s="204">
        <f>TARGETS!L10</f>
        <v>473918832</v>
      </c>
      <c r="E56" s="204">
        <f>TARGETS!M10</f>
        <v>81239394.122653604</v>
      </c>
      <c r="F56" s="204">
        <f t="shared" si="0"/>
        <v>555158226.1226536</v>
      </c>
      <c r="G56" s="122">
        <f>M12</f>
        <v>401012002.879605</v>
      </c>
      <c r="H56" s="122">
        <f t="shared" si="4"/>
        <v>60954054.369306996</v>
      </c>
      <c r="I56" s="122">
        <f t="shared" si="1"/>
        <v>461966057.24891198</v>
      </c>
      <c r="J56" s="61">
        <f t="shared" si="2"/>
        <v>0.83213403947084397</v>
      </c>
      <c r="K56" s="54">
        <f t="shared" si="3"/>
        <v>72906829.120395005</v>
      </c>
      <c r="L56" s="54">
        <f t="shared" si="3"/>
        <v>20285339.753346607</v>
      </c>
      <c r="M56" s="54">
        <f t="shared" si="3"/>
        <v>93192168.873741627</v>
      </c>
      <c r="N56" s="54">
        <f ca="1">IFERROR(M56/C3,0)</f>
        <v>46596084.436870813</v>
      </c>
    </row>
    <row r="57" spans="2:14" ht="20.100000000000001" customHeight="1" x14ac:dyDescent="0.25">
      <c r="B57" s="201" t="s">
        <v>76</v>
      </c>
      <c r="C57" s="202" t="s">
        <v>77</v>
      </c>
      <c r="D57" s="204">
        <f>TARGETS!L11</f>
        <v>961758345</v>
      </c>
      <c r="E57" s="204">
        <f>TARGETS!M11</f>
        <v>91928576.339156389</v>
      </c>
      <c r="F57" s="204">
        <f t="shared" si="0"/>
        <v>1053686921.3391564</v>
      </c>
      <c r="G57" s="122">
        <f>M13</f>
        <v>985018350.45224202</v>
      </c>
      <c r="H57" s="122">
        <f t="shared" si="4"/>
        <v>73190755.369811997</v>
      </c>
      <c r="I57" s="122">
        <f t="shared" si="1"/>
        <v>1058209105.822054</v>
      </c>
      <c r="J57" s="61">
        <f t="shared" si="2"/>
        <v>1.0042917724338367</v>
      </c>
      <c r="K57" s="54">
        <f t="shared" si="3"/>
        <v>-23260005.452242017</v>
      </c>
      <c r="L57" s="54">
        <f t="shared" si="3"/>
        <v>18737820.969344392</v>
      </c>
      <c r="M57" s="54">
        <f t="shared" si="3"/>
        <v>-4522184.4828976393</v>
      </c>
      <c r="N57" s="54">
        <f ca="1">IFERROR(M57/C3,0)</f>
        <v>-2261092.2414488196</v>
      </c>
    </row>
    <row r="58" spans="2:14" ht="20.100000000000001" customHeight="1" x14ac:dyDescent="0.25">
      <c r="B58" s="201" t="s">
        <v>78</v>
      </c>
      <c r="C58" s="202" t="s">
        <v>79</v>
      </c>
      <c r="D58" s="204">
        <f>TARGETS!L12</f>
        <v>505287059</v>
      </c>
      <c r="E58" s="204">
        <f>TARGETS!M12</f>
        <v>63781404</v>
      </c>
      <c r="F58" s="204">
        <f t="shared" si="0"/>
        <v>569068463</v>
      </c>
      <c r="G58" s="122">
        <f>M14</f>
        <v>377190190.04997498</v>
      </c>
      <c r="H58" s="122">
        <f t="shared" si="4"/>
        <v>67775158.759754002</v>
      </c>
      <c r="I58" s="122">
        <f>G58+H58</f>
        <v>444965348.80972898</v>
      </c>
      <c r="J58" s="61">
        <f>IFERROR(I58/F58,0)</f>
        <v>0.78191883356876335</v>
      </c>
      <c r="K58" s="54">
        <f t="shared" si="3"/>
        <v>128096868.95002502</v>
      </c>
      <c r="L58" s="54">
        <f t="shared" si="3"/>
        <v>-3993754.7597540021</v>
      </c>
      <c r="M58" s="54">
        <f t="shared" si="3"/>
        <v>124103114.19027102</v>
      </c>
      <c r="N58" s="54">
        <f ca="1">IFERROR(M58/C3,0)</f>
        <v>62051557.09513551</v>
      </c>
    </row>
    <row r="59" spans="2:14" ht="20.100000000000001" customHeight="1" x14ac:dyDescent="0.25">
      <c r="B59" s="155" t="s">
        <v>176</v>
      </c>
      <c r="C59" s="156" t="s">
        <v>178</v>
      </c>
      <c r="D59" s="157">
        <f>TARGETS!L13</f>
        <v>404133664</v>
      </c>
      <c r="E59" s="157">
        <f>TARGETS!M13</f>
        <v>0</v>
      </c>
      <c r="F59" s="157">
        <f>D59+E59</f>
        <v>404133664</v>
      </c>
      <c r="G59" s="122">
        <f>C23</f>
        <v>241460975.249975</v>
      </c>
      <c r="H59" s="122">
        <f>IF(D23="",0,D23)</f>
        <v>0</v>
      </c>
      <c r="I59" s="122">
        <f>G59+H59</f>
        <v>241460975.249975</v>
      </c>
      <c r="J59" s="61">
        <f>IFERROR(I59/F59,0)</f>
        <v>0.59747800482657887</v>
      </c>
      <c r="K59" s="54">
        <f>D59-G59</f>
        <v>162672688.750025</v>
      </c>
      <c r="L59" s="54">
        <f>E59-H59</f>
        <v>0</v>
      </c>
      <c r="M59" s="54">
        <f>F59-I59</f>
        <v>162672688.750025</v>
      </c>
      <c r="N59" s="54">
        <f ca="1">IFERROR(M59/C3,0)</f>
        <v>81336344.375012502</v>
      </c>
    </row>
    <row r="60" spans="2:14" ht="20.100000000000001" customHeight="1" x14ac:dyDescent="0.25">
      <c r="B60" s="201" t="s">
        <v>80</v>
      </c>
      <c r="C60" s="202" t="s">
        <v>81</v>
      </c>
      <c r="D60" s="204">
        <f>TARGETS!L14</f>
        <v>404017309</v>
      </c>
      <c r="E60" s="204">
        <f>TARGETS!M14</f>
        <v>138464390.21799541</v>
      </c>
      <c r="F60" s="204">
        <f t="shared" si="0"/>
        <v>542481699.21799541</v>
      </c>
      <c r="G60" s="122">
        <f>M15</f>
        <v>360481445.10647702</v>
      </c>
      <c r="H60" s="122">
        <f t="shared" ref="H60:H64" si="5">N15</f>
        <v>90194350.395528004</v>
      </c>
      <c r="I60" s="122">
        <f t="shared" si="1"/>
        <v>450675795.50200504</v>
      </c>
      <c r="J60" s="61">
        <f t="shared" si="2"/>
        <v>0.83076681877318348</v>
      </c>
      <c r="K60" s="54">
        <f t="shared" si="3"/>
        <v>43535863.893522978</v>
      </c>
      <c r="L60" s="54">
        <f t="shared" si="3"/>
        <v>48270039.822467402</v>
      </c>
      <c r="M60" s="54">
        <f t="shared" si="3"/>
        <v>91805903.715990365</v>
      </c>
      <c r="N60" s="54">
        <f ca="1">IFERROR(M60/C3,0)</f>
        <v>45902951.857995182</v>
      </c>
    </row>
    <row r="61" spans="2:14" ht="20.100000000000001" customHeight="1" x14ac:dyDescent="0.25">
      <c r="B61" s="201" t="s">
        <v>82</v>
      </c>
      <c r="C61" s="202" t="s">
        <v>83</v>
      </c>
      <c r="D61" s="204">
        <f>TARGETS!L15</f>
        <v>631629596</v>
      </c>
      <c r="E61" s="204">
        <f>TARGETS!M15</f>
        <v>58741600.610625267</v>
      </c>
      <c r="F61" s="204">
        <f t="shared" si="0"/>
        <v>690371196.61062527</v>
      </c>
      <c r="G61" s="122">
        <f>M16</f>
        <v>434780667.167575</v>
      </c>
      <c r="H61" s="122">
        <f t="shared" si="5"/>
        <v>55655063.089941002</v>
      </c>
      <c r="I61" s="122">
        <f t="shared" si="1"/>
        <v>490435730.25751603</v>
      </c>
      <c r="J61" s="61">
        <f t="shared" si="2"/>
        <v>0.71039425263584044</v>
      </c>
      <c r="K61" s="54">
        <f t="shared" si="3"/>
        <v>196848928.832425</v>
      </c>
      <c r="L61" s="54">
        <f t="shared" si="3"/>
        <v>3086537.5206842646</v>
      </c>
      <c r="M61" s="54">
        <f t="shared" si="3"/>
        <v>199935466.35310924</v>
      </c>
      <c r="N61" s="54">
        <f ca="1">IFERROR(M61/C3,0)</f>
        <v>99967733.17655462</v>
      </c>
    </row>
    <row r="62" spans="2:14" ht="20.100000000000001" customHeight="1" x14ac:dyDescent="0.25">
      <c r="B62" s="201" t="s">
        <v>84</v>
      </c>
      <c r="C62" s="202" t="s">
        <v>85</v>
      </c>
      <c r="D62" s="204">
        <f>TARGETS!L16</f>
        <v>386543023</v>
      </c>
      <c r="E62" s="204">
        <f>TARGETS!M16</f>
        <v>63764154.799813807</v>
      </c>
      <c r="F62" s="204">
        <f t="shared" si="0"/>
        <v>450307177.79981381</v>
      </c>
      <c r="G62" s="122">
        <f>M17</f>
        <v>284653659.37129903</v>
      </c>
      <c r="H62" s="122">
        <f t="shared" si="5"/>
        <v>32538666.405825999</v>
      </c>
      <c r="I62" s="122">
        <f t="shared" si="1"/>
        <v>317192325.777125</v>
      </c>
      <c r="J62" s="61">
        <f t="shared" si="2"/>
        <v>0.70439100555073619</v>
      </c>
      <c r="K62" s="54">
        <f t="shared" si="3"/>
        <v>101889363.62870097</v>
      </c>
      <c r="L62" s="54">
        <f t="shared" si="3"/>
        <v>31225488.393987808</v>
      </c>
      <c r="M62" s="54">
        <f t="shared" si="3"/>
        <v>133114852.02268881</v>
      </c>
      <c r="N62" s="54">
        <f ca="1">IFERROR(M62/C3,0)</f>
        <v>66557426.011344403</v>
      </c>
    </row>
    <row r="63" spans="2:14" ht="20.100000000000001" customHeight="1" x14ac:dyDescent="0.25">
      <c r="B63" s="201" t="s">
        <v>86</v>
      </c>
      <c r="C63" s="202" t="s">
        <v>87</v>
      </c>
      <c r="D63" s="204">
        <f>TARGETS!L17</f>
        <v>583350942</v>
      </c>
      <c r="E63" s="204">
        <f>TARGETS!M17</f>
        <v>329806944.99271739</v>
      </c>
      <c r="F63" s="204">
        <f t="shared" si="0"/>
        <v>913157886.99271739</v>
      </c>
      <c r="G63" s="122">
        <f>M18</f>
        <v>667336640.85745704</v>
      </c>
      <c r="H63" s="122">
        <f t="shared" si="5"/>
        <v>179744789.15262499</v>
      </c>
      <c r="I63" s="122">
        <f t="shared" si="1"/>
        <v>847081430.01008201</v>
      </c>
      <c r="J63" s="61">
        <f t="shared" si="2"/>
        <v>0.92763961421803676</v>
      </c>
      <c r="K63" s="54">
        <f t="shared" si="3"/>
        <v>-83985698.857457042</v>
      </c>
      <c r="L63" s="54">
        <f t="shared" si="3"/>
        <v>150062155.84009239</v>
      </c>
      <c r="M63" s="54">
        <f t="shared" si="3"/>
        <v>66076456.982635379</v>
      </c>
      <c r="N63" s="54">
        <f ca="1">IFERROR(M63/C3,0)</f>
        <v>33038228.491317689</v>
      </c>
    </row>
    <row r="64" spans="2:14" ht="20.100000000000001" customHeight="1" x14ac:dyDescent="0.25">
      <c r="B64" s="201" t="s">
        <v>88</v>
      </c>
      <c r="C64" s="202" t="s">
        <v>89</v>
      </c>
      <c r="D64" s="204">
        <f>TARGETS!L18</f>
        <v>259525689</v>
      </c>
      <c r="E64" s="204">
        <f>TARGETS!M18</f>
        <v>257970031.90788639</v>
      </c>
      <c r="F64" s="204">
        <f t="shared" si="0"/>
        <v>517495720.90788639</v>
      </c>
      <c r="G64" s="122">
        <f>M19</f>
        <v>237899949.77078599</v>
      </c>
      <c r="H64" s="122">
        <f t="shared" si="5"/>
        <v>128164709.80047999</v>
      </c>
      <c r="I64" s="122">
        <f t="shared" si="1"/>
        <v>366064659.571266</v>
      </c>
      <c r="J64" s="61">
        <f t="shared" si="2"/>
        <v>0.70737717198713812</v>
      </c>
      <c r="K64" s="54">
        <f t="shared" si="3"/>
        <v>21625739.229214013</v>
      </c>
      <c r="L64" s="54">
        <f t="shared" si="3"/>
        <v>129805322.10740639</v>
      </c>
      <c r="M64" s="54">
        <f t="shared" si="3"/>
        <v>151431061.33662039</v>
      </c>
      <c r="N64" s="54">
        <f ca="1">IFERROR(M64/C3,0)</f>
        <v>75715530.668310195</v>
      </c>
    </row>
    <row r="65" spans="2:14" ht="20.100000000000001" customHeight="1" x14ac:dyDescent="0.25">
      <c r="B65" s="57" t="s">
        <v>152</v>
      </c>
      <c r="C65" s="58"/>
      <c r="D65" s="151">
        <f>SUM(D51:D64)</f>
        <v>6839279332</v>
      </c>
      <c r="E65" s="151">
        <f t="shared" ref="E65" si="6">SUM(E51:E52,E54:E58,E60:E64)</f>
        <v>1475264824.2203617</v>
      </c>
      <c r="F65" s="151">
        <f>SUM(F51:F64)</f>
        <v>8314544156.2203627</v>
      </c>
      <c r="G65" s="152">
        <f>SUM(G51:G64)</f>
        <v>5871935028.8375082</v>
      </c>
      <c r="H65" s="152">
        <f>SUM(H51:H64)</f>
        <v>894020315.83789694</v>
      </c>
      <c r="I65" s="152">
        <f>SUM(I51:I64)</f>
        <v>6765955344.6754055</v>
      </c>
      <c r="J65" s="153">
        <f>IFERROR(I65/F65,0)</f>
        <v>0.81374940316043531</v>
      </c>
      <c r="K65" s="154">
        <f>SUM(K51:K64)</f>
        <v>967344303.1624918</v>
      </c>
      <c r="L65" s="154">
        <f>SUM(L51:L64)</f>
        <v>581244508.38246453</v>
      </c>
      <c r="M65" s="154">
        <f>SUM(M51:M64)</f>
        <v>1548588811.5449567</v>
      </c>
      <c r="N65" s="154">
        <f ca="1">IFERROR(M65/C3,0)</f>
        <v>774294405.77247834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8.75" customHeight="1" x14ac:dyDescent="0.25">
      <c r="B68" s="223" t="s">
        <v>41</v>
      </c>
      <c r="C68" s="223" t="s">
        <v>42</v>
      </c>
      <c r="D68" s="134" t="s">
        <v>139</v>
      </c>
    </row>
    <row r="69" spans="2:14" ht="18" customHeight="1" x14ac:dyDescent="0.25">
      <c r="B69" s="223"/>
      <c r="C69" s="223"/>
      <c r="D69" s="71" t="s">
        <v>172</v>
      </c>
    </row>
    <row r="70" spans="2:14" ht="20.100000000000001" customHeight="1" x14ac:dyDescent="0.25">
      <c r="B70" s="201" t="s">
        <v>67</v>
      </c>
      <c r="C70" s="202" t="s">
        <v>68</v>
      </c>
      <c r="D70" s="191">
        <f>IF(E24="",0,E24)</f>
        <v>117989061.36</v>
      </c>
    </row>
    <row r="71" spans="2:14" ht="20.100000000000001" customHeight="1" x14ac:dyDescent="0.25">
      <c r="B71" s="201" t="s">
        <v>69</v>
      </c>
      <c r="C71" s="202" t="s">
        <v>70</v>
      </c>
      <c r="D71" s="192">
        <f>IF(E12="",0,E12)+IF(E13="",0,E13)</f>
        <v>78609908.560000002</v>
      </c>
    </row>
    <row r="72" spans="2:14" ht="20.100000000000001" customHeight="1" x14ac:dyDescent="0.25">
      <c r="B72" s="201" t="s">
        <v>176</v>
      </c>
      <c r="C72" s="202" t="s">
        <v>177</v>
      </c>
      <c r="D72" s="192">
        <f>IF(E22="",0,E22)</f>
        <v>10814414.119999999</v>
      </c>
    </row>
    <row r="73" spans="2:14" ht="20.100000000000001" customHeight="1" x14ac:dyDescent="0.25">
      <c r="B73" s="201" t="s">
        <v>71</v>
      </c>
      <c r="C73" s="202" t="s">
        <v>72</v>
      </c>
      <c r="D73" s="191">
        <f>IF(E14="",0,E14)</f>
        <v>212275674.66999999</v>
      </c>
    </row>
    <row r="74" spans="2:14" ht="20.100000000000001" customHeight="1" x14ac:dyDescent="0.25">
      <c r="B74" s="201" t="s">
        <v>73</v>
      </c>
      <c r="C74" s="202" t="s">
        <v>74</v>
      </c>
      <c r="D74" s="192">
        <f>0</f>
        <v>0</v>
      </c>
    </row>
    <row r="75" spans="2:14" ht="20.100000000000001" customHeight="1" x14ac:dyDescent="0.25">
      <c r="B75" s="201" t="s">
        <v>75</v>
      </c>
      <c r="C75" s="202" t="s">
        <v>74</v>
      </c>
      <c r="D75" s="192">
        <f>IF(E16="",0,E16)</f>
        <v>11908108</v>
      </c>
    </row>
    <row r="76" spans="2:14" ht="20.100000000000001" customHeight="1" x14ac:dyDescent="0.25">
      <c r="B76" s="201" t="s">
        <v>76</v>
      </c>
      <c r="C76" s="202" t="s">
        <v>77</v>
      </c>
      <c r="D76" s="192">
        <f>IF(E19="",0,E19)</f>
        <v>634030850.76992702</v>
      </c>
    </row>
    <row r="77" spans="2:14" ht="20.100000000000001" customHeight="1" x14ac:dyDescent="0.25">
      <c r="B77" s="201" t="s">
        <v>78</v>
      </c>
      <c r="C77" s="202" t="s">
        <v>79</v>
      </c>
      <c r="D77" s="191">
        <f>IF(E25="",0,E25)</f>
        <v>235065044.80979499</v>
      </c>
    </row>
    <row r="78" spans="2:14" ht="20.100000000000001" customHeight="1" x14ac:dyDescent="0.25">
      <c r="B78" s="201" t="s">
        <v>176</v>
      </c>
      <c r="C78" s="202" t="s">
        <v>178</v>
      </c>
      <c r="D78" s="192">
        <f>IF(E23="",0,E23)</f>
        <v>13813693.32</v>
      </c>
    </row>
    <row r="79" spans="2:14" ht="20.100000000000001" customHeight="1" x14ac:dyDescent="0.25">
      <c r="B79" s="201" t="s">
        <v>80</v>
      </c>
      <c r="C79" s="202" t="s">
        <v>81</v>
      </c>
      <c r="D79" s="192">
        <f>IF(E11="",0,E11)</f>
        <v>38843243.600000001</v>
      </c>
    </row>
    <row r="80" spans="2:14" ht="20.100000000000001" customHeight="1" x14ac:dyDescent="0.25">
      <c r="B80" s="201" t="s">
        <v>82</v>
      </c>
      <c r="C80" s="202" t="s">
        <v>83</v>
      </c>
      <c r="D80" s="191">
        <f>IF(E26="",0,E26)</f>
        <v>446908556.76973099</v>
      </c>
    </row>
    <row r="81" spans="2:9" ht="20.100000000000001" customHeight="1" x14ac:dyDescent="0.25">
      <c r="B81" s="201" t="s">
        <v>84</v>
      </c>
      <c r="C81" s="202" t="s">
        <v>85</v>
      </c>
      <c r="D81" s="192">
        <f>IF(E10="",0,E10)</f>
        <v>160988067.75999901</v>
      </c>
    </row>
    <row r="82" spans="2:9" ht="20.100000000000001" customHeight="1" x14ac:dyDescent="0.25">
      <c r="B82" s="201" t="s">
        <v>86</v>
      </c>
      <c r="C82" s="202" t="s">
        <v>87</v>
      </c>
      <c r="D82" s="192">
        <f>IF(E27="",0,E27)</f>
        <v>18458378.596000001</v>
      </c>
    </row>
    <row r="83" spans="2:9" ht="20.100000000000001" customHeight="1" x14ac:dyDescent="0.25">
      <c r="B83" s="201" t="s">
        <v>88</v>
      </c>
      <c r="C83" s="202" t="s">
        <v>89</v>
      </c>
      <c r="D83" s="192">
        <f>IF(E20="",0,E20)+IF(E21="",0,E21)</f>
        <v>73135136.539999992</v>
      </c>
    </row>
    <row r="84" spans="2:9" ht="20.100000000000001" customHeight="1" x14ac:dyDescent="0.25">
      <c r="B84" s="57" t="s">
        <v>152</v>
      </c>
      <c r="C84" s="58"/>
      <c r="D84" s="129">
        <f>SUM(D70:D83)</f>
        <v>2052840138.8754518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18" customHeight="1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ht="20.100000000000001" customHeight="1" x14ac:dyDescent="0.25">
      <c r="B89" s="201" t="s">
        <v>92</v>
      </c>
      <c r="C89" s="202" t="s">
        <v>93</v>
      </c>
      <c r="D89" s="203">
        <f>TARGETS!H22</f>
        <v>278064617.90420955</v>
      </c>
      <c r="E89" s="122">
        <f>IFERROR(C32,0)</f>
        <v>276131649.54051697</v>
      </c>
      <c r="F89" s="61">
        <f t="shared" ref="F89:F94" si="7">IFERROR(E89/D89,0)</f>
        <v>0.99304849218767388</v>
      </c>
      <c r="G89" s="125">
        <f>D89-E89</f>
        <v>1932968.3636925817</v>
      </c>
      <c r="H89" s="125">
        <f ca="1">IFERROR(G89/C3,0)</f>
        <v>966484.18184629083</v>
      </c>
      <c r="I89" s="116"/>
    </row>
    <row r="90" spans="2:9" ht="20.100000000000001" customHeight="1" x14ac:dyDescent="0.25">
      <c r="B90" s="201" t="s">
        <v>94</v>
      </c>
      <c r="C90" s="202" t="s">
        <v>95</v>
      </c>
      <c r="D90" s="203">
        <f>TARGETS!H23</f>
        <v>417618553.18652159</v>
      </c>
      <c r="E90" s="122">
        <f>IFERROR(C33,0)</f>
        <v>412946038.37677097</v>
      </c>
      <c r="F90" s="61">
        <f t="shared" si="7"/>
        <v>0.9888115248374425</v>
      </c>
      <c r="G90" s="126">
        <f>D90-E90</f>
        <v>4672514.8097506166</v>
      </c>
      <c r="H90" s="126">
        <f ca="1">IFERROR(G90/C3,0)</f>
        <v>2336257.4048753083</v>
      </c>
      <c r="I90" s="116"/>
    </row>
    <row r="91" spans="2:9" ht="20.100000000000001" customHeight="1" x14ac:dyDescent="0.25">
      <c r="B91" s="201" t="s">
        <v>96</v>
      </c>
      <c r="C91" s="202" t="s">
        <v>97</v>
      </c>
      <c r="D91" s="203">
        <f>TARGETS!H24</f>
        <v>1087295552.3135247</v>
      </c>
      <c r="E91" s="122">
        <f>M21+M7</f>
        <v>935920708.75692701</v>
      </c>
      <c r="F91" s="61">
        <f t="shared" si="7"/>
        <v>0.86077856822415444</v>
      </c>
      <c r="G91" s="125">
        <f>D91-E91</f>
        <v>151374843.55659771</v>
      </c>
      <c r="H91" s="125">
        <f ca="1">IFERROR(G91/C3,0)</f>
        <v>75687421.778298855</v>
      </c>
      <c r="I91" s="116"/>
    </row>
    <row r="92" spans="2:9" ht="20.100000000000001" hidden="1" customHeight="1" x14ac:dyDescent="0.25">
      <c r="B92" s="53" t="s">
        <v>98</v>
      </c>
      <c r="C92" s="56" t="s">
        <v>99</v>
      </c>
      <c r="D92" s="126">
        <f>TARGETS!H25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ht="20.100000000000001" hidden="1" customHeight="1" x14ac:dyDescent="0.25">
      <c r="B93" s="50" t="s">
        <v>100</v>
      </c>
      <c r="C93" s="113" t="s">
        <v>101</v>
      </c>
      <c r="D93" s="125">
        <f>TARGETS!H26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ht="20.100000000000001" customHeight="1" x14ac:dyDescent="0.25">
      <c r="B94" s="57" t="s">
        <v>152</v>
      </c>
      <c r="C94" s="58"/>
      <c r="D94" s="123">
        <f>SUM(D89:D93)</f>
        <v>1782978723.4042559</v>
      </c>
      <c r="E94" s="123">
        <f>SUM(E89:E93)</f>
        <v>1624998396.6742148</v>
      </c>
      <c r="F94" s="43">
        <f t="shared" si="7"/>
        <v>0.91139528214424914</v>
      </c>
      <c r="G94" s="119">
        <f>SUM(G89:G93)</f>
        <v>157980326.73004091</v>
      </c>
      <c r="H94" s="119">
        <f ca="1">IFERROR(G94/C3,0)</f>
        <v>78990163.365020454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topLeftCell="A50" zoomScaleNormal="100" workbookViewId="0">
      <selection activeCell="D70" sqref="D70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MAX(0,NETWORKDAYS.INTL(MAX(TODAY(),DATE(YEAR(TODAY()),6,1)),EOMONTH(DATE(YEAR(TODAY()),6,1),0),11))</f>
        <v>26</v>
      </c>
      <c r="D3" s="79" t="s">
        <v>104</v>
      </c>
      <c r="E3" s="80">
        <f ca="1">DAY(EOMONTH(DATE(YEAR(TODAY()),6,1),0))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160</v>
      </c>
      <c r="C41" s="225"/>
      <c r="D41" s="226"/>
      <c r="E41" s="67" t="s">
        <v>138</v>
      </c>
      <c r="F41" s="73">
        <f ca="1">IF(MONTH(TODAY())=6,DAY(TODAY())/DAY(EOMONTH(TODAY(),0)),IF(MONTH(TODAY())&gt;6,1,0))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SUM(TARGETS!N5:N7,TARGETS!N8:N13,TARGETS!N14:N18)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SUM(TARGETS!O5:O6,TARGETS!O8:O12,TARGETS!O14:O18)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SUM(TARGETS!I22:I26)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TARGETS!N5</f>
        <v>0</v>
      </c>
      <c r="E51" s="127">
        <f>TARGETS!O5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TARGETS!N6</f>
        <v>0</v>
      </c>
      <c r="E52" s="128">
        <f>TARGETS!O6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TARGETS!N7</f>
        <v>0</v>
      </c>
      <c r="E53" s="157">
        <f>TARGETS!O7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TARGETS!N8</f>
        <v>0</v>
      </c>
      <c r="E54" s="128">
        <f>TARGETS!O8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TARGETS!N9</f>
        <v>0</v>
      </c>
      <c r="E55" s="127">
        <f>TARGETS!O9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TARGETS!N10</f>
        <v>0</v>
      </c>
      <c r="E56" s="128">
        <f>TARGETS!O10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TARGETS!N11</f>
        <v>0</v>
      </c>
      <c r="E57" s="127">
        <f>TARGETS!O11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TARGETS!N12</f>
        <v>0</v>
      </c>
      <c r="E58" s="128">
        <f>TARGETS!O12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TARGETS!N13</f>
        <v>0</v>
      </c>
      <c r="E59" s="157">
        <f>TARGETS!O13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TARGETS!N14</f>
        <v>0</v>
      </c>
      <c r="E60" s="128">
        <f>TARGETS!O14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TARGETS!N15</f>
        <v>0</v>
      </c>
      <c r="E61" s="127">
        <f>TARGETS!O15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TARGETS!N16</f>
        <v>0</v>
      </c>
      <c r="E62" s="128">
        <f>TARGETS!O16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TARGETS!N17</f>
        <v>0</v>
      </c>
      <c r="E63" s="127">
        <f>TARGETS!O17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TARGETS!N18</f>
        <v>0</v>
      </c>
      <c r="E64" s="128">
        <f>TARGETS!O18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TARGETS!I22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TARGETS!I23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TARGETS!I24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TARGETS!I25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TARGETS!I26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MAX(0,NETWORKDAYS.INTL(MAX(TODAY(),DATE(YEAR(TODAY()),7,1)),EOMONTH(DATE(YEAR(TODAY()),7,1),0),11))</f>
        <v>27</v>
      </c>
      <c r="D3" s="79" t="s">
        <v>104</v>
      </c>
      <c r="E3" s="80">
        <f ca="1">DAY(EOMONTH(DATE(YEAR(TODAY()),7,1),0))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179</v>
      </c>
      <c r="C41" s="225"/>
      <c r="D41" s="226"/>
      <c r="E41" s="67" t="s">
        <v>138</v>
      </c>
      <c r="F41" s="73">
        <f ca="1">IF(MONTH(TODAY())=7,DAY(TODAY())/DAY(EOMONTH(TODAY(),0)),IF(MONTH(TODAY())&gt;7,1,0))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SUM(TARGETS!P5:P7,TARGETS!P8:P13,TARGETS!P14:P18)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SUM(TARGETS!Q5:Q6,TARGETS!Q8:Q12,TARGETS!Q14:Q18)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SUM(TARGETS!J22:J26)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TARGETS!P5</f>
        <v>0</v>
      </c>
      <c r="E51" s="127">
        <f>TARGETS!Q5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TARGETS!P6</f>
        <v>0</v>
      </c>
      <c r="E52" s="128">
        <f>TARGETS!Q6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TARGETS!P7</f>
        <v>0</v>
      </c>
      <c r="E53" s="157">
        <f>TARGETS!Q7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TARGETS!P8</f>
        <v>0</v>
      </c>
      <c r="E54" s="128">
        <f>TARGETS!Q8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TARGETS!P9</f>
        <v>0</v>
      </c>
      <c r="E55" s="127">
        <f>TARGETS!Q9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TARGETS!P10</f>
        <v>0</v>
      </c>
      <c r="E56" s="128">
        <f>TARGETS!Q10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TARGETS!P11</f>
        <v>0</v>
      </c>
      <c r="E57" s="127">
        <f>TARGETS!Q11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TARGETS!P12</f>
        <v>0</v>
      </c>
      <c r="E58" s="128">
        <f>TARGETS!Q12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TARGETS!P13</f>
        <v>0</v>
      </c>
      <c r="E59" s="157">
        <f>TARGETS!Q13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TARGETS!P14</f>
        <v>0</v>
      </c>
      <c r="E60" s="128">
        <f>TARGETS!Q14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TARGETS!P15</f>
        <v>0</v>
      </c>
      <c r="E61" s="127">
        <f>TARGETS!Q15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TARGETS!P16</f>
        <v>0</v>
      </c>
      <c r="E62" s="128">
        <f>TARGETS!Q16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TARGETS!P17</f>
        <v>0</v>
      </c>
      <c r="E63" s="127">
        <f>TARGETS!Q17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TARGETS!P18</f>
        <v>0</v>
      </c>
      <c r="E64" s="128">
        <f>TARGETS!Q18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TARGETS!J22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TARGETS!J23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TARGETS!J24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TARGETS!J25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TARGETS!J26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MAX(0,NETWORKDAYS.INTL(MAX(TODAY(),DATE(YEAR(TODAY()),8,1)),EOMONTH(DATE(YEAR(TODAY()),8,1),0),11))</f>
        <v>26</v>
      </c>
      <c r="D3" s="79" t="s">
        <v>104</v>
      </c>
      <c r="E3" s="80">
        <f ca="1">DAY(EOMONTH(DATE(YEAR(TODAY()),8,1),0))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163</v>
      </c>
      <c r="C41" s="225"/>
      <c r="D41" s="226"/>
      <c r="E41" s="67" t="s">
        <v>138</v>
      </c>
      <c r="F41" s="73">
        <f ca="1">IF(MONTH(TODAY())=8,DAY(TODAY())/DAY(EOMONTH(TODAY(),0)),IF(MONTH(TODAY())&gt;8,1,0))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SUM(TARGETS!R5:R7,TARGETS!R8:R13,TARGETS!R14:R18)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SUM(TARGETS!S5:S6,TARGETS!S8:S12,TARGETS!S14:S18)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SUM(TARGETS!K22:K26)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TARGETS!R5</f>
        <v>0</v>
      </c>
      <c r="E51" s="127">
        <f>TARGETS!S5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TARGETS!R6</f>
        <v>0</v>
      </c>
      <c r="E52" s="128">
        <f>TARGETS!S6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TARGETS!R7</f>
        <v>0</v>
      </c>
      <c r="E53" s="157">
        <f>TARGETS!S7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TARGETS!R8</f>
        <v>0</v>
      </c>
      <c r="E54" s="128">
        <f>TARGETS!S8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TARGETS!R9</f>
        <v>0</v>
      </c>
      <c r="E55" s="127">
        <f>TARGETS!S9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TARGETS!R10</f>
        <v>0</v>
      </c>
      <c r="E56" s="128">
        <f>TARGETS!S10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TARGETS!R11</f>
        <v>0</v>
      </c>
      <c r="E57" s="127">
        <f>TARGETS!S11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TARGETS!R12</f>
        <v>0</v>
      </c>
      <c r="E58" s="128">
        <f>TARGETS!S12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TARGETS!R13</f>
        <v>0</v>
      </c>
      <c r="E59" s="157">
        <f>TARGETS!S13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TARGETS!R14</f>
        <v>0</v>
      </c>
      <c r="E60" s="128">
        <f>TARGETS!S14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TARGETS!R15</f>
        <v>0</v>
      </c>
      <c r="E61" s="127">
        <f>TARGETS!S15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TARGETS!R16</f>
        <v>0</v>
      </c>
      <c r="E62" s="128">
        <f>TARGETS!S16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TARGETS!R17</f>
        <v>0</v>
      </c>
      <c r="E63" s="127">
        <f>TARGETS!S17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TARGETS!R18</f>
        <v>0</v>
      </c>
      <c r="E64" s="128">
        <f>TARGETS!S18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TARGETS!K22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TARGETS!K23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TARGETS!K24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TARGETS!K25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TARGETS!K26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MAX(0,NETWORKDAYS.INTL(MAX(TODAY(),DATE(YEAR(TODAY()),9,1)),EOMONTH(DATE(YEAR(TODAY()),9,1),0),11))</f>
        <v>26</v>
      </c>
      <c r="D3" s="79" t="s">
        <v>104</v>
      </c>
      <c r="E3" s="80">
        <f ca="1">DAY(EOMONTH(DATE(YEAR(TODAY()),9,1),0))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165</v>
      </c>
      <c r="C41" s="225"/>
      <c r="D41" s="226"/>
      <c r="E41" s="67" t="s">
        <v>138</v>
      </c>
      <c r="F41" s="73">
        <f ca="1">IF(MONTH(TODAY())=9,DAY(TODAY())/DAY(EOMONTH(TODAY(),0)),IF(MONTH(TODAY())&gt;9,1,0))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TARGETS!T5</f>
        <v>0</v>
      </c>
      <c r="E51" s="127">
        <f>TARGETS!U5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TARGETS!T6</f>
        <v>0</v>
      </c>
      <c r="E52" s="128">
        <f>TARGETS!U6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TARGETS!T7</f>
        <v>0</v>
      </c>
      <c r="E53" s="157">
        <f>TARGETS!U7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TARGETS!T8</f>
        <v>0</v>
      </c>
      <c r="E54" s="128">
        <f>TARGETS!U8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TARGETS!T9</f>
        <v>0</v>
      </c>
      <c r="E55" s="127">
        <f>TARGETS!U9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TARGETS!T10</f>
        <v>0</v>
      </c>
      <c r="E56" s="128">
        <f>TARGETS!U10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TARGETS!T11</f>
        <v>0</v>
      </c>
      <c r="E57" s="127">
        <f>TARGETS!U11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TARGETS!T12</f>
        <v>0</v>
      </c>
      <c r="E58" s="128">
        <f>TARGETS!U12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TARGETS!T13</f>
        <v>0</v>
      </c>
      <c r="E59" s="157">
        <f>TARGETS!U13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TARGETS!T14</f>
        <v>0</v>
      </c>
      <c r="E60" s="128">
        <f>TARGETS!U14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TARGETS!T15</f>
        <v>0</v>
      </c>
      <c r="E61" s="127">
        <f>TARGETS!U15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TARGETS!T16</f>
        <v>0</v>
      </c>
      <c r="E62" s="128">
        <f>TARGETS!U16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TARGETS!T17</f>
        <v>0</v>
      </c>
      <c r="E63" s="127">
        <f>TARGETS!U17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TARGETS!T18</f>
        <v>0</v>
      </c>
      <c r="E64" s="128">
        <f>TARGETS!U18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TARGETS!L22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TARGETS!L23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TARGETS!L24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TARGETS!L25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TARGETS!L26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MAX(0,NETWORKDAYS.INTL(MAX(TODAY(),DATE(YEAR(TODAY()),10,1)),EOMONTH(DATE(YEAR(TODAY()),10,1),0),11))</f>
        <v>27</v>
      </c>
      <c r="D3" s="79" t="s">
        <v>104</v>
      </c>
      <c r="E3" s="80">
        <f ca="1">DAY(EOMONTH(DATE(YEAR(TODAY()),10,1),0))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167</v>
      </c>
      <c r="C41" s="225"/>
      <c r="D41" s="226"/>
      <c r="E41" s="67" t="s">
        <v>138</v>
      </c>
      <c r="F41" s="73">
        <f ca="1">IF(MONTH(TODAY())=10,DAY(TODAY())/DAY(EOMONTH(TODAY(),0)),IF(MONTH(TODAY())&gt;10,1,0))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TARGETS!V5</f>
        <v>0</v>
      </c>
      <c r="E51" s="127">
        <f>TARGETS!W5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TARGETS!V6</f>
        <v>0</v>
      </c>
      <c r="E52" s="128">
        <f>TARGETS!W6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TARGETS!V7</f>
        <v>0</v>
      </c>
      <c r="E53" s="157">
        <f>TARGETS!W7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TARGETS!V8</f>
        <v>0</v>
      </c>
      <c r="E54" s="128">
        <f>TARGETS!W8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TARGETS!V9</f>
        <v>0</v>
      </c>
      <c r="E55" s="127">
        <f>TARGETS!W9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TARGETS!V10</f>
        <v>0</v>
      </c>
      <c r="E56" s="128">
        <f>TARGETS!W10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TARGETS!V11</f>
        <v>0</v>
      </c>
      <c r="E57" s="127">
        <f>TARGETS!W11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TARGETS!V12</f>
        <v>0</v>
      </c>
      <c r="E58" s="128">
        <f>TARGETS!W12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TARGETS!V13</f>
        <v>0</v>
      </c>
      <c r="E59" s="157">
        <f>TARGETS!W13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TARGETS!V14</f>
        <v>0</v>
      </c>
      <c r="E60" s="128">
        <f>TARGETS!W14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TARGETS!V15</f>
        <v>0</v>
      </c>
      <c r="E61" s="127">
        <f>TARGETS!W15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TARGETS!V16</f>
        <v>0</v>
      </c>
      <c r="E62" s="128">
        <f>TARGETS!W16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TARGETS!V17</f>
        <v>0</v>
      </c>
      <c r="E63" s="127">
        <f>TARGETS!W17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TARGETS!V18</f>
        <v>0</v>
      </c>
      <c r="E64" s="128">
        <f>TARGETS!W18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TARGETS!M22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TARGETS!M23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TARGETS!M24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TARGETS!M25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TARGETS!M26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168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MAX(0,NETWORKDAYS.INTL(MAX(TODAY(),DATE(YEAR(TODAY()),11,1)),EOMONTH(DATE(YEAR(TODAY()),11,1),0),11))</f>
        <v>25</v>
      </c>
      <c r="D3" s="79" t="s">
        <v>104</v>
      </c>
      <c r="E3" s="80">
        <f ca="1">DAY(EOMONTH(DATE(YEAR(TODAY()),11,1),0))</f>
        <v>30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180</v>
      </c>
      <c r="C41" s="225"/>
      <c r="D41" s="226"/>
      <c r="E41" s="67" t="s">
        <v>138</v>
      </c>
      <c r="F41" s="73">
        <f ca="1">IF(MONTH(TODAY())=11,DAY(TODAY())/DAY(EOMONTH(TODAY(),0)),IF(MONTH(TODAY())&gt;11,1,0))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TARGETS!X5</f>
        <v>0</v>
      </c>
      <c r="E51" s="127">
        <f>TARGETS!Y5</f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TARGETS!X6</f>
        <v>0</v>
      </c>
      <c r="E52" s="128">
        <f>TARGETS!Y6</f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TARGETS!X7</f>
        <v>0</v>
      </c>
      <c r="E53" s="157">
        <f>TARGETS!Y7</f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TARGETS!X8</f>
        <v>0</v>
      </c>
      <c r="E54" s="128">
        <f>TARGETS!Y8</f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TARGETS!X9</f>
        <v>0</v>
      </c>
      <c r="E55" s="127">
        <f>TARGETS!Y9</f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TARGETS!X10</f>
        <v>0</v>
      </c>
      <c r="E56" s="128">
        <f>TARGETS!Y10</f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TARGETS!X11</f>
        <v>0</v>
      </c>
      <c r="E57" s="127">
        <f>TARGETS!Y11</f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TARGETS!X12</f>
        <v>0</v>
      </c>
      <c r="E58" s="128">
        <f>TARGETS!Y12</f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TARGETS!X13</f>
        <v>0</v>
      </c>
      <c r="E59" s="157">
        <f>TARGETS!Y13</f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TARGETS!X14</f>
        <v>0</v>
      </c>
      <c r="E60" s="128">
        <f>TARGETS!Y14</f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TARGETS!X15</f>
        <v>0</v>
      </c>
      <c r="E61" s="127">
        <f>TARGETS!Y15</f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TARGETS!X16</f>
        <v>0</v>
      </c>
      <c r="E62" s="128">
        <f>TARGETS!Y16</f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TARGETS!X17</f>
        <v>0</v>
      </c>
      <c r="E63" s="127">
        <f>TARGETS!Y17</f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TARGETS!X18</f>
        <v>0</v>
      </c>
      <c r="E64" s="128">
        <f>TARGETS!Y18</f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TARGETS!N22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TARGETS!N23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TARGETS!N24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TARGETS!N25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TARGETS!N26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94"/>
  <sheetViews>
    <sheetView showGridLines="0" zoomScaleNormal="100" workbookViewId="0"/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7" width="7.85546875" bestFit="1" customWidth="1"/>
    <col min="8" max="8" width="9.42578125" bestFit="1" customWidth="1"/>
    <col min="9" max="9" width="4.85546875" bestFit="1" customWidth="1"/>
    <col min="10" max="10" width="3.42578125" bestFit="1" customWidth="1"/>
    <col min="11" max="11" width="5.42578125" bestFit="1" customWidth="1"/>
    <col min="12" max="12" width="9.140625" bestFit="1" customWidth="1"/>
    <col min="13" max="13" width="13.285156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4" ht="19.5" x14ac:dyDescent="0.25">
      <c r="B1" s="86" t="s">
        <v>181</v>
      </c>
      <c r="C1" s="86"/>
      <c r="D1" s="86"/>
      <c r="E1" s="86"/>
      <c r="F1" s="86"/>
      <c r="G1" s="115"/>
      <c r="H1" s="115"/>
      <c r="I1" s="115"/>
      <c r="J1" s="86"/>
      <c r="K1" s="86"/>
      <c r="L1" s="86"/>
      <c r="M1" s="86"/>
      <c r="N1" s="86"/>
    </row>
    <row r="2" spans="2:14" x14ac:dyDescent="0.25">
      <c r="G2" s="116"/>
      <c r="H2" s="116"/>
      <c r="I2" s="116"/>
    </row>
    <row r="3" spans="2:14" ht="15.75" x14ac:dyDescent="0.25">
      <c r="B3" s="77" t="s">
        <v>103</v>
      </c>
      <c r="C3" s="78">
        <f ca="1">MAX(0,NETWORKDAYS.INTL(MAX(TODAY(),DATE(YEAR(TODAY()),12,1)),EOMONTH(DATE(YEAR(TODAY()),12,1),0),11))</f>
        <v>27</v>
      </c>
      <c r="D3" s="79" t="s">
        <v>104</v>
      </c>
      <c r="E3" s="80">
        <f ca="1">DAY(EOMONTH(DATE(YEAR(TODAY()),12,1),0))</f>
        <v>31</v>
      </c>
      <c r="G3" s="116"/>
      <c r="H3" s="116"/>
      <c r="I3" s="116"/>
    </row>
    <row r="4" spans="2:14" x14ac:dyDescent="0.25">
      <c r="G4" s="116"/>
      <c r="H4" s="116"/>
      <c r="I4" s="116"/>
    </row>
    <row r="5" spans="2:14" x14ac:dyDescent="0.25">
      <c r="G5" s="116"/>
      <c r="H5" s="116"/>
      <c r="I5" s="11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172</v>
      </c>
      <c r="F8" s="83" t="s">
        <v>112</v>
      </c>
      <c r="H8" s="116"/>
      <c r="I8" s="116"/>
      <c r="J8" s="116"/>
      <c r="M8" s="11">
        <f>C24</f>
        <v>0</v>
      </c>
      <c r="N8" s="11">
        <f>D24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0</v>
      </c>
      <c r="N9" s="11">
        <f>D12+D13</f>
        <v>0</v>
      </c>
    </row>
    <row r="10" spans="2:14" x14ac:dyDescent="0.25">
      <c r="B10" s="74" t="s">
        <v>113</v>
      </c>
      <c r="C10" s="15"/>
      <c r="D10" s="15"/>
      <c r="E10" s="15"/>
      <c r="F10" s="15"/>
      <c r="H10" s="116"/>
      <c r="I10" s="116"/>
      <c r="J10" s="116"/>
      <c r="M10" s="11">
        <f>C14</f>
        <v>0</v>
      </c>
      <c r="N10" s="11">
        <f>D14</f>
        <v>0</v>
      </c>
    </row>
    <row r="11" spans="2:14" x14ac:dyDescent="0.25">
      <c r="B11" s="74" t="s">
        <v>114</v>
      </c>
      <c r="C11" s="15"/>
      <c r="D11" s="15"/>
      <c r="E11" s="15"/>
      <c r="F11" s="15"/>
      <c r="H11" s="116"/>
      <c r="I11" s="116"/>
      <c r="J11" s="116"/>
      <c r="M11" s="11">
        <f>C17</f>
        <v>0</v>
      </c>
      <c r="N11" s="11">
        <f>D17</f>
        <v>0</v>
      </c>
    </row>
    <row r="12" spans="2:14" x14ac:dyDescent="0.25">
      <c r="B12" s="74" t="s">
        <v>70</v>
      </c>
      <c r="C12" s="15"/>
      <c r="D12" s="15"/>
      <c r="E12" s="15"/>
      <c r="F12" s="15"/>
      <c r="H12" s="116"/>
      <c r="I12" s="116"/>
      <c r="J12" s="116"/>
      <c r="M12" s="11">
        <f>C16</f>
        <v>0</v>
      </c>
      <c r="N12" s="11">
        <f>D16</f>
        <v>0</v>
      </c>
    </row>
    <row r="13" spans="2:14" x14ac:dyDescent="0.25">
      <c r="B13" s="74" t="s">
        <v>115</v>
      </c>
      <c r="C13" s="15"/>
      <c r="D13" s="15"/>
      <c r="E13" s="15"/>
      <c r="F13" s="15"/>
      <c r="H13" s="116"/>
      <c r="I13" s="116"/>
      <c r="J13" s="116"/>
      <c r="M13" s="11">
        <f>C19</f>
        <v>0</v>
      </c>
      <c r="N13" s="11">
        <f>D19</f>
        <v>0</v>
      </c>
    </row>
    <row r="14" spans="2:14" x14ac:dyDescent="0.25">
      <c r="B14" s="74" t="s">
        <v>116</v>
      </c>
      <c r="C14" s="15"/>
      <c r="D14" s="15"/>
      <c r="E14" s="15"/>
      <c r="F14" s="15"/>
      <c r="H14" s="116"/>
      <c r="I14" s="116"/>
      <c r="J14" s="116"/>
      <c r="M14" s="11">
        <f>C25</f>
        <v>0</v>
      </c>
      <c r="N14" s="11">
        <f>D25</f>
        <v>0</v>
      </c>
    </row>
    <row r="15" spans="2:14" x14ac:dyDescent="0.25">
      <c r="B15" s="84" t="s">
        <v>117</v>
      </c>
      <c r="C15" s="150"/>
      <c r="D15" s="150"/>
      <c r="E15" s="150"/>
      <c r="F15" s="150"/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74</v>
      </c>
      <c r="C16" s="15"/>
      <c r="D16" s="15"/>
      <c r="E16" s="15"/>
      <c r="F16" s="15"/>
      <c r="H16" s="116"/>
      <c r="I16" s="116"/>
      <c r="J16" s="116"/>
      <c r="M16" s="11">
        <f>C26</f>
        <v>0</v>
      </c>
      <c r="N16" s="11">
        <f>D26</f>
        <v>0</v>
      </c>
    </row>
    <row r="17" spans="2:14" x14ac:dyDescent="0.25">
      <c r="B17" s="74" t="s">
        <v>118</v>
      </c>
      <c r="C17" s="15"/>
      <c r="D17" s="15"/>
      <c r="E17" s="15"/>
      <c r="F17" s="15"/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119</v>
      </c>
      <c r="C18" s="15"/>
      <c r="D18" s="15"/>
      <c r="E18" s="15"/>
      <c r="F18" s="15"/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121</v>
      </c>
      <c r="C19" s="15"/>
      <c r="D19" s="15"/>
      <c r="E19" s="15"/>
      <c r="F19" s="15"/>
      <c r="H19" s="116"/>
      <c r="I19" s="116"/>
      <c r="J19" s="116"/>
      <c r="M19" s="11">
        <f>C20+C21</f>
        <v>0</v>
      </c>
      <c r="N19" s="11">
        <f>D20+D21</f>
        <v>0</v>
      </c>
    </row>
    <row r="20" spans="2:14" x14ac:dyDescent="0.25">
      <c r="B20" s="74" t="s">
        <v>123</v>
      </c>
      <c r="C20" s="15"/>
      <c r="D20" s="15"/>
      <c r="E20" s="15"/>
      <c r="F20" s="15"/>
      <c r="H20" s="116"/>
      <c r="I20" s="116"/>
      <c r="J20" s="116"/>
      <c r="M20" s="14">
        <f>IFERROR(C31,0)+IFERROR(C15,0)+IFERROR(C36,0)</f>
        <v>0</v>
      </c>
      <c r="N20" s="10" t="s">
        <v>120</v>
      </c>
    </row>
    <row r="21" spans="2:14" x14ac:dyDescent="0.25">
      <c r="B21" s="74" t="s">
        <v>124</v>
      </c>
      <c r="C21" s="15"/>
      <c r="D21" s="15"/>
      <c r="E21" s="15"/>
      <c r="F21" s="15"/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173</v>
      </c>
      <c r="C22" s="15"/>
      <c r="D22" s="15"/>
      <c r="E22" s="15"/>
      <c r="F22" s="15"/>
      <c r="H22" s="116"/>
      <c r="I22" s="116"/>
      <c r="J22" s="116"/>
    </row>
    <row r="23" spans="2:14" x14ac:dyDescent="0.25">
      <c r="B23" s="74" t="s">
        <v>174</v>
      </c>
      <c r="C23" s="15"/>
      <c r="D23" s="15"/>
      <c r="E23" s="15"/>
      <c r="F23" s="15"/>
      <c r="H23" s="116"/>
      <c r="I23" s="116"/>
      <c r="J23" s="116"/>
    </row>
    <row r="24" spans="2:14" x14ac:dyDescent="0.25">
      <c r="B24" s="74" t="s">
        <v>125</v>
      </c>
      <c r="C24" s="15"/>
      <c r="D24" s="15"/>
      <c r="E24" s="15"/>
      <c r="F24" s="15"/>
      <c r="H24" s="116"/>
      <c r="I24" s="116"/>
      <c r="J24" s="116"/>
    </row>
    <row r="25" spans="2:14" x14ac:dyDescent="0.25">
      <c r="B25" s="74" t="s">
        <v>126</v>
      </c>
      <c r="C25" s="15"/>
      <c r="D25" s="15"/>
      <c r="E25" s="15"/>
      <c r="F25" s="15"/>
      <c r="H25" s="116"/>
      <c r="I25" s="116"/>
      <c r="J25" s="116"/>
    </row>
    <row r="26" spans="2:14" x14ac:dyDescent="0.25">
      <c r="B26" s="74" t="s">
        <v>127</v>
      </c>
      <c r="C26" s="15"/>
      <c r="D26" s="15"/>
      <c r="E26" s="15"/>
      <c r="F26" s="15"/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/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4" x14ac:dyDescent="0.25">
      <c r="B33" s="84" t="s">
        <v>133</v>
      </c>
      <c r="C33" s="15">
        <v>0</v>
      </c>
      <c r="G33" s="116"/>
      <c r="H33" s="116"/>
      <c r="I33" s="116"/>
    </row>
    <row r="34" spans="2:14" x14ac:dyDescent="0.25">
      <c r="B34" s="84" t="s">
        <v>134</v>
      </c>
      <c r="C34" s="15">
        <v>0</v>
      </c>
      <c r="G34" s="116"/>
      <c r="H34" s="116"/>
      <c r="I34" s="116"/>
    </row>
    <row r="35" spans="2:14" x14ac:dyDescent="0.25">
      <c r="B35" s="84" t="s">
        <v>135</v>
      </c>
      <c r="C35" s="15">
        <v>0</v>
      </c>
      <c r="G35" s="116"/>
      <c r="H35" s="116"/>
      <c r="I35" s="116"/>
    </row>
    <row r="36" spans="2:14" x14ac:dyDescent="0.25">
      <c r="B36" s="84" t="s">
        <v>136</v>
      </c>
      <c r="C36" s="15">
        <v>0</v>
      </c>
      <c r="G36" s="116"/>
      <c r="H36" s="116"/>
      <c r="I36" s="116"/>
    </row>
    <row r="37" spans="2:14" x14ac:dyDescent="0.25">
      <c r="B37" s="84"/>
      <c r="C37" s="85"/>
      <c r="G37" s="116"/>
      <c r="H37" s="116"/>
      <c r="I37" s="116"/>
    </row>
    <row r="38" spans="2:14" x14ac:dyDescent="0.25">
      <c r="B38" s="76"/>
      <c r="C38" s="85"/>
      <c r="G38" s="116"/>
      <c r="H38" s="116"/>
      <c r="I38" s="116"/>
    </row>
    <row r="39" spans="2:14" ht="20.100000000000001" customHeight="1" x14ac:dyDescent="0.25">
      <c r="G39" s="116"/>
      <c r="H39" s="116"/>
      <c r="I39" s="116"/>
    </row>
    <row r="40" spans="2:14" x14ac:dyDescent="0.25">
      <c r="G40" s="116"/>
      <c r="H40" s="116"/>
      <c r="I40" s="116"/>
    </row>
    <row r="41" spans="2:14" ht="18.75" x14ac:dyDescent="0.25">
      <c r="B41" s="224" t="s">
        <v>182</v>
      </c>
      <c r="C41" s="225"/>
      <c r="D41" s="226"/>
      <c r="E41" s="67" t="s">
        <v>138</v>
      </c>
      <c r="F41" s="73">
        <f ca="1">IF(MONTH(TODAY())=12,DAY(TODAY())/DAY(EOMONTH(TODAY(),0)),IF(MONTH(TODAY())&gt;12,1,0))</f>
        <v>0</v>
      </c>
      <c r="G41" s="117"/>
      <c r="H41" s="117"/>
      <c r="I41" s="116"/>
    </row>
    <row r="42" spans="2:14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69" t="s">
        <v>140</v>
      </c>
      <c r="G42" s="131" t="s">
        <v>141</v>
      </c>
      <c r="H42" s="131" t="s">
        <v>142</v>
      </c>
      <c r="I42" s="116"/>
    </row>
    <row r="43" spans="2:14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44">
        <f>IFERROR(E43/D43,0)</f>
        <v>0</v>
      </c>
      <c r="G43" s="118">
        <f>D43-E43</f>
        <v>0</v>
      </c>
      <c r="H43" s="118">
        <f ca="1">IFERROR(G43/C3,0)</f>
        <v>0</v>
      </c>
      <c r="I43" s="116"/>
    </row>
    <row r="44" spans="2:14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44">
        <f>IFERROR(E44/D44,0)</f>
        <v>0</v>
      </c>
      <c r="G44" s="118">
        <f>D44-E44</f>
        <v>0</v>
      </c>
      <c r="H44" s="118">
        <f ca="1">IFERROR(G44/C3,0)</f>
        <v>0</v>
      </c>
      <c r="I44" s="116"/>
    </row>
    <row r="45" spans="2:14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44">
        <f>IFERROR(E45/D45,0)</f>
        <v>0</v>
      </c>
      <c r="G45" s="118">
        <f>D45-E45</f>
        <v>0</v>
      </c>
      <c r="H45" s="118">
        <f ca="1">IFERROR(G45/C3,0)</f>
        <v>0</v>
      </c>
      <c r="I45" s="116"/>
    </row>
    <row r="46" spans="2:14" x14ac:dyDescent="0.25">
      <c r="B46" s="221" t="s">
        <v>146</v>
      </c>
      <c r="C46" s="222"/>
      <c r="D46" s="47">
        <f>D43+D44+D45</f>
        <v>0</v>
      </c>
      <c r="E46" s="47">
        <f>E43+E44+E45</f>
        <v>0</v>
      </c>
      <c r="F46" s="43">
        <f>IFERROR(E46/D46,0)</f>
        <v>0</v>
      </c>
      <c r="G46" s="119">
        <f>G43+G44+G45</f>
        <v>0</v>
      </c>
      <c r="H46" s="119">
        <f ca="1">IFERROR(G46/C3,0)</f>
        <v>0</v>
      </c>
      <c r="I46" s="116"/>
    </row>
    <row r="47" spans="2:14" ht="17.100000000000001" customHeight="1" x14ac:dyDescent="0.25">
      <c r="G47" s="116"/>
      <c r="H47" s="116"/>
      <c r="I47" s="116"/>
    </row>
    <row r="48" spans="2:14" ht="18.75" x14ac:dyDescent="0.25">
      <c r="B48" s="228" t="s">
        <v>147</v>
      </c>
      <c r="C48" s="229"/>
      <c r="D48" s="229"/>
      <c r="E48" s="229"/>
      <c r="F48" s="229"/>
      <c r="G48" s="229"/>
      <c r="H48" s="229"/>
      <c r="I48" s="229"/>
      <c r="J48" s="230"/>
      <c r="K48" s="241"/>
      <c r="L48" s="242"/>
      <c r="M48" s="242"/>
      <c r="N48" s="243"/>
    </row>
    <row r="49" spans="2:14" ht="15.75" x14ac:dyDescent="0.25">
      <c r="B49" s="223" t="s">
        <v>41</v>
      </c>
      <c r="C49" s="223" t="s">
        <v>42</v>
      </c>
      <c r="D49" s="218" t="s">
        <v>138</v>
      </c>
      <c r="E49" s="219"/>
      <c r="F49" s="220"/>
      <c r="G49" s="120" t="s">
        <v>139</v>
      </c>
      <c r="H49" s="120"/>
      <c r="I49" s="120"/>
      <c r="J49" s="223" t="s">
        <v>140</v>
      </c>
      <c r="K49" s="132" t="s">
        <v>148</v>
      </c>
      <c r="L49" s="132"/>
      <c r="M49" s="132"/>
      <c r="N49" s="244" t="s">
        <v>149</v>
      </c>
    </row>
    <row r="50" spans="2:14" ht="47.25" x14ac:dyDescent="0.25">
      <c r="B50" s="223"/>
      <c r="C50" s="223"/>
      <c r="D50" s="71" t="s">
        <v>150</v>
      </c>
      <c r="E50" s="71" t="s">
        <v>151</v>
      </c>
      <c r="F50" s="71" t="s">
        <v>131</v>
      </c>
      <c r="G50" s="121" t="s">
        <v>150</v>
      </c>
      <c r="H50" s="121" t="s">
        <v>151</v>
      </c>
      <c r="I50" s="121" t="s">
        <v>131</v>
      </c>
      <c r="J50" s="223"/>
      <c r="K50" s="133" t="s">
        <v>143</v>
      </c>
      <c r="L50" s="133" t="s">
        <v>111</v>
      </c>
      <c r="M50" s="133" t="s">
        <v>146</v>
      </c>
      <c r="N50" s="244"/>
    </row>
    <row r="51" spans="2:14" x14ac:dyDescent="0.25">
      <c r="B51" s="50" t="s">
        <v>67</v>
      </c>
      <c r="C51" s="55" t="s">
        <v>68</v>
      </c>
      <c r="D51" s="127">
        <f>TARGETS!Z5</f>
        <v>0</v>
      </c>
      <c r="E51" s="127">
        <v>0</v>
      </c>
      <c r="F51" s="127">
        <f t="shared" ref="F51:F64" si="0">D51+E51</f>
        <v>0</v>
      </c>
      <c r="G51" s="122">
        <f>M8</f>
        <v>0</v>
      </c>
      <c r="H51" s="122">
        <f>N8</f>
        <v>0</v>
      </c>
      <c r="I51" s="122">
        <f t="shared" ref="I51:I64" si="1">G51+H51</f>
        <v>0</v>
      </c>
      <c r="J51" s="61">
        <f t="shared" ref="J51:J64" si="2">IFERROR(I51/F51,0)</f>
        <v>0</v>
      </c>
      <c r="K51" s="51">
        <f t="shared" ref="K51:M64" si="3">D51-G51</f>
        <v>0</v>
      </c>
      <c r="L51" s="51">
        <f t="shared" si="3"/>
        <v>0</v>
      </c>
      <c r="M51" s="51">
        <f t="shared" si="3"/>
        <v>0</v>
      </c>
      <c r="N51" s="51">
        <f ca="1">IFERROR(M51/C3,0)</f>
        <v>0</v>
      </c>
    </row>
    <row r="52" spans="2:14" x14ac:dyDescent="0.25">
      <c r="B52" s="53" t="s">
        <v>69</v>
      </c>
      <c r="C52" s="56" t="s">
        <v>70</v>
      </c>
      <c r="D52" s="128">
        <f>TARGETS!Z6</f>
        <v>0</v>
      </c>
      <c r="E52" s="128">
        <v>0</v>
      </c>
      <c r="F52" s="128">
        <f t="shared" si="0"/>
        <v>0</v>
      </c>
      <c r="G52" s="122">
        <f>M9</f>
        <v>0</v>
      </c>
      <c r="H52" s="122">
        <f>N9</f>
        <v>0</v>
      </c>
      <c r="I52" s="122">
        <f t="shared" si="1"/>
        <v>0</v>
      </c>
      <c r="J52" s="61">
        <f t="shared" si="2"/>
        <v>0</v>
      </c>
      <c r="K52" s="54">
        <f t="shared" si="3"/>
        <v>0</v>
      </c>
      <c r="L52" s="54">
        <f t="shared" si="3"/>
        <v>0</v>
      </c>
      <c r="M52" s="54">
        <f t="shared" si="3"/>
        <v>0</v>
      </c>
      <c r="N52" s="54">
        <f ca="1">IFERROR(M52/C3,0)</f>
        <v>0</v>
      </c>
    </row>
    <row r="53" spans="2:14" ht="30" x14ac:dyDescent="0.25">
      <c r="B53" s="155" t="s">
        <v>176</v>
      </c>
      <c r="C53" s="156" t="s">
        <v>177</v>
      </c>
      <c r="D53" s="157">
        <f>TARGETS!Z7</f>
        <v>0</v>
      </c>
      <c r="E53" s="157">
        <v>0</v>
      </c>
      <c r="F53" s="157">
        <f>D53+E53</f>
        <v>0</v>
      </c>
      <c r="G53" s="122">
        <f>C22</f>
        <v>0</v>
      </c>
      <c r="H53" s="122">
        <f>IF(D22="",0,D22)</f>
        <v>0</v>
      </c>
      <c r="I53" s="122">
        <f>G53+H53</f>
        <v>0</v>
      </c>
      <c r="J53" s="61">
        <f>IFERROR(I53/F53,0)</f>
        <v>0</v>
      </c>
      <c r="K53" s="54">
        <f>D53-G53</f>
        <v>0</v>
      </c>
      <c r="L53" s="54">
        <f>E53-H53</f>
        <v>0</v>
      </c>
      <c r="M53" s="54">
        <f>F53-I53</f>
        <v>0</v>
      </c>
      <c r="N53" s="54">
        <f ca="1">IFERROR(M53/C3,0)</f>
        <v>0</v>
      </c>
    </row>
    <row r="54" spans="2:14" x14ac:dyDescent="0.25">
      <c r="B54" s="53" t="s">
        <v>71</v>
      </c>
      <c r="C54" s="56" t="s">
        <v>72</v>
      </c>
      <c r="D54" s="128">
        <f>TARGETS!Z8</f>
        <v>0</v>
      </c>
      <c r="E54" s="128">
        <v>0</v>
      </c>
      <c r="F54" s="128">
        <f t="shared" si="0"/>
        <v>0</v>
      </c>
      <c r="G54" s="122">
        <f>M10</f>
        <v>0</v>
      </c>
      <c r="H54" s="122">
        <f t="shared" ref="H54:H58" si="4">N10</f>
        <v>0</v>
      </c>
      <c r="I54" s="122">
        <f t="shared" si="1"/>
        <v>0</v>
      </c>
      <c r="J54" s="61">
        <f t="shared" si="2"/>
        <v>0</v>
      </c>
      <c r="K54" s="54">
        <f>D54-G54</f>
        <v>0</v>
      </c>
      <c r="L54" s="54">
        <f t="shared" si="3"/>
        <v>0</v>
      </c>
      <c r="M54" s="54">
        <f t="shared" si="3"/>
        <v>0</v>
      </c>
      <c r="N54" s="54">
        <f ca="1">IFERROR(M54/C3,0)</f>
        <v>0</v>
      </c>
    </row>
    <row r="55" spans="2:14" x14ac:dyDescent="0.25">
      <c r="B55" s="50" t="s">
        <v>73</v>
      </c>
      <c r="C55" s="55" t="s">
        <v>74</v>
      </c>
      <c r="D55" s="127">
        <f>TARGETS!Z9</f>
        <v>0</v>
      </c>
      <c r="E55" s="127">
        <v>0</v>
      </c>
      <c r="F55" s="127">
        <f t="shared" si="0"/>
        <v>0</v>
      </c>
      <c r="G55" s="122">
        <f>M11</f>
        <v>0</v>
      </c>
      <c r="H55" s="122">
        <f t="shared" si="4"/>
        <v>0</v>
      </c>
      <c r="I55" s="122">
        <f t="shared" si="1"/>
        <v>0</v>
      </c>
      <c r="J55" s="61">
        <f t="shared" si="2"/>
        <v>0</v>
      </c>
      <c r="K55" s="54">
        <f t="shared" si="3"/>
        <v>0</v>
      </c>
      <c r="L55" s="54">
        <f t="shared" si="3"/>
        <v>0</v>
      </c>
      <c r="M55" s="54">
        <f t="shared" si="3"/>
        <v>0</v>
      </c>
      <c r="N55" s="54">
        <f ca="1">IFERROR(M55/C3,0)</f>
        <v>0</v>
      </c>
    </row>
    <row r="56" spans="2:14" x14ac:dyDescent="0.25">
      <c r="B56" s="53" t="s">
        <v>75</v>
      </c>
      <c r="C56" s="56" t="s">
        <v>74</v>
      </c>
      <c r="D56" s="128">
        <f>TARGETS!Z10</f>
        <v>0</v>
      </c>
      <c r="E56" s="128">
        <v>0</v>
      </c>
      <c r="F56" s="128">
        <f t="shared" si="0"/>
        <v>0</v>
      </c>
      <c r="G56" s="122">
        <f>M12</f>
        <v>0</v>
      </c>
      <c r="H56" s="122">
        <f t="shared" si="4"/>
        <v>0</v>
      </c>
      <c r="I56" s="122">
        <f t="shared" si="1"/>
        <v>0</v>
      </c>
      <c r="J56" s="61">
        <f t="shared" si="2"/>
        <v>0</v>
      </c>
      <c r="K56" s="54">
        <f t="shared" si="3"/>
        <v>0</v>
      </c>
      <c r="L56" s="54">
        <f t="shared" si="3"/>
        <v>0</v>
      </c>
      <c r="M56" s="54">
        <f t="shared" si="3"/>
        <v>0</v>
      </c>
      <c r="N56" s="54">
        <f ca="1">IFERROR(M56/C3,0)</f>
        <v>0</v>
      </c>
    </row>
    <row r="57" spans="2:14" x14ac:dyDescent="0.25">
      <c r="B57" s="50" t="s">
        <v>76</v>
      </c>
      <c r="C57" s="55" t="s">
        <v>77</v>
      </c>
      <c r="D57" s="127">
        <f>TARGETS!Z11</f>
        <v>0</v>
      </c>
      <c r="E57" s="127">
        <v>0</v>
      </c>
      <c r="F57" s="127">
        <f t="shared" si="0"/>
        <v>0</v>
      </c>
      <c r="G57" s="122">
        <f>M13</f>
        <v>0</v>
      </c>
      <c r="H57" s="122">
        <f t="shared" si="4"/>
        <v>0</v>
      </c>
      <c r="I57" s="122">
        <f t="shared" si="1"/>
        <v>0</v>
      </c>
      <c r="J57" s="61">
        <f t="shared" si="2"/>
        <v>0</v>
      </c>
      <c r="K57" s="54">
        <f t="shared" si="3"/>
        <v>0</v>
      </c>
      <c r="L57" s="54">
        <f t="shared" si="3"/>
        <v>0</v>
      </c>
      <c r="M57" s="54">
        <f t="shared" si="3"/>
        <v>0</v>
      </c>
      <c r="N57" s="54">
        <f ca="1">IFERROR(M57/C3,0)</f>
        <v>0</v>
      </c>
    </row>
    <row r="58" spans="2:14" x14ac:dyDescent="0.25">
      <c r="B58" s="53" t="s">
        <v>78</v>
      </c>
      <c r="C58" s="56" t="s">
        <v>79</v>
      </c>
      <c r="D58" s="128">
        <f>TARGETS!Z12</f>
        <v>0</v>
      </c>
      <c r="E58" s="128">
        <v>0</v>
      </c>
      <c r="F58" s="128">
        <f t="shared" si="0"/>
        <v>0</v>
      </c>
      <c r="G58" s="122">
        <f>M14</f>
        <v>0</v>
      </c>
      <c r="H58" s="122">
        <f t="shared" si="4"/>
        <v>0</v>
      </c>
      <c r="I58" s="122">
        <f>G58+H58</f>
        <v>0</v>
      </c>
      <c r="J58" s="61">
        <f>IFERROR(I58/F58,0)</f>
        <v>0</v>
      </c>
      <c r="K58" s="54">
        <f t="shared" si="3"/>
        <v>0</v>
      </c>
      <c r="L58" s="54">
        <f t="shared" si="3"/>
        <v>0</v>
      </c>
      <c r="M58" s="54">
        <f t="shared" si="3"/>
        <v>0</v>
      </c>
      <c r="N58" s="54">
        <f ca="1">IFERROR(M58/C3,0)</f>
        <v>0</v>
      </c>
    </row>
    <row r="59" spans="2:14" x14ac:dyDescent="0.25">
      <c r="B59" s="155" t="s">
        <v>176</v>
      </c>
      <c r="C59" s="156" t="s">
        <v>178</v>
      </c>
      <c r="D59" s="157">
        <f>TARGETS!Z13</f>
        <v>0</v>
      </c>
      <c r="E59" s="157">
        <v>0</v>
      </c>
      <c r="F59" s="157">
        <f>D59+E59</f>
        <v>0</v>
      </c>
      <c r="G59" s="122">
        <f>C23</f>
        <v>0</v>
      </c>
      <c r="H59" s="122">
        <f>IF(D23="",0,D23)</f>
        <v>0</v>
      </c>
      <c r="I59" s="122">
        <f>G59+H59</f>
        <v>0</v>
      </c>
      <c r="J59" s="61">
        <f>IFERROR(I59/F59,0)</f>
        <v>0</v>
      </c>
      <c r="K59" s="54">
        <f>D59-G59</f>
        <v>0</v>
      </c>
      <c r="L59" s="54">
        <f>E59-H59</f>
        <v>0</v>
      </c>
      <c r="M59" s="54">
        <f>F59-I59</f>
        <v>0</v>
      </c>
      <c r="N59" s="54">
        <f ca="1">IFERROR(M59/C3,0)</f>
        <v>0</v>
      </c>
    </row>
    <row r="60" spans="2:14" x14ac:dyDescent="0.25">
      <c r="B60" s="53" t="s">
        <v>80</v>
      </c>
      <c r="C60" s="56" t="s">
        <v>81</v>
      </c>
      <c r="D60" s="128">
        <f>TARGETS!Z14</f>
        <v>0</v>
      </c>
      <c r="E60" s="128">
        <v>0</v>
      </c>
      <c r="F60" s="128">
        <f t="shared" si="0"/>
        <v>0</v>
      </c>
      <c r="G60" s="122">
        <f>M15</f>
        <v>0</v>
      </c>
      <c r="H60" s="122">
        <f t="shared" ref="H60:H64" si="5">N15</f>
        <v>0</v>
      </c>
      <c r="I60" s="122">
        <f t="shared" si="1"/>
        <v>0</v>
      </c>
      <c r="J60" s="61">
        <f t="shared" si="2"/>
        <v>0</v>
      </c>
      <c r="K60" s="54">
        <f t="shared" si="3"/>
        <v>0</v>
      </c>
      <c r="L60" s="54">
        <f t="shared" si="3"/>
        <v>0</v>
      </c>
      <c r="M60" s="54">
        <f t="shared" si="3"/>
        <v>0</v>
      </c>
      <c r="N60" s="54">
        <f ca="1">IFERROR(M60/C3,0)</f>
        <v>0</v>
      </c>
    </row>
    <row r="61" spans="2:14" x14ac:dyDescent="0.25">
      <c r="B61" s="50" t="s">
        <v>82</v>
      </c>
      <c r="C61" s="55" t="s">
        <v>83</v>
      </c>
      <c r="D61" s="127">
        <f>TARGETS!Z15</f>
        <v>0</v>
      </c>
      <c r="E61" s="127">
        <v>0</v>
      </c>
      <c r="F61" s="127">
        <f t="shared" si="0"/>
        <v>0</v>
      </c>
      <c r="G61" s="122">
        <f>M16</f>
        <v>0</v>
      </c>
      <c r="H61" s="122">
        <f t="shared" si="5"/>
        <v>0</v>
      </c>
      <c r="I61" s="122">
        <f t="shared" si="1"/>
        <v>0</v>
      </c>
      <c r="J61" s="61">
        <f t="shared" si="2"/>
        <v>0</v>
      </c>
      <c r="K61" s="54">
        <f t="shared" si="3"/>
        <v>0</v>
      </c>
      <c r="L61" s="54">
        <f t="shared" si="3"/>
        <v>0</v>
      </c>
      <c r="M61" s="54">
        <f t="shared" si="3"/>
        <v>0</v>
      </c>
      <c r="N61" s="54">
        <f ca="1">IFERROR(M61/C3,0)</f>
        <v>0</v>
      </c>
    </row>
    <row r="62" spans="2:14" ht="30" x14ac:dyDescent="0.25">
      <c r="B62" s="53" t="s">
        <v>84</v>
      </c>
      <c r="C62" s="56" t="s">
        <v>85</v>
      </c>
      <c r="D62" s="128">
        <f>TARGETS!Z16</f>
        <v>0</v>
      </c>
      <c r="E62" s="128">
        <v>0</v>
      </c>
      <c r="F62" s="128">
        <f t="shared" si="0"/>
        <v>0</v>
      </c>
      <c r="G62" s="122">
        <f>M17</f>
        <v>0</v>
      </c>
      <c r="H62" s="122">
        <f t="shared" si="5"/>
        <v>0</v>
      </c>
      <c r="I62" s="122">
        <f t="shared" si="1"/>
        <v>0</v>
      </c>
      <c r="J62" s="61">
        <f t="shared" si="2"/>
        <v>0</v>
      </c>
      <c r="K62" s="54">
        <f t="shared" si="3"/>
        <v>0</v>
      </c>
      <c r="L62" s="54">
        <f t="shared" si="3"/>
        <v>0</v>
      </c>
      <c r="M62" s="54">
        <f t="shared" si="3"/>
        <v>0</v>
      </c>
      <c r="N62" s="54">
        <f ca="1">IFERROR(M62/C3,0)</f>
        <v>0</v>
      </c>
    </row>
    <row r="63" spans="2:14" x14ac:dyDescent="0.25">
      <c r="B63" s="50" t="s">
        <v>86</v>
      </c>
      <c r="C63" s="55" t="s">
        <v>87</v>
      </c>
      <c r="D63" s="127">
        <f>TARGETS!Z17</f>
        <v>0</v>
      </c>
      <c r="E63" s="127">
        <v>0</v>
      </c>
      <c r="F63" s="127">
        <f t="shared" si="0"/>
        <v>0</v>
      </c>
      <c r="G63" s="122">
        <f>M18</f>
        <v>0</v>
      </c>
      <c r="H63" s="122">
        <f t="shared" si="5"/>
        <v>0</v>
      </c>
      <c r="I63" s="122">
        <f t="shared" si="1"/>
        <v>0</v>
      </c>
      <c r="J63" s="61">
        <f t="shared" si="2"/>
        <v>0</v>
      </c>
      <c r="K63" s="54">
        <f t="shared" si="3"/>
        <v>0</v>
      </c>
      <c r="L63" s="54">
        <f t="shared" si="3"/>
        <v>0</v>
      </c>
      <c r="M63" s="54">
        <f t="shared" si="3"/>
        <v>0</v>
      </c>
      <c r="N63" s="54">
        <f ca="1">IFERROR(M63/C3,0)</f>
        <v>0</v>
      </c>
    </row>
    <row r="64" spans="2:14" x14ac:dyDescent="0.25">
      <c r="B64" s="53" t="s">
        <v>88</v>
      </c>
      <c r="C64" s="56" t="s">
        <v>89</v>
      </c>
      <c r="D64" s="128">
        <f>TARGETS!Z18</f>
        <v>0</v>
      </c>
      <c r="E64" s="128">
        <v>0</v>
      </c>
      <c r="F64" s="128">
        <f t="shared" si="0"/>
        <v>0</v>
      </c>
      <c r="G64" s="122">
        <f>M19</f>
        <v>0</v>
      </c>
      <c r="H64" s="122">
        <f t="shared" si="5"/>
        <v>0</v>
      </c>
      <c r="I64" s="122">
        <f t="shared" si="1"/>
        <v>0</v>
      </c>
      <c r="J64" s="61">
        <f t="shared" si="2"/>
        <v>0</v>
      </c>
      <c r="K64" s="54">
        <f t="shared" si="3"/>
        <v>0</v>
      </c>
      <c r="L64" s="54">
        <f t="shared" si="3"/>
        <v>0</v>
      </c>
      <c r="M64" s="54">
        <f t="shared" si="3"/>
        <v>0</v>
      </c>
      <c r="N64" s="54">
        <f ca="1">IFERROR(M64/C3,0)</f>
        <v>0</v>
      </c>
    </row>
    <row r="65" spans="2:14" x14ac:dyDescent="0.25">
      <c r="B65" s="57" t="s">
        <v>152</v>
      </c>
      <c r="C65" s="58"/>
      <c r="D65" s="151">
        <f>SUM(D51:D64)</f>
        <v>0</v>
      </c>
      <c r="E65" s="151">
        <f t="shared" ref="E65" si="6">SUM(E51:E52,E54:E58,E60:E64)</f>
        <v>0</v>
      </c>
      <c r="F65" s="151">
        <f>SUM(F51:F64)</f>
        <v>0</v>
      </c>
      <c r="G65" s="152">
        <f>SUM(G51:G64)</f>
        <v>0</v>
      </c>
      <c r="H65" s="152">
        <f>SUM(H51:H64)</f>
        <v>0</v>
      </c>
      <c r="I65" s="152">
        <f>SUM(I51:I64)</f>
        <v>0</v>
      </c>
      <c r="J65" s="153">
        <f>IFERROR(I65/F65,0)</f>
        <v>0</v>
      </c>
      <c r="K65" s="154">
        <f>SUM(K51:K64)</f>
        <v>0</v>
      </c>
      <c r="L65" s="154">
        <f>SUM(L51:L64)</f>
        <v>0</v>
      </c>
      <c r="M65" s="154">
        <f>SUM(M51:M64)</f>
        <v>0</v>
      </c>
      <c r="N65" s="154">
        <f ca="1">IFERROR(M65/C3,0)</f>
        <v>0</v>
      </c>
    </row>
    <row r="66" spans="2:14" x14ac:dyDescent="0.25">
      <c r="G66" s="116"/>
      <c r="H66" s="116"/>
      <c r="I66" s="116"/>
    </row>
    <row r="67" spans="2:14" ht="18.75" x14ac:dyDescent="0.25">
      <c r="B67" s="135" t="s">
        <v>175</v>
      </c>
      <c r="C67" s="136"/>
      <c r="D67" s="137"/>
    </row>
    <row r="68" spans="2:14" ht="15.75" x14ac:dyDescent="0.25">
      <c r="B68" s="223" t="s">
        <v>41</v>
      </c>
      <c r="C68" s="223" t="s">
        <v>42</v>
      </c>
      <c r="D68" s="134" t="s">
        <v>139</v>
      </c>
    </row>
    <row r="69" spans="2:14" ht="15.75" x14ac:dyDescent="0.25">
      <c r="B69" s="223"/>
      <c r="C69" s="223"/>
      <c r="D69" s="71" t="s">
        <v>172</v>
      </c>
    </row>
    <row r="70" spans="2:14" x14ac:dyDescent="0.25">
      <c r="B70" s="50" t="s">
        <v>67</v>
      </c>
      <c r="C70" s="55" t="s">
        <v>68</v>
      </c>
      <c r="D70" s="148">
        <f>IF(E24="",0,E24)</f>
        <v>0</v>
      </c>
    </row>
    <row r="71" spans="2:14" x14ac:dyDescent="0.25">
      <c r="B71" s="53" t="s">
        <v>69</v>
      </c>
      <c r="C71" s="56" t="s">
        <v>70</v>
      </c>
      <c r="D71" s="149">
        <f>IF(E12="",0,E12)+IF(E13="",0,E13)</f>
        <v>0</v>
      </c>
    </row>
    <row r="72" spans="2:14" ht="30" x14ac:dyDescent="0.25">
      <c r="B72" s="53" t="s">
        <v>176</v>
      </c>
      <c r="C72" s="56" t="s">
        <v>177</v>
      </c>
      <c r="D72" s="149">
        <f>IF(E22="",0,E22)</f>
        <v>0</v>
      </c>
    </row>
    <row r="73" spans="2:14" x14ac:dyDescent="0.25">
      <c r="B73" s="50" t="s">
        <v>71</v>
      </c>
      <c r="C73" s="55" t="s">
        <v>72</v>
      </c>
      <c r="D73" s="148">
        <f>IF(E14="",0,E14)</f>
        <v>0</v>
      </c>
    </row>
    <row r="74" spans="2:14" x14ac:dyDescent="0.25">
      <c r="B74" s="53" t="s">
        <v>73</v>
      </c>
      <c r="C74" s="56" t="s">
        <v>74</v>
      </c>
      <c r="D74" s="149">
        <f>0</f>
        <v>0</v>
      </c>
    </row>
    <row r="75" spans="2:14" x14ac:dyDescent="0.25">
      <c r="B75" s="50" t="s">
        <v>75</v>
      </c>
      <c r="C75" s="55" t="s">
        <v>74</v>
      </c>
      <c r="D75" s="148">
        <f>0</f>
        <v>0</v>
      </c>
    </row>
    <row r="76" spans="2:14" x14ac:dyDescent="0.25">
      <c r="B76" s="53" t="s">
        <v>76</v>
      </c>
      <c r="C76" s="56" t="s">
        <v>77</v>
      </c>
      <c r="D76" s="149">
        <f>IF(E19="",0,E19)</f>
        <v>0</v>
      </c>
    </row>
    <row r="77" spans="2:14" x14ac:dyDescent="0.25">
      <c r="B77" s="50" t="s">
        <v>78</v>
      </c>
      <c r="C77" s="55" t="s">
        <v>79</v>
      </c>
      <c r="D77" s="148">
        <f>IF(E25="",0,E25)</f>
        <v>0</v>
      </c>
    </row>
    <row r="78" spans="2:14" x14ac:dyDescent="0.25">
      <c r="B78" s="53" t="s">
        <v>176</v>
      </c>
      <c r="C78" s="56" t="s">
        <v>178</v>
      </c>
      <c r="D78" s="149">
        <f>IF(E23="",0,E23)</f>
        <v>0</v>
      </c>
    </row>
    <row r="79" spans="2:14" x14ac:dyDescent="0.25">
      <c r="B79" s="53" t="s">
        <v>80</v>
      </c>
      <c r="C79" s="56" t="s">
        <v>81</v>
      </c>
      <c r="D79" s="149">
        <f>IF(E11="",0,E11)</f>
        <v>0</v>
      </c>
    </row>
    <row r="80" spans="2:14" x14ac:dyDescent="0.25">
      <c r="B80" s="50" t="s">
        <v>82</v>
      </c>
      <c r="C80" s="55" t="s">
        <v>83</v>
      </c>
      <c r="D80" s="148">
        <f>IF(E26="",0,E26)</f>
        <v>0</v>
      </c>
    </row>
    <row r="81" spans="2:9" ht="30" x14ac:dyDescent="0.25">
      <c r="B81" s="53" t="s">
        <v>84</v>
      </c>
      <c r="C81" s="56" t="s">
        <v>85</v>
      </c>
      <c r="D81" s="149">
        <f>IF(E10="",0,E10)</f>
        <v>0</v>
      </c>
    </row>
    <row r="82" spans="2:9" x14ac:dyDescent="0.25">
      <c r="B82" s="50" t="s">
        <v>86</v>
      </c>
      <c r="C82" s="55" t="s">
        <v>87</v>
      </c>
      <c r="D82" s="148">
        <f>0</f>
        <v>0</v>
      </c>
    </row>
    <row r="83" spans="2:9" x14ac:dyDescent="0.25">
      <c r="B83" s="53" t="s">
        <v>88</v>
      </c>
      <c r="C83" s="56" t="s">
        <v>89</v>
      </c>
      <c r="D83" s="149">
        <f>0</f>
        <v>0</v>
      </c>
    </row>
    <row r="84" spans="2:9" x14ac:dyDescent="0.25">
      <c r="B84" s="57" t="s">
        <v>152</v>
      </c>
      <c r="C84" s="58"/>
      <c r="D84" s="129">
        <f>SUM(D70:D83)</f>
        <v>0</v>
      </c>
    </row>
    <row r="85" spans="2:9" x14ac:dyDescent="0.25">
      <c r="G85" s="116"/>
      <c r="H85" s="116"/>
      <c r="I85" s="116"/>
    </row>
    <row r="86" spans="2:9" x14ac:dyDescent="0.25">
      <c r="G86" s="116"/>
      <c r="H86" s="116"/>
      <c r="I86" s="116"/>
    </row>
    <row r="87" spans="2:9" ht="18.75" x14ac:dyDescent="0.25">
      <c r="B87" s="238" t="s">
        <v>145</v>
      </c>
      <c r="C87" s="239"/>
      <c r="D87" s="239"/>
      <c r="E87" s="239"/>
      <c r="F87" s="240"/>
      <c r="G87" s="124"/>
      <c r="H87" s="124"/>
      <c r="I87" s="116"/>
    </row>
    <row r="88" spans="2:9" ht="47.25" x14ac:dyDescent="0.25">
      <c r="B88" s="75" t="s">
        <v>153</v>
      </c>
      <c r="C88" s="75" t="s">
        <v>42</v>
      </c>
      <c r="D88" s="75" t="s">
        <v>138</v>
      </c>
      <c r="E88" s="75" t="s">
        <v>139</v>
      </c>
      <c r="F88" s="75" t="s">
        <v>140</v>
      </c>
      <c r="G88" s="130" t="s">
        <v>141</v>
      </c>
      <c r="H88" s="130" t="s">
        <v>142</v>
      </c>
      <c r="I88" s="116"/>
    </row>
    <row r="89" spans="2:9" x14ac:dyDescent="0.25">
      <c r="B89" s="50" t="s">
        <v>92</v>
      </c>
      <c r="C89" s="55" t="s">
        <v>93</v>
      </c>
      <c r="D89" s="125">
        <f>TARGETS!O22</f>
        <v>0</v>
      </c>
      <c r="E89" s="122">
        <f>IFERROR(C32,0)</f>
        <v>0</v>
      </c>
      <c r="F89" s="61">
        <f t="shared" ref="F89:F94" si="7">IFERROR(E89/D89,0)</f>
        <v>0</v>
      </c>
      <c r="G89" s="125">
        <f>D89-E89</f>
        <v>0</v>
      </c>
      <c r="H89" s="125">
        <f ca="1">IFERROR(G89/C3,0)</f>
        <v>0</v>
      </c>
      <c r="I89" s="116"/>
    </row>
    <row r="90" spans="2:9" x14ac:dyDescent="0.25">
      <c r="B90" s="53" t="s">
        <v>94</v>
      </c>
      <c r="C90" s="56" t="s">
        <v>95</v>
      </c>
      <c r="D90" s="126">
        <f>TARGETS!O23</f>
        <v>0</v>
      </c>
      <c r="E90" s="122">
        <f>IFERROR(C33,0)</f>
        <v>0</v>
      </c>
      <c r="F90" s="61">
        <f t="shared" si="7"/>
        <v>0</v>
      </c>
      <c r="G90" s="126">
        <f>D90-E90</f>
        <v>0</v>
      </c>
      <c r="H90" s="126">
        <f ca="1">IFERROR(G90/C3,0)</f>
        <v>0</v>
      </c>
      <c r="I90" s="116"/>
    </row>
    <row r="91" spans="2:9" x14ac:dyDescent="0.25">
      <c r="B91" s="50" t="s">
        <v>96</v>
      </c>
      <c r="C91" s="55" t="s">
        <v>97</v>
      </c>
      <c r="D91" s="125">
        <f>TARGETS!O24</f>
        <v>0</v>
      </c>
      <c r="E91" s="122">
        <f>M21+M7</f>
        <v>0</v>
      </c>
      <c r="F91" s="61">
        <f t="shared" si="7"/>
        <v>0</v>
      </c>
      <c r="G91" s="125">
        <f>D91-E91</f>
        <v>0</v>
      </c>
      <c r="H91" s="125">
        <f ca="1">IFERROR(G91/C3,0)</f>
        <v>0</v>
      </c>
      <c r="I91" s="116"/>
    </row>
    <row r="92" spans="2:9" x14ac:dyDescent="0.25">
      <c r="B92" s="53" t="s">
        <v>98</v>
      </c>
      <c r="C92" s="56" t="s">
        <v>99</v>
      </c>
      <c r="D92" s="126">
        <f>TARGETS!O25</f>
        <v>0</v>
      </c>
      <c r="E92" s="122">
        <f>0</f>
        <v>0</v>
      </c>
      <c r="F92" s="61">
        <f t="shared" si="7"/>
        <v>0</v>
      </c>
      <c r="G92" s="126">
        <f>D92-E92</f>
        <v>0</v>
      </c>
      <c r="H92" s="126">
        <f ca="1">IFERROR(G92/C3,0)</f>
        <v>0</v>
      </c>
      <c r="I92" s="116"/>
    </row>
    <row r="93" spans="2:9" x14ac:dyDescent="0.25">
      <c r="B93" s="50" t="s">
        <v>100</v>
      </c>
      <c r="C93" s="113" t="s">
        <v>101</v>
      </c>
      <c r="D93" s="125">
        <f>TARGETS!O26</f>
        <v>0</v>
      </c>
      <c r="E93" s="122">
        <f>0</f>
        <v>0</v>
      </c>
      <c r="F93" s="61">
        <f t="shared" si="7"/>
        <v>0</v>
      </c>
      <c r="G93" s="125">
        <f>D93-E93</f>
        <v>0</v>
      </c>
      <c r="H93" s="125">
        <f ca="1">IFERROR(G93/C3,0)</f>
        <v>0</v>
      </c>
      <c r="I93" s="116"/>
    </row>
    <row r="94" spans="2:9" x14ac:dyDescent="0.25">
      <c r="B94" s="57" t="s">
        <v>152</v>
      </c>
      <c r="C94" s="58"/>
      <c r="D94" s="123">
        <f>SUM(D89:D93)</f>
        <v>0</v>
      </c>
      <c r="E94" s="123">
        <f>SUM(E89:E93)</f>
        <v>0</v>
      </c>
      <c r="F94" s="43">
        <f t="shared" si="7"/>
        <v>0</v>
      </c>
      <c r="G94" s="119">
        <f>SUM(G89:G93)</f>
        <v>0</v>
      </c>
      <c r="H94" s="119">
        <f ca="1">IFERROR(G94/C3,0)</f>
        <v>0</v>
      </c>
      <c r="I94" s="116"/>
    </row>
  </sheetData>
  <mergeCells count="12">
    <mergeCell ref="B41:D41"/>
    <mergeCell ref="B48:J48"/>
    <mergeCell ref="B46:C46"/>
    <mergeCell ref="B49:B50"/>
    <mergeCell ref="C49:C50"/>
    <mergeCell ref="B68:B69"/>
    <mergeCell ref="C68:C69"/>
    <mergeCell ref="B87:F87"/>
    <mergeCell ref="K48:N48"/>
    <mergeCell ref="D49:F49"/>
    <mergeCell ref="J49:J50"/>
    <mergeCell ref="N49:N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dcterms:created xsi:type="dcterms:W3CDTF">2026-03-24T08:59:20Z</dcterms:created>
  <dcterms:modified xsi:type="dcterms:W3CDTF">2026-05-29T00:49:58Z</dcterms:modified>
  <dc:language>en-US</dc:language>
</cp:coreProperties>
</file>