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<sst xmlns="http://schemas.openxmlformats.org/spreadsheetml/2006/main" count="2122" uniqueCount="228">
  <si>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</si>
  <si>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</si>
  <si>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</si>
  <si>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</si>
  <si>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</si>
  <si>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</si>
  <si>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</si>
  <si>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</si>
  <si>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</si>
  <si>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</si>
  <si>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</si>
  <si>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</si>
  <si>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</si>
  <si>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</si>
  <si>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</si>
  <si>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</si>
  <si>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</si>
  <si>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</si>
  <si>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</si>
  <si>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</si>
  <si>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</si>
  <si>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</si>
  <si>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</si>
  <si>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</si>
  <si>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</si>
  <si>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</si>
  <si>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</si>
  <si>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</si>
  <si>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</si>
  <si>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</si>
  <si>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</si>
  <si>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</si>
  <si>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</si>
  <si>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</si>
  <si>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</si>
  <si>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</si>
  <si>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</si>
  <si>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</si>
  <si>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</si>
  <si>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</si>
  <si>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</si>
  <si>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</si>
  <si>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</si>
  <si>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</si>
  <si>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</si>
  <si>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</si>
  <si>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</si>
  <si>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</si>
  <si>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</si>
  <si>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</si>
  <si>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</si>
  <si>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</si>
  <si>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</si>
  <si>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</si>
  <si>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</si>
  <si>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</si>
  <si>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</si>
  <si>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</si>
  <si>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</si>
  <si>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</si>
  <si>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</si>
  <si>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</si>
  <si>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</si>
  <si>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</si>
  <si>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</si>
  <si>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</si>
  <si>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</si>
  <si>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</si>
  <si>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</si>
  <si>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</si>
  <si>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</si>
  <si>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</si>
  <si>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</si>
  <si>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</si>
  <si>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</si>
  <si>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</si>
  <si>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</si>
  <si>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</si>
  <si>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</si>
  <si>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</si>
  <si>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</si>
  <si>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</si>
  <si>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</si>
  <si>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</si>
  <si>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</si>
  <si>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</si>
  <si>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</si>
  <si>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</si>
  <si>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</si>
  <si>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</si>
  <si>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</si>
  <si>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</si>
  <si>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</si>
  <si>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</si>
  <si>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</si>
  <si>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</si>
  <si>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</si>
  <si>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</si>
  <si>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</si>
  <si>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</si>
  <si>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</si>
  <si>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</si>
  <si>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</si>
  <si>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</si>
  <si>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</si>
  <si>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</si>
  <si>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</si>
  <si>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</si>
  <si>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</si>
  <si>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</si>
  <si>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</si>
  <si>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</si>
  <si>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</si>
  <si>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</si>
  <si>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</si>
  <si>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</si>
  <si>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</si>
  <si>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</si>
  <si>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</si>
  <si>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</si>
  <si>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</si>
  <si>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</si>
  <si>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</si>
  <si>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</si>
  <si>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</si>
  <si>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</si>
  <si>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</si>
  <si>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</si>
  <si>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</si>
  <si>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</si>
  <si>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</si>
  <si>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</si>
  <si>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</si>
  <si>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</si>
  <si>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</si>
  <si>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</si>
  <si>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</si>
  <si>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</si>
  <si>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</si>
  <si>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</si>
  <si>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</si>
  <si>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</si>
  <si>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</si>
  <si>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</si>
  <si>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</si>
  <si>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</si>
  <si>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</si>
  <si>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</si>
  <si>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</si>
  <si>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</si>
  <si>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</si>
  <si>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</si>
  <si>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</si>
  <si>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</si>
  <si>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</si>
  <si>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</si>
  <si>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</si>
  <si>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</si>
  <si>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</si>
  <si>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</si>
  <si>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</si>
  <si>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</si>
  <si>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</si>
  <si>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</si>
  <si>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</si>
  <si>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</si>
  <si>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</si>
  <si>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</si>
  <si>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</si>
  <si>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</si>
  <si>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</si>
  <si>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</si>
  <si>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</si>
  <si>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</si>
  <si>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</si>
  <si>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</si>
  <si>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</si>
  <si>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</si>
  <si>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</si>
  <si>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</si>
  <si>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</si>
  <si>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</si>
  <si>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</si>
  <si>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</si>
  <si>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</si>
  <si>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</si>
  <si>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</si>
  <si>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</si>
  <si>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</si>
  <si>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</si>
  <si>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</si>
  <si>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</si>
  <si>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</si>
  <si>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</si>
  <si>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</si>
  <si>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</si>
  <si>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</si>
  <si>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</si>
  <si>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</si>
  <si>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</si>
  <si>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</si>
  <si>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</si>
  <si>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</si>
  <si>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</si>
  <si>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</si>
  <si>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</si>
  <si>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</si>
  <si>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</si>
  <si>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</si>
  <si>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</si>
  <si>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</si>
  <si>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</si>
  <si>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</si>
  <si>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</si>
  <si>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</si>
  <si>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</si>
  <si>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</si>
  <si>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</si>
  <si>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</si>
  <si>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</si>
  <si>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</si>
  <si>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</si>
  <si>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</si>
  <si>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</si>
  <si>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</si>
  <si>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</si>
  <si>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</si>
  <si>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6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</si>
</sst>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7" t="s">
        <v>0</v>
      </c>
      <c r="C1" s="237"/>
    </row>
    <row r="3" spans="2:3" x14ac:dyDescent="0.25">
      <c r="B3" s="238" t="s">
        <v>1</v>
      </c>
      <c r="C3" s="23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9" t="s">
        <v>14</v>
      </c>
      <c r="C11" s="23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8" t="s">
        <v>28</v>
      </c>
      <c r="C3" s="238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0" t="s">
        <v>102</v>
      </c>
      <c r="C29" s="240"/>
      <c r="D29" s="240"/>
      <c r="E29" s="240"/>
      <c r="F29" s="240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8" t="s">
        <v>145</v>
      </c>
      <c r="C44" s="25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0" t="s">
        <v>41</v>
      </c>
      <c r="C47" s="260" t="s">
        <v>42</v>
      </c>
      <c r="D47" s="255" t="s">
        <v>137</v>
      </c>
      <c r="E47" s="256"/>
      <c r="F47" s="257"/>
      <c r="G47" s="69" t="s">
        <v>138</v>
      </c>
      <c r="H47" s="69"/>
      <c r="I47" s="69"/>
      <c r="J47" s="260" t="s">
        <v>139</v>
      </c>
      <c r="K47" s="35" t="s">
        <v>147</v>
      </c>
      <c r="L47" s="35"/>
      <c r="M47" s="35"/>
      <c r="N47" s="254" t="s">
        <v>148</v>
      </c>
    </row>
    <row r="48" spans="2:17" ht="15.75" x14ac:dyDescent="0.25">
      <c r="B48" s="260"/>
      <c r="C48" s="26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0"/>
      <c r="K48" s="34" t="s">
        <v>142</v>
      </c>
      <c r="L48" s="34" t="s">
        <v>110</v>
      </c>
      <c r="M48" s="34" t="s">
        <v>145</v>
      </c>
      <c r="N48" s="254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1" t="s">
        <v>144</v>
      </c>
      <c r="C63" s="252"/>
      <c r="D63" s="252"/>
      <c r="E63" s="252"/>
      <c r="F63" s="252"/>
      <c r="G63" s="252"/>
      <c r="H63" s="253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1" t="s">
        <v>177</v>
      </c>
      <c r="C41" s="272"/>
      <c r="D41" s="273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8" t="s">
        <v>145</v>
      </c>
      <c r="C46" s="259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  <c r="Q48"/>
      <c r="R48"/>
    </row>
    <row r="49" spans="2:18" s="139" customFormat="1" ht="33.950000000000003" customHeight="1" x14ac:dyDescent="0.25">
      <c r="B49" s="279" t="s">
        <v>41</v>
      </c>
      <c r="C49" s="279" t="s">
        <v>42</v>
      </c>
      <c r="D49" s="276" t="s">
        <v>137</v>
      </c>
      <c r="E49" s="277"/>
      <c r="F49" s="278"/>
      <c r="G49" s="140" t="s">
        <v>138</v>
      </c>
      <c r="H49" s="140"/>
      <c r="I49" s="140"/>
      <c r="J49" s="276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9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9"/>
      <c r="C50" s="279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6"/>
      <c r="K50" s="266"/>
      <c r="L50" s="266"/>
      <c r="M50" s="268"/>
      <c r="N50" s="188"/>
      <c r="O50" s="183"/>
      <c r="P50" s="270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1" t="s">
        <v>170</v>
      </c>
      <c r="C77" s="252"/>
      <c r="D77" s="253"/>
      <c r="G77"/>
      <c r="H77"/>
      <c r="I77"/>
    </row>
    <row r="78" spans="1:19" ht="20.100000000000001" customHeight="1" x14ac:dyDescent="0.25">
      <c r="B78" s="261" t="s">
        <v>41</v>
      </c>
      <c r="C78" s="261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0"/>
      <c r="C79" s="260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0" t="s">
        <v>178</v>
      </c>
      <c r="C41" s="281"/>
      <c r="D41" s="282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69" t="str">
        <f>"SELISIH"&amp;CHAR(10)&amp;TEXT($L$41,"0%")</f>
        <v>SELISIH
100%</v>
      </c>
      <c r="P49" s="269" t="str">
        <f>"PER HARI"&amp;CHAR(10)&amp;TEXT($L$41,"0%")</f>
        <v>PER HARI
100%</v>
      </c>
    </row>
    <row r="50" spans="2:16" ht="22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70"/>
      <c r="P50" s="270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8.75" customHeight="1" x14ac:dyDescent="0.25">
      <c r="B78" s="261" t="s">
        <v>41</v>
      </c>
      <c r="C78" s="261" t="s">
        <v>42</v>
      </c>
      <c r="D78" s="231" t="s">
        <v>138</v>
      </c>
    </row>
    <row r="79" spans="2:16" ht="18" customHeight="1" x14ac:dyDescent="0.25">
      <c r="B79" s="260"/>
      <c r="C79" s="260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1" t="s">
        <v>179</v>
      </c>
      <c r="C41" s="272"/>
      <c r="D41" s="273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69" t="str">
        <f>"SELISIH"&amp;CHAR(10)&amp;TEXT($L$41,"0%")</f>
        <v>SELISIH
100%</v>
      </c>
      <c r="P49" s="269" t="str">
        <f>"PER HARI"&amp;CHAR(10)&amp;TEXT($L$41,"0%")</f>
        <v>PER HARI
100%</v>
      </c>
    </row>
    <row r="50" spans="2:16" ht="19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70"/>
      <c r="P50" s="270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61" t="s">
        <v>41</v>
      </c>
      <c r="C78" s="261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1" t="s">
        <v>188</v>
      </c>
      <c r="C41" s="272"/>
      <c r="D41" s="273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8" t="s">
        <v>145</v>
      </c>
      <c r="C46" s="259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15.75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84"/>
      <c r="P50" s="284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61" t="s">
        <v>41</v>
      </c>
      <c r="C78" s="261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1" t="s">
        <v>218</v>
      </c>
      <c r="C40" s="272"/>
      <c r="D40" s="273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8" t="s">
        <v>145</v>
      </c>
      <c r="C46" s="259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4" t="s">
        <v>212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5.75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4"/>
      <c r="G67" s="262" t="s">
        <v>185</v>
      </c>
      <c r="H67" s="263"/>
      <c r="I67" s="263"/>
      <c r="J67" s="263"/>
      <c r="K67" s="263"/>
      <c r="L67" s="264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1" t="s">
        <v>170</v>
      </c>
      <c r="C77" s="252"/>
      <c r="D77" s="253"/>
    </row>
    <row r="78" spans="2:21" ht="15.75" x14ac:dyDescent="0.25">
      <c r="B78" s="261" t="s">
        <v>41</v>
      </c>
      <c r="C78" s="261" t="s">
        <v>42</v>
      </c>
      <c r="D78" s="231" t="s">
        <v>138</v>
      </c>
    </row>
    <row r="79" spans="2:21" ht="15.75" x14ac:dyDescent="0.25">
      <c r="B79" s="260"/>
      <c r="C79" s="260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226</v>
      </c>
      <c r="C40" s="272"/>
      <c r="D40" s="273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212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95%</v>
      </c>
      <c r="N49" s="265" t="str">
        <f>"PER HARI"&amp;CHAR(10)&amp;TEXT($H$40,"0%")</f>
        <v>PER HARI
95%</v>
      </c>
      <c r="O49" s="267" t="str">
        <f>"SELISIH"&amp;CHAR(10)&amp;TEXT($J$40,"0%")</f>
        <v>SELISIH
100%</v>
      </c>
      <c r="P49" s="267" t="str">
        <f>"PER HARI"&amp;CHAR(10)&amp;TEXT($J$40,"0%")</f>
        <v>PER HARI
100%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37" zoomScale="73" zoomScaleNormal="73" workbookViewId="0">
      <selection activeCell="E58" sqref="E5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23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44783481.593373999</v>
      </c>
      <c r="D10" s="235">
        <v>19149599.840500001</v>
      </c>
      <c r="E10" s="235">
        <v>34553366.266097002</v>
      </c>
      <c r="F10" s="235">
        <v>35777928.419979997</v>
      </c>
      <c r="G10" s="235">
        <v>134264376.11995101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846846.83999600005</v>
      </c>
      <c r="D11" s="235">
        <v>4489392</v>
      </c>
      <c r="E11" s="235">
        <v>47959459.840000004</v>
      </c>
      <c r="F11" s="235" t="s">
        <v>164</v>
      </c>
      <c r="G11" s="235">
        <v>53295698.679995999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29784540.374699999</v>
      </c>
      <c r="D12" s="235">
        <v>17248085.477451999</v>
      </c>
      <c r="E12" s="235">
        <v>32254640.799846001</v>
      </c>
      <c r="F12" s="235">
        <v>37806058.060000002</v>
      </c>
      <c r="G12" s="235">
        <v>117093324.711998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6023036.0599720003</v>
      </c>
      <c r="D13" s="235">
        <v>6953346.9499880001</v>
      </c>
      <c r="E13" s="235">
        <v>53735000.699845001</v>
      </c>
      <c r="F13" s="235">
        <v>17459459.989999998</v>
      </c>
      <c r="G13" s="235">
        <v>84170843.699805006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92321377.434957996</v>
      </c>
      <c r="D14" s="235">
        <v>3542040.5939989998</v>
      </c>
      <c r="E14" s="235">
        <v>36287896.619984999</v>
      </c>
      <c r="F14" s="235">
        <v>70177839.149955004</v>
      </c>
      <c r="G14" s="235">
        <v>202329153.798897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37806413.366959997</v>
      </c>
      <c r="D15" s="235">
        <v>1733315.3199990001</v>
      </c>
      <c r="E15" s="235">
        <v>81081.06</v>
      </c>
      <c r="F15" s="235">
        <v>4010810.89</v>
      </c>
      <c r="G15" s="235">
        <v>43631620.636959001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133317622.559893</v>
      </c>
      <c r="D16" s="235">
        <v>20749659.379799001</v>
      </c>
      <c r="E16" s="235">
        <v>78534775.359839007</v>
      </c>
      <c r="F16" s="235">
        <v>357636756.96995997</v>
      </c>
      <c r="G16" s="235">
        <v>590238814.26949096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29848973.208404001</v>
      </c>
      <c r="D17" s="235">
        <v>2929729.6799599999</v>
      </c>
      <c r="E17" s="235">
        <v>9172523.3495000005</v>
      </c>
      <c r="F17" s="235">
        <v>1189189.2</v>
      </c>
      <c r="G17" s="235">
        <v>43140415.437863998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3001250</v>
      </c>
      <c r="D18" s="235">
        <v>18742978.368190002</v>
      </c>
      <c r="E18" s="235">
        <v>8334460.5</v>
      </c>
      <c r="F18" s="235">
        <v>24972973.48</v>
      </c>
      <c r="G18" s="235">
        <v>55051662.348190002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8088444.4800000004</v>
      </c>
      <c r="D19" s="235" t="s">
        <v>164</v>
      </c>
      <c r="E19" s="235" t="s">
        <v>164</v>
      </c>
      <c r="F19" s="235">
        <v>1765765.72</v>
      </c>
      <c r="G19" s="235">
        <v>9854210.1999999993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45735555.600000001</v>
      </c>
      <c r="D20" s="235" t="s">
        <v>164</v>
      </c>
      <c r="E20" s="235" t="s">
        <v>164</v>
      </c>
      <c r="F20" s="235">
        <v>2486486.42</v>
      </c>
      <c r="G20" s="235">
        <v>48222042.020000003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68682874.379847005</v>
      </c>
      <c r="D21" s="235">
        <v>10964909.969977999</v>
      </c>
      <c r="E21" s="235">
        <v>28629955.069960002</v>
      </c>
      <c r="F21" s="235">
        <v>116180722.17995</v>
      </c>
      <c r="G21" s="235">
        <v>224458461.59973499</v>
      </c>
      <c r="H21" s="111"/>
      <c r="I21" s="111"/>
      <c r="J21" s="111"/>
      <c r="M21" s="14">
        <f>SUM(C33,C34)+M20</f>
        <v>204737668.221071</v>
      </c>
      <c r="N21" s="10" t="s">
        <v>223</v>
      </c>
    </row>
    <row r="22" spans="2:15" ht="15" customHeight="1" x14ac:dyDescent="0.25">
      <c r="B22" s="72" t="s">
        <v>224</v>
      </c>
      <c r="C22" s="235">
        <v>50266150.330866002</v>
      </c>
      <c r="D22" s="235">
        <v>8534119.2341939993</v>
      </c>
      <c r="E22" s="235">
        <v>30224162.359990999</v>
      </c>
      <c r="F22" s="235">
        <v>44359549.749987997</v>
      </c>
      <c r="G22" s="235">
        <v>133383981.67503899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54061215.877558999</v>
      </c>
      <c r="D23" s="235">
        <v>12945224.419977</v>
      </c>
      <c r="E23" s="235">
        <v>44989686.155538</v>
      </c>
      <c r="F23" s="235">
        <v>79165358.229819998</v>
      </c>
      <c r="G23" s="235">
        <v>191161484.68289399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108263250.506127</v>
      </c>
      <c r="D24" s="235">
        <v>15910851.349989001</v>
      </c>
      <c r="E24" s="235">
        <v>42138964.419991001</v>
      </c>
      <c r="F24" s="235">
        <v>140910272.65982699</v>
      </c>
      <c r="G24" s="235">
        <v>307223338.93593401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45015966.692437001</v>
      </c>
      <c r="D25" s="235">
        <v>30203324.655244</v>
      </c>
      <c r="E25" s="235">
        <v>25298666.735941</v>
      </c>
      <c r="F25" s="235">
        <v>3364864.93</v>
      </c>
      <c r="G25" s="235">
        <v>103882823.013622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107914329.323835</v>
      </c>
      <c r="D26" s="235">
        <v>29445524.129677001</v>
      </c>
      <c r="E26" s="235">
        <v>60577879.589063004</v>
      </c>
      <c r="F26" s="235">
        <v>5467567.7022000002</v>
      </c>
      <c r="G26" s="235">
        <v>203405300.744775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39546285.879841998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33071093.207664002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50362492.003645003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154375176.217426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227</v>
      </c>
      <c r="C40" s="272"/>
      <c r="D40" s="273"/>
      <c r="E40" s="66" t="s">
        <v>137</v>
      </c>
      <c r="F40" s="174">
        <f ca="1">IF(MONTH(TODAY())=10,DAY(TODAY())/DAY(EOMONTH(TODAY(),0)),IF(MONTH(TODAY())&gt;10,1,0))</f>
        <v>0.19354838709677419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827954915.26196802</v>
      </c>
      <c r="F42" s="176">
        <f>IFERROR(E42/D42,0)</f>
        <v>0.18544939834297575</v>
      </c>
      <c r="G42" s="184">
        <f>D42*$H$40-E42</f>
        <v>3636631773.3975606</v>
      </c>
      <c r="H42" s="184">
        <f ca="1">IFERROR(G42/$C$3,0)</f>
        <v>158114424.93032873</v>
      </c>
      <c r="I42" s="204">
        <f>D42*$J$40-E42</f>
        <v>3636631773.3975606</v>
      </c>
      <c r="J42" s="204">
        <f ca="1">IFERROR(I42/$C$3,0)</f>
        <v>158114424.93032873</v>
      </c>
      <c r="K42" s="185">
        <f>D42*$L$40-E42</f>
        <v>3636631773.3975606</v>
      </c>
      <c r="L42" s="185">
        <f ca="1">IFERROR(K42/$C$3,0)</f>
        <v>158114424.93032873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201808786.04894701</v>
      </c>
      <c r="F43" s="176">
        <f>IFERROR(E43/D43,0)</f>
        <v>0.15767443917706156</v>
      </c>
      <c r="G43" s="184">
        <f>D43*$H$40-E43</f>
        <v>1078099277.0602832</v>
      </c>
      <c r="H43" s="184">
        <f ca="1">IFERROR(G43/$C$3,0)</f>
        <v>46873881.611316659</v>
      </c>
      <c r="I43" s="204">
        <f>D43*$J$40-E43</f>
        <v>1078099277.0602832</v>
      </c>
      <c r="J43" s="204">
        <f ca="1">IFERROR(I43/$C$3,0)</f>
        <v>46873881.611316659</v>
      </c>
      <c r="K43" s="185">
        <f>D43*$L$40-E43</f>
        <v>1078099277.0602832</v>
      </c>
      <c r="L43" s="185">
        <f ca="1">IFERROR(K43/$C$3,0)</f>
        <v>46873881.611316659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532691437.76559603</v>
      </c>
      <c r="F44" s="176">
        <f>IFERROR(E44/D44,0)</f>
        <v>0.18280373024781374</v>
      </c>
      <c r="G44" s="184">
        <f>IF(D44=0,0,D44*$H$40-E44)</f>
        <v>2381316044.7046194</v>
      </c>
      <c r="H44" s="184">
        <f ca="1">IFERROR(G44/$C$3,0)</f>
        <v>103535480.20454867</v>
      </c>
      <c r="I44" s="204">
        <f>IF(D44=0,0,D44*$J$40-E44)</f>
        <v>2381316044.7046194</v>
      </c>
      <c r="J44" s="204">
        <f ca="1">IFERROR(I44/$C$3,0)</f>
        <v>103535480.20454867</v>
      </c>
      <c r="K44" s="185">
        <f>IF(D44=0,0,D44*$L$40-E44)</f>
        <v>2381316044.7046194</v>
      </c>
      <c r="L44" s="185">
        <f ca="1">IFERROR(K44/$C$3,0)</f>
        <v>103535480.20454867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277355047.308577</v>
      </c>
      <c r="F45" s="176">
        <f>IFERROR(E45/D45,0)</f>
        <v>0.15583606961749097</v>
      </c>
      <c r="G45" s="184">
        <f>D45*$H$40-E45</f>
        <v>1502432186.7339761</v>
      </c>
      <c r="H45" s="184">
        <f ca="1">IFERROR(G45/$C$3,0)</f>
        <v>65323138.553651139</v>
      </c>
      <c r="I45" s="204">
        <f>D45*$J$40-E45</f>
        <v>1502432186.7339761</v>
      </c>
      <c r="J45" s="204">
        <f ca="1">IFERROR(I45/$C$3,0)</f>
        <v>65323138.553651139</v>
      </c>
      <c r="K45" s="185">
        <f>D45*$L$40-E45</f>
        <v>1502432186.7339761</v>
      </c>
      <c r="L45" s="185">
        <f ca="1">IFERROR(K45/$C$3,0)</f>
        <v>65323138.553651139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10438289468.281527</v>
      </c>
      <c r="E46" s="47">
        <f>SUM(E42:E45)</f>
        <v>1839810186.385088</v>
      </c>
      <c r="F46" s="177">
        <f>IFERROR(E46/D46,0)</f>
        <v>0.17625590782624456</v>
      </c>
      <c r="G46" s="181">
        <f>SUM(G42:G45)</f>
        <v>8598479281.8964386</v>
      </c>
      <c r="H46" s="181">
        <f ca="1">IFERROR(G46/$C$3,0)</f>
        <v>373846925.29984516</v>
      </c>
      <c r="I46" s="186">
        <f>SUM(I42:I45)</f>
        <v>8598479281.8964386</v>
      </c>
      <c r="J46" s="186">
        <f ca="1">IFERROR(I46/$C$3,0)</f>
        <v>373846925.29984516</v>
      </c>
      <c r="K46" s="186">
        <f>SUM(K42:K45)</f>
        <v>8598479281.8964386</v>
      </c>
      <c r="L46" s="186">
        <f ca="1">IFERROR(K46/$C$3,0)</f>
        <v>373846925.29984516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212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100%</v>
      </c>
      <c r="N49" s="265" t="str">
        <f>"PER HARI"&amp;CHAR(10)&amp;TEXT($H$40,"0%")</f>
        <v>PER HARI
100%</v>
      </c>
      <c r="O49" s="267" t="str">
        <f>"SELISIH"&amp;CHAR(10)&amp;TEXT($J$40,"0%")</f>
        <v>SELISIH
100%</v>
      </c>
      <c r="P49" s="267" t="str">
        <f>"PER HARI"&amp;CHAR(10)&amp;TEXT($J$40,"0%")</f>
        <v>PER HARI
100%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68682874.379847005</v>
      </c>
      <c r="I51" s="114">
        <f t="shared" ref="I51:I64" si="1">SUMIF($B$10:$B$26,$T51,D$10:D$26)+SUMIF($B$10:$B$26,$U51,D$10:D$26)</f>
        <v>10964909.969977999</v>
      </c>
      <c r="J51" s="114">
        <f t="shared" ref="J51:J64" si="2">SUMIF($B$10:$B$26,$T51,E$10:E$26)+SUMIF($B$10:$B$26,$U51,E$10:E$26)</f>
        <v>28629955.069960002</v>
      </c>
      <c r="K51" s="114">
        <f t="shared" ref="K51:K64" si="3">SUM(H51:J51)</f>
        <v>108277739.41978501</v>
      </c>
      <c r="L51" s="187">
        <f t="shared" ref="L51:L65" si="4">IFERROR(K51/G51,0)</f>
        <v>0.21819873700123613</v>
      </c>
      <c r="M51" s="184">
        <f t="shared" ref="M51:M64" si="5">G51*$H$40-K51</f>
        <v>387956752.62116385</v>
      </c>
      <c r="N51" s="184">
        <f t="shared" ref="N51:N65" ca="1" si="6">IFERROR(M51/$C$3,0)</f>
        <v>16867684.89657234</v>
      </c>
      <c r="O51" s="180">
        <f t="shared" ref="O51:O64" si="7">G51*$J$40-K51</f>
        <v>387956752.62116385</v>
      </c>
      <c r="P51" s="180">
        <f t="shared" ref="P51:P65" ca="1" si="8">IFERROR(O51/$C$3,0)</f>
        <v>16867684.89657234</v>
      </c>
      <c r="Q51" s="185">
        <f t="shared" ref="Q51:Q64" si="9">G51*$L$40-K51</f>
        <v>387956752.62116385</v>
      </c>
      <c r="R51" s="185">
        <f t="shared" ref="R51:R65" ca="1" si="10">IFERROR(Q51/$C$3,0)</f>
        <v>16867684.89657234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35807576.434671998</v>
      </c>
      <c r="I52" s="114">
        <f t="shared" si="1"/>
        <v>24201432.427439999</v>
      </c>
      <c r="J52" s="114">
        <f t="shared" si="2"/>
        <v>85989641.49969101</v>
      </c>
      <c r="K52" s="114">
        <f t="shared" si="3"/>
        <v>145998650.361803</v>
      </c>
      <c r="L52" s="187">
        <f t="shared" si="4"/>
        <v>0.1902533105285073</v>
      </c>
      <c r="M52" s="184">
        <f t="shared" si="5"/>
        <v>621392203.21247292</v>
      </c>
      <c r="N52" s="184">
        <f t="shared" ca="1" si="6"/>
        <v>27017052.313585781</v>
      </c>
      <c r="O52" s="180">
        <f t="shared" si="7"/>
        <v>621392203.21247292</v>
      </c>
      <c r="P52" s="180">
        <f t="shared" ca="1" si="8"/>
        <v>27017052.313585781</v>
      </c>
      <c r="Q52" s="185">
        <f t="shared" si="9"/>
        <v>621392203.21247292</v>
      </c>
      <c r="R52" s="185">
        <f t="shared" ca="1" si="10"/>
        <v>27017052.313585781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8088444.4800000004</v>
      </c>
      <c r="I53" s="114">
        <f t="shared" si="1"/>
        <v>0</v>
      </c>
      <c r="J53" s="114">
        <f t="shared" si="2"/>
        <v>0</v>
      </c>
      <c r="K53" s="114">
        <f t="shared" si="3"/>
        <v>8088444.4800000004</v>
      </c>
      <c r="L53" s="187">
        <f t="shared" si="4"/>
        <v>3.0760026500017135E-2</v>
      </c>
      <c r="M53" s="184">
        <f t="shared" si="5"/>
        <v>254864660.58301076</v>
      </c>
      <c r="N53" s="184">
        <f t="shared" ca="1" si="6"/>
        <v>11081072.199261338</v>
      </c>
      <c r="O53" s="180">
        <f t="shared" si="7"/>
        <v>254864660.58301076</v>
      </c>
      <c r="P53" s="180">
        <f t="shared" ca="1" si="8"/>
        <v>11081072.199261338</v>
      </c>
      <c r="Q53" s="185">
        <f t="shared" si="9"/>
        <v>254864660.58301076</v>
      </c>
      <c r="R53" s="185">
        <f t="shared" ca="1" si="10"/>
        <v>11081072.199261338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92321377.434957996</v>
      </c>
      <c r="I54" s="114">
        <f t="shared" si="1"/>
        <v>3542040.5939989998</v>
      </c>
      <c r="J54" s="114">
        <f t="shared" si="2"/>
        <v>36287896.619984999</v>
      </c>
      <c r="K54" s="114">
        <f t="shared" si="3"/>
        <v>132151314.64894199</v>
      </c>
      <c r="L54" s="187">
        <f t="shared" si="4"/>
        <v>0.18651246509558769</v>
      </c>
      <c r="M54" s="184">
        <f t="shared" si="5"/>
        <v>576387466.29105794</v>
      </c>
      <c r="N54" s="184">
        <f t="shared" ca="1" si="6"/>
        <v>25060324.621350344</v>
      </c>
      <c r="O54" s="180">
        <f t="shared" si="7"/>
        <v>576387466.29105794</v>
      </c>
      <c r="P54" s="180">
        <f t="shared" ca="1" si="8"/>
        <v>25060324.621350344</v>
      </c>
      <c r="Q54" s="185">
        <f t="shared" si="9"/>
        <v>576387466.29105794</v>
      </c>
      <c r="R54" s="185">
        <f t="shared" ca="1" si="10"/>
        <v>25060324.621350344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846846.83999600005</v>
      </c>
      <c r="I55" s="114">
        <f t="shared" si="1"/>
        <v>4489392</v>
      </c>
      <c r="J55" s="114">
        <f t="shared" si="2"/>
        <v>47959459.840000004</v>
      </c>
      <c r="K55" s="114">
        <f t="shared" si="3"/>
        <v>53295698.679996006</v>
      </c>
      <c r="L55" s="187">
        <f t="shared" si="4"/>
        <v>9.9209976754675203E-2</v>
      </c>
      <c r="M55" s="184">
        <f t="shared" si="5"/>
        <v>483905300.89068961</v>
      </c>
      <c r="N55" s="184">
        <f t="shared" ca="1" si="6"/>
        <v>21039360.908290852</v>
      </c>
      <c r="O55" s="180">
        <f t="shared" si="7"/>
        <v>483905300.89068961</v>
      </c>
      <c r="P55" s="180">
        <f t="shared" ca="1" si="8"/>
        <v>21039360.908290852</v>
      </c>
      <c r="Q55" s="185">
        <f t="shared" si="9"/>
        <v>483905300.89068961</v>
      </c>
      <c r="R55" s="185">
        <f t="shared" ca="1" si="10"/>
        <v>21039360.908290852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50266150.330866002</v>
      </c>
      <c r="I56" s="114">
        <f t="shared" si="1"/>
        <v>8534119.2341939993</v>
      </c>
      <c r="J56" s="114">
        <f t="shared" si="2"/>
        <v>30224162.359990999</v>
      </c>
      <c r="K56" s="114">
        <f t="shared" si="3"/>
        <v>89024431.925051004</v>
      </c>
      <c r="L56" s="187">
        <f t="shared" si="4"/>
        <v>0.15988211161685553</v>
      </c>
      <c r="M56" s="184">
        <f t="shared" si="5"/>
        <v>467788528.72930169</v>
      </c>
      <c r="N56" s="184">
        <f t="shared" ca="1" si="6"/>
        <v>20338631.683882684</v>
      </c>
      <c r="O56" s="180">
        <f t="shared" si="7"/>
        <v>467788528.72930169</v>
      </c>
      <c r="P56" s="180">
        <f t="shared" ca="1" si="8"/>
        <v>20338631.683882684</v>
      </c>
      <c r="Q56" s="185">
        <f t="shared" si="9"/>
        <v>467788528.72930169</v>
      </c>
      <c r="R56" s="185">
        <f t="shared" ca="1" si="10"/>
        <v>20338631.683882684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133317622.559893</v>
      </c>
      <c r="I57" s="114">
        <f t="shared" si="1"/>
        <v>20749659.379799001</v>
      </c>
      <c r="J57" s="114">
        <f t="shared" si="2"/>
        <v>78534775.359839007</v>
      </c>
      <c r="K57" s="114">
        <f t="shared" si="3"/>
        <v>232602057.29953098</v>
      </c>
      <c r="L57" s="187">
        <f t="shared" si="4"/>
        <v>0.2131908125896404</v>
      </c>
      <c r="M57" s="184">
        <f t="shared" si="5"/>
        <v>858448980.37934995</v>
      </c>
      <c r="N57" s="184">
        <f t="shared" ca="1" si="6"/>
        <v>37323868.712145649</v>
      </c>
      <c r="O57" s="180">
        <f t="shared" si="7"/>
        <v>858448980.37934995</v>
      </c>
      <c r="P57" s="180">
        <f t="shared" ca="1" si="8"/>
        <v>37323868.712145649</v>
      </c>
      <c r="Q57" s="185">
        <f t="shared" si="9"/>
        <v>858448980.37934995</v>
      </c>
      <c r="R57" s="185">
        <f t="shared" ca="1" si="10"/>
        <v>37323868.712145649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54061215.877558999</v>
      </c>
      <c r="I58" s="114">
        <f t="shared" si="1"/>
        <v>12945224.419977</v>
      </c>
      <c r="J58" s="114">
        <f t="shared" si="2"/>
        <v>44989686.155538</v>
      </c>
      <c r="K58" s="114">
        <f t="shared" si="3"/>
        <v>111996126.45307401</v>
      </c>
      <c r="L58" s="187">
        <f t="shared" si="4"/>
        <v>0.18777186956590725</v>
      </c>
      <c r="M58" s="184">
        <f t="shared" si="5"/>
        <v>484451715.87808931</v>
      </c>
      <c r="N58" s="184">
        <f t="shared" ca="1" si="6"/>
        <v>21063118.081656057</v>
      </c>
      <c r="O58" s="180">
        <f t="shared" si="7"/>
        <v>484451715.87808931</v>
      </c>
      <c r="P58" s="180">
        <f t="shared" ca="1" si="8"/>
        <v>21063118.081656057</v>
      </c>
      <c r="Q58" s="185">
        <f t="shared" si="9"/>
        <v>484451715.87808931</v>
      </c>
      <c r="R58" s="185">
        <f t="shared" ca="1" si="10"/>
        <v>21063118.081656057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45735555.600000001</v>
      </c>
      <c r="I59" s="114">
        <f t="shared" si="1"/>
        <v>0</v>
      </c>
      <c r="J59" s="114">
        <f t="shared" si="2"/>
        <v>0</v>
      </c>
      <c r="K59" s="114">
        <f t="shared" si="3"/>
        <v>45735555.600000001</v>
      </c>
      <c r="L59" s="187">
        <f t="shared" si="4"/>
        <v>0.10304358237866787</v>
      </c>
      <c r="M59" s="184">
        <f t="shared" si="5"/>
        <v>398111159.97641999</v>
      </c>
      <c r="N59" s="184">
        <f t="shared" ca="1" si="6"/>
        <v>17309180.86854</v>
      </c>
      <c r="O59" s="180">
        <f t="shared" si="7"/>
        <v>398111159.97641999</v>
      </c>
      <c r="P59" s="180">
        <f t="shared" ca="1" si="8"/>
        <v>17309180.86854</v>
      </c>
      <c r="Q59" s="185">
        <f t="shared" si="9"/>
        <v>398111159.97641999</v>
      </c>
      <c r="R59" s="185">
        <f t="shared" ca="1" si="10"/>
        <v>17309180.86854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45015966.692437001</v>
      </c>
      <c r="I60" s="114">
        <f t="shared" si="1"/>
        <v>30203324.655244</v>
      </c>
      <c r="J60" s="114">
        <f t="shared" si="2"/>
        <v>25298666.735941</v>
      </c>
      <c r="K60" s="114">
        <f t="shared" si="3"/>
        <v>100517958.08362201</v>
      </c>
      <c r="L60" s="187">
        <f t="shared" si="4"/>
        <v>0.17915941234095387</v>
      </c>
      <c r="M60" s="184">
        <f t="shared" si="5"/>
        <v>460535222.26689601</v>
      </c>
      <c r="N60" s="184">
        <f t="shared" ca="1" si="6"/>
        <v>20023270.533343304</v>
      </c>
      <c r="O60" s="180">
        <f t="shared" si="7"/>
        <v>460535222.26689601</v>
      </c>
      <c r="P60" s="180">
        <f t="shared" ca="1" si="8"/>
        <v>20023270.533343304</v>
      </c>
      <c r="Q60" s="185">
        <f t="shared" si="9"/>
        <v>460535222.26689601</v>
      </c>
      <c r="R60" s="185">
        <f t="shared" ca="1" si="10"/>
        <v>20023270.533343304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108263250.506127</v>
      </c>
      <c r="I61" s="114">
        <f t="shared" si="1"/>
        <v>15910851.349989001</v>
      </c>
      <c r="J61" s="114">
        <f t="shared" si="2"/>
        <v>42138964.419991001</v>
      </c>
      <c r="K61" s="114">
        <f t="shared" si="3"/>
        <v>166313066.27610701</v>
      </c>
      <c r="L61" s="187">
        <f t="shared" si="4"/>
        <v>0.23811402250603944</v>
      </c>
      <c r="M61" s="184">
        <f t="shared" si="5"/>
        <v>532146707.43120879</v>
      </c>
      <c r="N61" s="184">
        <f t="shared" ca="1" si="6"/>
        <v>23136813.366574295</v>
      </c>
      <c r="O61" s="180">
        <f t="shared" si="7"/>
        <v>532146707.43120879</v>
      </c>
      <c r="P61" s="180">
        <f t="shared" ca="1" si="8"/>
        <v>23136813.366574295</v>
      </c>
      <c r="Q61" s="185">
        <f t="shared" si="9"/>
        <v>532146707.43120879</v>
      </c>
      <c r="R61" s="185">
        <f t="shared" ca="1" si="10"/>
        <v>23136813.366574295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44783481.593373999</v>
      </c>
      <c r="I62" s="114">
        <f t="shared" si="1"/>
        <v>19149599.840500001</v>
      </c>
      <c r="J62" s="114">
        <f t="shared" si="2"/>
        <v>34553366.266097002</v>
      </c>
      <c r="K62" s="114">
        <f t="shared" si="3"/>
        <v>98486447.69997099</v>
      </c>
      <c r="L62" s="187">
        <f t="shared" si="4"/>
        <v>0.2146187504605428</v>
      </c>
      <c r="M62" s="184">
        <f t="shared" si="5"/>
        <v>360403782.01496494</v>
      </c>
      <c r="N62" s="184">
        <f t="shared" ca="1" si="6"/>
        <v>15669729.652824562</v>
      </c>
      <c r="O62" s="180">
        <f t="shared" si="7"/>
        <v>360403782.01496494</v>
      </c>
      <c r="P62" s="180">
        <f t="shared" ca="1" si="8"/>
        <v>15669729.652824562</v>
      </c>
      <c r="Q62" s="185">
        <f t="shared" si="9"/>
        <v>360403782.01496494</v>
      </c>
      <c r="R62" s="185">
        <f t="shared" ca="1" si="10"/>
        <v>15669729.652824562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107914329.323835</v>
      </c>
      <c r="I63" s="114">
        <f t="shared" si="1"/>
        <v>29445524.129677001</v>
      </c>
      <c r="J63" s="114">
        <f t="shared" si="2"/>
        <v>60577879.589063004</v>
      </c>
      <c r="K63" s="114">
        <f t="shared" si="3"/>
        <v>197937733.042575</v>
      </c>
      <c r="L63" s="187">
        <f t="shared" si="4"/>
        <v>0.20600467646201823</v>
      </c>
      <c r="M63" s="184">
        <f t="shared" si="5"/>
        <v>762903236.40536582</v>
      </c>
      <c r="N63" s="184">
        <f t="shared" ca="1" si="6"/>
        <v>33169705.930668078</v>
      </c>
      <c r="O63" s="180">
        <f t="shared" si="7"/>
        <v>762903236.40536582</v>
      </c>
      <c r="P63" s="180">
        <f t="shared" ca="1" si="8"/>
        <v>33169705.930668078</v>
      </c>
      <c r="Q63" s="185">
        <f t="shared" si="9"/>
        <v>762903236.40536582</v>
      </c>
      <c r="R63" s="185">
        <f t="shared" ca="1" si="10"/>
        <v>33169705.930668078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32850223.208404001</v>
      </c>
      <c r="I64" s="114">
        <f t="shared" si="1"/>
        <v>21672708.048150003</v>
      </c>
      <c r="J64" s="114">
        <f t="shared" si="2"/>
        <v>17506983.8495</v>
      </c>
      <c r="K64" s="114">
        <f t="shared" si="3"/>
        <v>72029915.106054008</v>
      </c>
      <c r="L64" s="187">
        <f t="shared" si="4"/>
        <v>0.13884447260580104</v>
      </c>
      <c r="M64" s="184">
        <f t="shared" si="5"/>
        <v>446751378.48247117</v>
      </c>
      <c r="N64" s="184">
        <f t="shared" ca="1" si="6"/>
        <v>19423972.977498747</v>
      </c>
      <c r="O64" s="180">
        <f t="shared" si="7"/>
        <v>446751378.48247117</v>
      </c>
      <c r="P64" s="180">
        <f t="shared" ca="1" si="8"/>
        <v>19423972.977498747</v>
      </c>
      <c r="Q64" s="185">
        <f t="shared" si="9"/>
        <v>446751378.48247117</v>
      </c>
      <c r="R64" s="185">
        <f t="shared" ca="1" si="10"/>
        <v>19423972.977498747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827954915.26196802</v>
      </c>
      <c r="I65" s="135">
        <f t="shared" si="12"/>
        <v>201808786.04894701</v>
      </c>
      <c r="J65" s="135">
        <f t="shared" si="12"/>
        <v>532691437.76559603</v>
      </c>
      <c r="K65" s="135">
        <f t="shared" si="12"/>
        <v>1562455139.0765111</v>
      </c>
      <c r="L65" s="189">
        <f t="shared" si="4"/>
        <v>0.18045328127282523</v>
      </c>
      <c r="M65" s="181">
        <f>SUM(M51:M64)</f>
        <v>7096047095.1624632</v>
      </c>
      <c r="N65" s="181">
        <f t="shared" ca="1" si="6"/>
        <v>308523786.74619406</v>
      </c>
      <c r="O65" s="181">
        <f>SUM(O51:O64)</f>
        <v>7096047095.1624632</v>
      </c>
      <c r="P65" s="181">
        <f t="shared" ca="1" si="8"/>
        <v>308523786.74619406</v>
      </c>
      <c r="Q65" s="186">
        <f>SUM(Q51:Q64)</f>
        <v>7096047095.1624632</v>
      </c>
      <c r="R65" s="186">
        <f t="shared" ca="1" si="10"/>
        <v>308523786.74619406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39546285.879841998</v>
      </c>
      <c r="F69" s="187">
        <f t="shared" ref="F69:F74" si="13">IFERROR(E69/D69,0)</f>
        <v>0.14680588430932423</v>
      </c>
      <c r="G69" s="184">
        <f>D69*$H$40-E69</f>
        <v>229831784.80100918</v>
      </c>
      <c r="H69" s="184">
        <f t="shared" ref="H69:H74" ca="1" si="14">IFERROR(G69/$C$3,0)</f>
        <v>9992686.2956960518</v>
      </c>
      <c r="I69" s="204">
        <f>D69*$J$40-E69</f>
        <v>229831784.80100918</v>
      </c>
      <c r="J69" s="204">
        <f t="shared" ref="J69:J74" ca="1" si="15">IFERROR(I69/$C$3,0)</f>
        <v>9992686.2956960518</v>
      </c>
      <c r="K69" s="185">
        <f>D69*$L$40-E69</f>
        <v>229831784.80100918</v>
      </c>
      <c r="L69" s="185">
        <f t="shared" ref="L69:L74" ca="1" si="16">IFERROR(K69/$C$3,0)</f>
        <v>9992686.2956960518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33071093.207664002</v>
      </c>
      <c r="F70" s="187">
        <f t="shared" si="13"/>
        <v>8.0137576266278016E-2</v>
      </c>
      <c r="G70" s="184">
        <f>D70*$H$40-E70</f>
        <v>379607886.47318709</v>
      </c>
      <c r="H70" s="184">
        <f t="shared" ca="1" si="14"/>
        <v>16504690.716225525</v>
      </c>
      <c r="I70" s="204">
        <f>D70*$J$40-E70</f>
        <v>379607886.47318709</v>
      </c>
      <c r="J70" s="204">
        <f t="shared" ca="1" si="15"/>
        <v>16504690.716225525</v>
      </c>
      <c r="K70" s="185">
        <f>D70*$L$40-E70</f>
        <v>379607886.47318709</v>
      </c>
      <c r="L70" s="185">
        <f t="shared" ca="1" si="16"/>
        <v>16504690.716225525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204737668.221071</v>
      </c>
      <c r="F71" s="187">
        <f t="shared" si="13"/>
        <v>0.18651001062442818</v>
      </c>
      <c r="G71" s="184">
        <f>D71*$H$40-E71</f>
        <v>892992515.45977998</v>
      </c>
      <c r="H71" s="184">
        <f t="shared" ca="1" si="14"/>
        <v>38825761.541729562</v>
      </c>
      <c r="I71" s="204">
        <f>D71*$J$40-E71</f>
        <v>892992515.45977998</v>
      </c>
      <c r="J71" s="204">
        <f t="shared" ca="1" si="15"/>
        <v>38825761.541729562</v>
      </c>
      <c r="K71" s="185">
        <f>D71*$L$40-E71</f>
        <v>892992515.45977998</v>
      </c>
      <c r="L71" s="185">
        <f t="shared" ca="1" si="16"/>
        <v>38825761.541729562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277355047.308577</v>
      </c>
      <c r="F74" s="177">
        <f t="shared" si="13"/>
        <v>0.15583606961749097</v>
      </c>
      <c r="G74" s="181">
        <f>SUM(G69:G73)</f>
        <v>1502432186.7339764</v>
      </c>
      <c r="H74" s="181">
        <f t="shared" ca="1" si="14"/>
        <v>65323138.553651147</v>
      </c>
      <c r="I74" s="186">
        <f>SUM(I69:I73)</f>
        <v>1502432186.7339764</v>
      </c>
      <c r="J74" s="186">
        <f t="shared" ca="1" si="15"/>
        <v>65323138.553651147</v>
      </c>
      <c r="K74" s="186">
        <f>SUM(K69:K73)</f>
        <v>1502432186.7339764</v>
      </c>
      <c r="L74" s="186">
        <f t="shared" ca="1" si="16"/>
        <v>65323138.553651147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116180722.17995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55265518.049999997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1765765.72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70177839.149955004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44359549.749987997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357636756.96995997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79165358.229819998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2486486.42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3364864.93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140910272.65982699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35777928.419979997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5467567.7022000002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26162162.68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938720792.86168003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174</v>
      </c>
      <c r="C40" s="272"/>
      <c r="D40" s="273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176</v>
      </c>
      <c r="C40" s="272"/>
      <c r="D40" s="273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2026-10-06T00:48:23Z</dcterms:modified>
  <dc:language>en-US</dc:language>
</cp:coreProperties>
</file>