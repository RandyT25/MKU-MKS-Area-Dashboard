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65" i="10"/>
  <c r="K51" i="10"/>
  <c r="M51" i="10"/>
  <c r="M65" i="10" s="1"/>
  <c r="O51" i="10"/>
  <c r="K52" i="10"/>
  <c r="M52" i="10"/>
  <c r="O52" i="10"/>
  <c r="K53" i="10"/>
  <c r="M53" i="10"/>
  <c r="O53" i="10"/>
  <c r="K54" i="10"/>
  <c r="M54" i="10"/>
  <c r="O54" i="10"/>
  <c r="K55" i="10"/>
  <c r="M55" i="10"/>
  <c r="O55" i="10"/>
  <c r="K56" i="10"/>
  <c r="M56" i="10"/>
  <c r="O56" i="10"/>
  <c r="K57" i="10"/>
  <c r="M57" i="10"/>
  <c r="O57" i="10"/>
  <c r="K58" i="10"/>
  <c r="M58" i="10"/>
  <c r="O58" i="10"/>
  <c r="K59" i="10"/>
  <c r="M59" i="10"/>
  <c r="O59" i="10"/>
  <c r="K60" i="10"/>
  <c r="M60" i="10"/>
  <c r="O60" i="10"/>
  <c r="K61" i="10"/>
  <c r="M61" i="10"/>
  <c r="O61" i="10"/>
  <c r="K62" i="10"/>
  <c r="M62" i="10"/>
  <c r="O62" i="10"/>
  <c r="K63" i="10"/>
  <c r="M63" i="10"/>
  <c r="O63" i="10"/>
  <c r="K64" i="10"/>
  <c r="M64" i="10"/>
  <c r="O64" i="10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69" i="10"/>
  <c r="I69" i="10"/>
  <c r="K69" i="10"/>
  <c r="G70" i="10"/>
  <c r="G74" i="10" s="1"/>
  <c r="I70" i="10"/>
  <c r="K70" i="10"/>
  <c r="G71" i="10"/>
  <c r="I71" i="10"/>
  <c r="K71" i="10"/>
  <c r="G72" i="10"/>
  <c r="I72" i="10"/>
  <c r="K72" i="10"/>
  <c r="K74" i="10" s="1"/>
  <c r="G73" i="10"/>
  <c r="I73" i="10"/>
  <c r="K73" i="10"/>
  <c r="G68" i="10"/>
  <c r="H68" i="10"/>
  <c r="I68" i="10"/>
  <c r="J68" i="10"/>
  <c r="K68" i="10"/>
  <c r="L68" i="10"/>
  <c r="I46" i="10"/>
  <c r="G43" i="10"/>
  <c r="I43" i="10"/>
  <c r="K43" i="10"/>
  <c r="G44" i="10"/>
  <c r="I44" i="10"/>
  <c r="K44" i="10"/>
  <c r="G45" i="10"/>
  <c r="I45" i="10"/>
  <c r="K45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M17" i="10"/>
  <c r="G62" i="10" s="1"/>
  <c r="I62" i="10" s="1"/>
  <c r="N16" i="10"/>
  <c r="M16" i="10"/>
  <c r="G61" i="10" s="1"/>
  <c r="N15" i="10"/>
  <c r="H60" i="10" s="1"/>
  <c r="M15" i="10"/>
  <c r="G60" i="10" s="1"/>
  <c r="I60" i="10" s="1"/>
  <c r="N14" i="10"/>
  <c r="H58" i="10" s="1"/>
  <c r="M14" i="10"/>
  <c r="N13" i="10"/>
  <c r="M13" i="10"/>
  <c r="G57" i="10" s="1"/>
  <c r="I57" i="10" s="1"/>
  <c r="N12" i="10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I52" i="10" s="1"/>
  <c r="N8" i="10"/>
  <c r="M8" i="10"/>
  <c r="G51" i="10" s="1"/>
  <c r="N7" i="10"/>
  <c r="M7" i="10"/>
  <c r="H63" i="10"/>
  <c r="H62" i="10"/>
  <c r="H61" i="10"/>
  <c r="H59" i="10"/>
  <c r="G59" i="10"/>
  <c r="G58" i="10"/>
  <c r="I58" i="10" s="1"/>
  <c r="H57" i="10"/>
  <c r="H56" i="10"/>
  <c r="H53" i="10"/>
  <c r="G53" i="10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G74" i="6" l="1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0"/>
  <c r="O65" i="11"/>
  <c r="K46" i="10"/>
  <c r="K46" i="11"/>
  <c r="K74" i="11"/>
  <c r="G46" i="10"/>
  <c r="I74" i="10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L52" i="10"/>
  <c r="N53" i="10"/>
  <c r="L56" i="10"/>
  <c r="P58" i="10"/>
  <c r="L60" i="10"/>
  <c r="P62" i="10"/>
  <c r="N55" i="10"/>
  <c r="L62" i="10"/>
  <c r="P54" i="10"/>
  <c r="N57" i="10"/>
  <c r="N61" i="10"/>
  <c r="L64" i="10"/>
  <c r="L54" i="10"/>
  <c r="P64" i="10"/>
  <c r="L51" i="10"/>
  <c r="N52" i="10"/>
  <c r="P53" i="10"/>
  <c r="L55" i="10"/>
  <c r="N56" i="10"/>
  <c r="P57" i="10"/>
  <c r="L59" i="10"/>
  <c r="N60" i="10"/>
  <c r="P61" i="10"/>
  <c r="L63" i="10"/>
  <c r="N64" i="10"/>
  <c r="P52" i="10"/>
  <c r="P56" i="10"/>
  <c r="L58" i="10"/>
  <c r="N59" i="10"/>
  <c r="P60" i="10"/>
  <c r="N63" i="10"/>
  <c r="N51" i="10"/>
  <c r="N62" i="10"/>
  <c r="P59" i="10"/>
  <c r="L65" i="10"/>
  <c r="N54" i="10"/>
  <c r="N65" i="10"/>
  <c r="P63" i="10"/>
  <c r="P51" i="10"/>
  <c r="L61" i="10"/>
  <c r="N58" i="10"/>
  <c r="L57" i="10"/>
  <c r="P55" i="10"/>
  <c r="L53" i="10"/>
  <c r="P65" i="10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L44" i="10"/>
  <c r="J72" i="10"/>
  <c r="H71" i="10"/>
  <c r="H69" i="10"/>
  <c r="J70" i="10"/>
  <c r="L71" i="10"/>
  <c r="H73" i="10"/>
  <c r="H44" i="10"/>
  <c r="J45" i="10"/>
  <c r="L69" i="10"/>
  <c r="J43" i="10"/>
  <c r="J44" i="10"/>
  <c r="L70" i="10"/>
  <c r="H74" i="10"/>
  <c r="J46" i="10"/>
  <c r="L43" i="10"/>
  <c r="L74" i="10"/>
  <c r="J71" i="10"/>
  <c r="J69" i="10"/>
  <c r="J73" i="10"/>
  <c r="H45" i="10"/>
  <c r="H43" i="10"/>
  <c r="L45" i="10"/>
  <c r="H72" i="10"/>
  <c r="L72" i="10"/>
  <c r="H70" i="10"/>
  <c r="L46" i="10"/>
  <c r="H46" i="10"/>
  <c r="J74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D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F51" i="10" s="1"/>
  <c r="J51" i="10" s="1"/>
  <c r="D64" i="10"/>
  <c r="D63" i="10"/>
  <c r="F63" i="10" s="1"/>
  <c r="J63" i="10" s="1"/>
  <c r="D62" i="10"/>
  <c r="D61" i="10"/>
  <c r="D60" i="10"/>
  <c r="D59" i="10"/>
  <c r="D58" i="10"/>
  <c r="D57" i="10"/>
  <c r="D56" i="10"/>
  <c r="D55" i="10"/>
  <c r="F55" i="10" s="1"/>
  <c r="J55" i="10" s="1"/>
  <c r="D54" i="10"/>
  <c r="D53" i="10"/>
  <c r="F53" i="10" s="1"/>
  <c r="J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J61" i="10" s="1"/>
  <c r="F59" i="10"/>
  <c r="J59" i="10" s="1"/>
  <c r="F58" i="10"/>
  <c r="J58" i="10" s="1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J53" i="12" l="1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J60" i="10" s="1"/>
  <c r="F45" i="10"/>
  <c r="F53" i="11"/>
  <c r="J53" i="11" s="1"/>
  <c r="F70" i="11"/>
  <c r="F58" i="11"/>
  <c r="J58" i="11" s="1"/>
  <c r="F56" i="10"/>
  <c r="J56" i="10" s="1"/>
  <c r="F64" i="10"/>
  <c r="J64" i="10" s="1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J54" i="10" s="1"/>
  <c r="L51" i="3"/>
  <c r="L59" i="3"/>
  <c r="D65" i="11"/>
  <c r="D65" i="13"/>
  <c r="F60" i="8"/>
  <c r="D74" i="9"/>
  <c r="F70" i="7"/>
  <c r="E65" i="11"/>
  <c r="D65" i="14"/>
  <c r="F61" i="7"/>
  <c r="F51" i="9"/>
  <c r="F62" i="10"/>
  <c r="J62" i="10" s="1"/>
  <c r="F70" i="14"/>
  <c r="F57" i="10"/>
  <c r="J57" i="10" s="1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H43" i="13" l="1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46" i="9" l="1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<sst xmlns="http://schemas.openxmlformats.org/spreadsheetml/2006/main" count="1843" uniqueCount="193">
  <si>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</si>
  <si>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</si>
  <si>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</si>
  <si>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</si>
  <si>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</si>
  <si>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</si>
  <si>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</si>
  <si>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</si>
  <si>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</si>
  <si>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</si>
  <si>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</si>
  <si>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</si>
  <si>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</si>
  <si>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</si>
  <si>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</si>
  <si>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</si>
  <si>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</si>
  <si>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</si>
  <si>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</si>
  <si>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</si>
  <si>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</si>
  <si>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</si>
  <si>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</si>
  <si>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</si>
  <si>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</si>
  <si>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</si>
  <si>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</si>
  <si>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</si>
  <si>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</si>
  <si>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</si>
  <si>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</si>
  <si>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</si>
  <si>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</si>
  <si>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</si>
  <si>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</si>
  <si>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</si>
  <si>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</si>
  <si>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</si>
  <si>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</si>
  <si>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</si>
  <si>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</si>
  <si>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</si>
  <si>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</si>
  <si>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</si>
  <si>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</si>
  <si>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</si>
  <si>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</si>
  <si>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</si>
  <si>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</si>
  <si>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</si>
  <si>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</si>
  <si>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</si>
  <si>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</si>
  <si>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</si>
  <si>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</si>
  <si>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</si>
  <si>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</si>
  <si>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</si>
  <si>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</si>
  <si>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</si>
  <si>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</si>
  <si>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</si>
  <si>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</si>
  <si>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</si>
  <si>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</si>
  <si>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</si>
  <si>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</si>
  <si>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</si>
  <si>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</si>
  <si>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</si>
  <si>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</si>
  <si>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</si>
  <si>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</si>
  <si>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</si>
  <si>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</si>
  <si>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</si>
  <si>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</si>
  <si>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</si>
  <si>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</si>
  <si>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</si>
  <si>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</si>
  <si>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</si>
  <si>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</si>
  <si>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</si>
  <si>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</si>
  <si>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</si>
  <si>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</si>
  <si>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</si>
  <si>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</si>
  <si>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</si>
  <si>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</si>
  <si>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</si>
  <si>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</si>
  <si>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</si>
  <si>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</si>
  <si>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</si>
  <si>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</si>
  <si>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</si>
  <si>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</si>
  <si>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</si>
  <si>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</si>
  <si>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</si>
  <si>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</si>
  <si>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</si>
  <si>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</si>
  <si>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</si>
  <si>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</si>
  <si>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</si>
  <si>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</si>
  <si>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</si>
  <si>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</si>
  <si>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</si>
  <si>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</si>
  <si>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</si>
  <si>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</si>
  <si>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</si>
  <si>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</si>
  <si>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</si>
  <si>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</si>
  <si>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</si>
  <si>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</si>
  <si>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</si>
  <si>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</si>
  <si>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</si>
  <si>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</si>
  <si>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</si>
  <si>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</si>
  <si>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</si>
  <si>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</si>
  <si>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</si>
  <si>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</si>
  <si>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</si>
  <si>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</si>
  <si>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</si>
  <si>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</si>
  <si>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</si>
  <si>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</si>
  <si>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</si>
  <si>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</si>
  <si>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</si>
  <si>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</si>
  <si>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</si>
  <si>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</si>
  <si>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</si>
  <si>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</si>
  <si>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</si>
  <si>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</si>
  <si>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</si>
  <si>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</si>
  <si>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</si>
  <si>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</si>
  <si>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</si>
  <si>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</si>
  <si>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</si>
  <si>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</si>
  <si>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</si>
  <si>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</si>
  <si>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</si>
  <si>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</si>
  <si>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</si>
  <si>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</si>
  <si>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</si>
  <si>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</si>
  <si>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</si>
  <si>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</si>
  <si>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</si>
  <si>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</si>
  <si>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</si>
  <si>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</si>
  <si>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</si>
  <si>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</si>
  <si>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</si>
  <si>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</si>
  <si>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</si>
  <si>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</si>
  <si>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</si>
  <si>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</si>
  <si>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</si>
  <si>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</si>
  <si>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</si>
  <si>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</si>
  <si>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</si>
  <si>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</si>
  <si>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</si>
  <si>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</si>
  <si>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</si>
  <si>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</si>
  <si>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</si>
  <si>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</si>
  <si>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</si>
  <si>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</si>
  <si>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</si>
  <si>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28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</si>
</sst>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175</v>
      </c>
      <c r="C7" s="138" t="s">
        <v>176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175</v>
      </c>
      <c r="C13" s="138" t="s">
        <v>177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168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188</v>
      </c>
    </row>
    <row r="41" spans="2:19" ht="27.95" customHeight="1" x14ac:dyDescent="0.25">
      <c r="B41" s="261" t="s">
        <v>181</v>
      </c>
      <c r="C41" s="262"/>
      <c r="D41" s="263"/>
      <c r="E41" s="67" t="s">
        <v>138</v>
      </c>
      <c r="F41" s="185"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  <c r="Q48"/>
      <c r="R48"/>
    </row>
    <row r="49" spans="2:18" s="148" customFormat="1" ht="33.950000000000003" customHeight="1" x14ac:dyDescent="0.25">
      <c r="B49" s="269" t="s">
        <v>41</v>
      </c>
      <c r="C49" s="269" t="s">
        <v>42</v>
      </c>
      <c r="D49" s="266" t="s">
        <v>138</v>
      </c>
      <c r="E49" s="267"/>
      <c r="F49" s="268"/>
      <c r="G49" s="149" t="s">
        <v>139</v>
      </c>
      <c r="H49" s="149"/>
      <c r="I49" s="149"/>
      <c r="J49" s="26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9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9"/>
      <c r="C50" s="269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6"/>
      <c r="K50" s="256"/>
      <c r="L50" s="256"/>
      <c r="M50" s="258"/>
      <c r="N50" s="202"/>
      <c r="O50" s="196"/>
      <c r="P50" s="260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175</v>
      </c>
      <c r="C53" s="164" t="s">
        <v>176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175</v>
      </c>
      <c r="C59" s="164" t="s">
        <v>177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64" t="s">
        <v>145</v>
      </c>
      <c r="C67" s="265"/>
      <c r="D67" s="265"/>
      <c r="E67" s="265"/>
      <c r="F67" s="265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174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171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175</v>
      </c>
      <c r="C82" s="162" t="s">
        <v>176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175</v>
      </c>
      <c r="C88" s="162" t="s">
        <v>177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4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72" t="s">
        <v>182</v>
      </c>
      <c r="C41" s="273"/>
      <c r="D41" s="274"/>
      <c r="E41" s="67" t="s">
        <v>138</v>
      </c>
      <c r="F41" s="185">
        <v>0.97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-12783463.247098207</v>
      </c>
      <c r="I43" s="218">
        <f>D43*$J$41-E43</f>
        <v>290830113.6116066</v>
      </c>
      <c r="J43" s="218">
        <f ca="1">IFERROR(I43/$C$3,0)</f>
        <v>72707528.402901649</v>
      </c>
      <c r="K43" s="198">
        <f>D43*$L$41-E43</f>
        <v>632794080.21160698</v>
      </c>
      <c r="L43" s="198">
        <f ca="1">IFERROR(K43/$C$3,0)</f>
        <v>158198520.05290174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102015211.82366365</v>
      </c>
      <c r="I44" s="218">
        <f>D44*$J$41-E44</f>
        <v>481824088.50567269</v>
      </c>
      <c r="J44" s="218">
        <f ca="1">IFERROR(I44/$C$3,0)</f>
        <v>120456022.12641817</v>
      </c>
      <c r="K44" s="198">
        <f>D44*$L$41-E44</f>
        <v>555587329.71669078</v>
      </c>
      <c r="L44" s="198">
        <f ca="1">IFERROR(K44/$C$3,0)</f>
        <v>138896832.42917269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-17131339.400178194</v>
      </c>
      <c r="I45" s="218">
        <f>D45*$J$41-E45</f>
        <v>20623578.569499731</v>
      </c>
      <c r="J45" s="218">
        <f ca="1">IFERROR(I45/$C$3,0)</f>
        <v>5155894.6423749328</v>
      </c>
      <c r="K45" s="198">
        <f>D45*$L$41-E45</f>
        <v>109772514.73971272</v>
      </c>
      <c r="L45" s="198">
        <f ca="1">IFERROR(K45/$C$3,0)</f>
        <v>27443128.684928179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72100409.17638725</v>
      </c>
      <c r="I46" s="199">
        <f>I43+I44+I45</f>
        <v>793277780.68677902</v>
      </c>
      <c r="J46" s="199">
        <f ca="1">IFERROR(I46/$C$3,0)</f>
        <v>198319445.17169476</v>
      </c>
      <c r="K46" s="199">
        <f>K43+K44+K45</f>
        <v>1298153924.6680105</v>
      </c>
      <c r="L46" s="199">
        <f ca="1">IFERROR(K46/$C$3,0)</f>
        <v>324538481.16700262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25862183.851124465</v>
      </c>
      <c r="M51" s="193">
        <f t="shared" ref="M51:M64" si="5">F51*$J$41-I51</f>
        <v>127696429.36553055</v>
      </c>
      <c r="N51" s="193">
        <f t="shared" ref="N51:N65" ca="1" si="6">IFERROR(M51/$C$3,0)</f>
        <v>31924107.341382638</v>
      </c>
      <c r="O51" s="198">
        <f t="shared" ref="O51:O64" si="7">F51*$L$41-I51</f>
        <v>151944123.3265633</v>
      </c>
      <c r="P51" s="198">
        <f t="shared" ref="P51:P65" ca="1" si="8">IFERROR(O51/$C$3,0)</f>
        <v>37986030.831640825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15319179.871817499</v>
      </c>
      <c r="M52" s="193">
        <f t="shared" si="5"/>
        <v>98613177.237269998</v>
      </c>
      <c r="N52" s="193">
        <f t="shared" ca="1" si="6"/>
        <v>24653294.309317499</v>
      </c>
      <c r="O52" s="198">
        <f t="shared" si="7"/>
        <v>135949634.98727</v>
      </c>
      <c r="P52" s="198">
        <f t="shared" ca="1" si="8"/>
        <v>33987408.746817499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4939523.8500000015</v>
      </c>
      <c r="M53" s="193">
        <f t="shared" si="5"/>
        <v>31831758.799999982</v>
      </c>
      <c r="N53" s="193">
        <f t="shared" ca="1" si="6"/>
        <v>7957939.6999999955</v>
      </c>
      <c r="O53" s="198">
        <f t="shared" si="7"/>
        <v>43905422.199999988</v>
      </c>
      <c r="P53" s="198">
        <f t="shared" ca="1" si="8"/>
        <v>10976355.549999997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-26527034.341940135</v>
      </c>
      <c r="M54" s="193">
        <f t="shared" si="5"/>
        <v>-73228422.42689395</v>
      </c>
      <c r="N54" s="193">
        <f t="shared" ca="1" si="6"/>
        <v>-18307105.606723487</v>
      </c>
      <c r="O54" s="198">
        <f t="shared" si="7"/>
        <v>-40348707.486027122</v>
      </c>
      <c r="P54" s="198">
        <f t="shared" ca="1" si="8"/>
        <v>-10087176.87150678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20500279.423093438</v>
      </c>
      <c r="M55" s="193">
        <f t="shared" si="5"/>
        <v>106397747.65194988</v>
      </c>
      <c r="N55" s="193">
        <f t="shared" ca="1" si="6"/>
        <v>26599436.912987471</v>
      </c>
      <c r="O55" s="198">
        <f t="shared" si="7"/>
        <v>130794377.61152613</v>
      </c>
      <c r="P55" s="198">
        <f t="shared" ca="1" si="8"/>
        <v>32698594.402881533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6292920.4606695771</v>
      </c>
      <c r="M56" s="193">
        <f t="shared" si="5"/>
        <v>52929593.148810923</v>
      </c>
      <c r="N56" s="193">
        <f t="shared" ca="1" si="6"/>
        <v>13232398.287202731</v>
      </c>
      <c r="O56" s="198">
        <f t="shared" si="7"/>
        <v>80687504.454943657</v>
      </c>
      <c r="P56" s="198">
        <f t="shared" ca="1" si="8"/>
        <v>20171876.113735914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-32621456.950663805</v>
      </c>
      <c r="M57" s="193">
        <f t="shared" si="5"/>
        <v>-77801481.735697389</v>
      </c>
      <c r="N57" s="193">
        <f t="shared" ca="1" si="6"/>
        <v>-19450370.433924347</v>
      </c>
      <c r="O57" s="198">
        <f t="shared" si="7"/>
        <v>-25117135.668739557</v>
      </c>
      <c r="P57" s="198">
        <f t="shared" ca="1" si="8"/>
        <v>-6279283.9171848893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13476895.48382251</v>
      </c>
      <c r="M58" s="193">
        <f t="shared" si="5"/>
        <v>82361005.085290074</v>
      </c>
      <c r="N58" s="193">
        <f t="shared" ca="1" si="6"/>
        <v>20590251.271322519</v>
      </c>
      <c r="O58" s="198">
        <f t="shared" si="7"/>
        <v>110814428.23529005</v>
      </c>
      <c r="P58" s="198">
        <f t="shared" ca="1" si="8"/>
        <v>27703607.058822513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15799693.442506254</v>
      </c>
      <c r="M59" s="193">
        <f t="shared" si="5"/>
        <v>83405456.970024943</v>
      </c>
      <c r="N59" s="193">
        <f t="shared" ca="1" si="6"/>
        <v>20851364.242506236</v>
      </c>
      <c r="O59" s="198">
        <f t="shared" si="7"/>
        <v>103612140.17002499</v>
      </c>
      <c r="P59" s="198">
        <f t="shared" ca="1" si="8"/>
        <v>25903035.042506248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5340944.4338702112</v>
      </c>
      <c r="M60" s="193">
        <f t="shared" si="5"/>
        <v>48487862.696380615</v>
      </c>
      <c r="N60" s="193">
        <f t="shared" ca="1" si="6"/>
        <v>12121965.674095154</v>
      </c>
      <c r="O60" s="198">
        <f t="shared" si="7"/>
        <v>75611947.657280385</v>
      </c>
      <c r="P60" s="198">
        <f t="shared" ca="1" si="8"/>
        <v>18902986.914320096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27049759.436203942</v>
      </c>
      <c r="M61" s="193">
        <f t="shared" si="5"/>
        <v>142717597.57534701</v>
      </c>
      <c r="N61" s="193">
        <f t="shared" ca="1" si="6"/>
        <v>35679399.393836752</v>
      </c>
      <c r="O61" s="198">
        <f t="shared" si="7"/>
        <v>177236157.40587825</v>
      </c>
      <c r="P61" s="198">
        <f t="shared" ca="1" si="8"/>
        <v>44309039.351469561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18335902.59554787</v>
      </c>
      <c r="M62" s="193">
        <f t="shared" si="5"/>
        <v>95858969.272182167</v>
      </c>
      <c r="N62" s="193">
        <f t="shared" ca="1" si="6"/>
        <v>23964742.318045542</v>
      </c>
      <c r="O62" s="198">
        <f t="shared" si="7"/>
        <v>118374328.16217285</v>
      </c>
      <c r="P62" s="198">
        <f t="shared" ca="1" si="8"/>
        <v>29593582.040543213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-14177526.434069067</v>
      </c>
      <c r="M63" s="193">
        <f t="shared" si="5"/>
        <v>-11052211.386640549</v>
      </c>
      <c r="N63" s="193">
        <f t="shared" ca="1" si="6"/>
        <v>-2763052.8466601372</v>
      </c>
      <c r="O63" s="198">
        <f t="shared" si="7"/>
        <v>34605682.96299541</v>
      </c>
      <c r="P63" s="198">
        <f t="shared" ca="1" si="8"/>
        <v>8651420.7407488525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9640483.4545829445</v>
      </c>
      <c r="M64" s="193">
        <f t="shared" si="5"/>
        <v>64436719.86372602</v>
      </c>
      <c r="N64" s="193">
        <f t="shared" ca="1" si="6"/>
        <v>16109179.965931505</v>
      </c>
      <c r="O64" s="198">
        <f t="shared" si="7"/>
        <v>90311505.909120381</v>
      </c>
      <c r="P64" s="198">
        <f t="shared" ca="1" si="8"/>
        <v>22577876.477280095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89231748.576565713</v>
      </c>
      <c r="M65" s="194">
        <f>SUM(M51:M64)</f>
        <v>772654202.11728036</v>
      </c>
      <c r="N65" s="194">
        <f t="shared" ca="1" si="6"/>
        <v>193163550.52932009</v>
      </c>
      <c r="O65" s="199">
        <f>SUM(O51:O64)</f>
        <v>1188381409.9282987</v>
      </c>
      <c r="P65" s="199">
        <f t="shared" ca="1" si="8"/>
        <v>297095352.48207468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-10292359.926673353</v>
      </c>
      <c r="I69" s="218">
        <f>D69*$J$41-E69</f>
        <v>-27266208.811482966</v>
      </c>
      <c r="J69" s="218">
        <f t="shared" ref="J69:J74" ca="1" si="14">IFERROR(I69/$C$3,0)</f>
        <v>-6816552.2028707415</v>
      </c>
      <c r="K69" s="198">
        <f>D69*$L$41-E69</f>
        <v>-13362977.916272461</v>
      </c>
      <c r="L69" s="198">
        <f t="shared" ref="L69:L74" ca="1" si="15">IFERROR(K69/$C$3,0)</f>
        <v>-3340744.4790681154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-15072834.514133647</v>
      </c>
      <c r="I70" s="218">
        <f>D70*$J$41-E70</f>
        <v>-39410410.397208512</v>
      </c>
      <c r="J70" s="218">
        <f t="shared" ca="1" si="14"/>
        <v>-9852602.599302128</v>
      </c>
      <c r="K70" s="198">
        <f>D70*$L$41-E70</f>
        <v>-18529482.737882435</v>
      </c>
      <c r="L70" s="198">
        <f t="shared" ca="1" si="15"/>
        <v>-4632370.6844706088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8233855.0406288207</v>
      </c>
      <c r="I71" s="218">
        <f>D71*$J$41-E71</f>
        <v>87300197.778191447</v>
      </c>
      <c r="J71" s="218">
        <f t="shared" ca="1" si="14"/>
        <v>21825049.444547862</v>
      </c>
      <c r="K71" s="198">
        <f>D71*$L$41-E71</f>
        <v>141664975.39386773</v>
      </c>
      <c r="L71" s="198">
        <f t="shared" ca="1" si="15"/>
        <v>35416243.848466933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-17131339.400178179</v>
      </c>
      <c r="I74" s="199">
        <f>SUM(I69:I73)</f>
        <v>20623578.569499969</v>
      </c>
      <c r="J74" s="199">
        <f t="shared" ca="1" si="14"/>
        <v>5155894.6423749924</v>
      </c>
      <c r="K74" s="199">
        <f>SUM(K69:K73)</f>
        <v>109772514.73971283</v>
      </c>
      <c r="L74" s="199">
        <f t="shared" ca="1" si="15"/>
        <v>27443128.684928209</v>
      </c>
    </row>
    <row r="77" spans="2:16" ht="18.75" x14ac:dyDescent="0.25">
      <c r="B77" s="127" t="s">
        <v>174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171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175</v>
      </c>
      <c r="C82" s="178" t="s">
        <v>176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175</v>
      </c>
      <c r="C88" s="178" t="s">
        <v>177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B29" zoomScaleNormal="100" workbookViewId="0">
      <selection activeCell="B48" sqref="B48:J4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183</v>
      </c>
      <c r="C41" s="262"/>
      <c r="D41" s="263"/>
      <c r="E41" s="67" t="s">
        <v>138</v>
      </c>
      <c r="F41" s="185">
        <f ca="1">IF(MONTH(TODAY())=6,DAY(TODAY())/DAY(EOMONTH(TODAY(),0)),IF(MONTH(TODAY())&gt;6,1,0))</f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175</v>
      </c>
      <c r="C82" s="56" t="s">
        <v>176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175</v>
      </c>
      <c r="C88" s="56" t="s">
        <v>177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94"/>
  <sheetViews>
    <sheetView showGridLines="0" tabSelected="1" topLeftCell="A87" zoomScaleNormal="100" workbookViewId="0">
      <selection activeCell="D95" sqref="D95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4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384683233.62786102</v>
      </c>
      <c r="N8" s="11">
        <f>D22</f>
        <v>53262828.563954003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542840061.18192101</v>
      </c>
      <c r="N9" s="11">
        <f>D13+D14</f>
        <v>141204757.74133801</v>
      </c>
    </row>
    <row r="10" spans="2:14" x14ac:dyDescent="0.25">
      <c r="B10" s="74" t="s">
        <v>113</v>
      </c>
      <c r="C10" s="233">
        <v>339638381.441796</v>
      </c>
      <c r="D10" s="233">
        <v>45147385.865496002</v>
      </c>
      <c r="E10" s="233">
        <v>148111801.78999999</v>
      </c>
      <c r="F10" s="233">
        <v>532897569.09729201</v>
      </c>
      <c r="H10" s="116"/>
      <c r="I10" s="116"/>
      <c r="J10" s="116"/>
      <c r="M10" s="11">
        <f>C15</f>
        <v>896545566.48462296</v>
      </c>
      <c r="N10" s="11">
        <f>D15</f>
        <v>25048158.472293999</v>
      </c>
    </row>
    <row r="11" spans="2:14" x14ac:dyDescent="0.25">
      <c r="B11" s="74" t="s">
        <v>114</v>
      </c>
      <c r="C11" s="233">
        <v>276232012.75102699</v>
      </c>
      <c r="D11" s="233">
        <v>102693565.067957</v>
      </c>
      <c r="E11" s="233">
        <v>68988371.920000002</v>
      </c>
      <c r="F11" s="233">
        <v>447913949.73898399</v>
      </c>
      <c r="H11" s="116"/>
      <c r="I11" s="116"/>
      <c r="J11" s="116"/>
      <c r="M11" s="11">
        <f>C12</f>
        <v>312427929.47873902</v>
      </c>
      <c r="N11" s="11">
        <f>D12</f>
        <v>40196320.100000001</v>
      </c>
    </row>
    <row r="12" spans="2:14" x14ac:dyDescent="0.25">
      <c r="B12" s="74" t="s">
        <v>185</v>
      </c>
      <c r="C12" s="233">
        <v>312427929.47873902</v>
      </c>
      <c r="D12" s="233">
        <v>40196320.100000001</v>
      </c>
      <c r="E12" s="233" t="s">
        <v>168</v>
      </c>
      <c r="F12" s="233">
        <v>352624249.57873899</v>
      </c>
      <c r="H12" s="116"/>
      <c r="I12" s="116"/>
      <c r="J12" s="116"/>
      <c r="M12" s="11">
        <f>C25+C26</f>
        <v>364427409.69519198</v>
      </c>
      <c r="N12" s="11">
        <f>D25+D26</f>
        <v>102160965.67337799</v>
      </c>
    </row>
    <row r="13" spans="2:14" x14ac:dyDescent="0.25">
      <c r="B13" s="74" t="s">
        <v>70</v>
      </c>
      <c r="C13" s="233">
        <v>287645098.365098</v>
      </c>
      <c r="D13" s="233">
        <v>105255294.071472</v>
      </c>
      <c r="E13" s="233">
        <v>53903503.439999998</v>
      </c>
      <c r="F13" s="233">
        <v>446803895.87656999</v>
      </c>
      <c r="H13" s="116"/>
      <c r="I13" s="116"/>
      <c r="J13" s="116"/>
      <c r="M13" s="11">
        <f>C17</f>
        <v>1267605434.039753</v>
      </c>
      <c r="N13" s="11">
        <f>D17</f>
        <v>80669059.129618004</v>
      </c>
    </row>
    <row r="14" spans="2:14" x14ac:dyDescent="0.25">
      <c r="B14" s="74" t="s">
        <v>115</v>
      </c>
      <c r="C14" s="233">
        <v>255194962.81682301</v>
      </c>
      <c r="D14" s="233">
        <v>35949463.669866003</v>
      </c>
      <c r="E14" s="233">
        <v>54645909.299999997</v>
      </c>
      <c r="F14" s="233">
        <v>345790335.78668898</v>
      </c>
      <c r="H14" s="116"/>
      <c r="I14" s="116"/>
      <c r="J14" s="116"/>
      <c r="M14" s="11">
        <f>C23</f>
        <v>433369679.56712502</v>
      </c>
      <c r="N14" s="11">
        <f>D23</f>
        <v>57876264.189944997</v>
      </c>
    </row>
    <row r="15" spans="2:14" x14ac:dyDescent="0.25">
      <c r="B15" s="84" t="s">
        <v>116</v>
      </c>
      <c r="C15" s="233">
        <v>896545566.48462296</v>
      </c>
      <c r="D15" s="233">
        <v>25048158.472293999</v>
      </c>
      <c r="E15" s="233">
        <v>350517359.62994999</v>
      </c>
      <c r="F15" s="233">
        <v>1272111084.5868671</v>
      </c>
      <c r="H15" s="116"/>
      <c r="I15" s="116"/>
      <c r="J15" s="116"/>
      <c r="M15" s="11">
        <f>C11</f>
        <v>276232012.75102699</v>
      </c>
      <c r="N15" s="11">
        <f>D11</f>
        <v>102693565.067957</v>
      </c>
    </row>
    <row r="16" spans="2:14" x14ac:dyDescent="0.25">
      <c r="B16" s="74" t="s">
        <v>119</v>
      </c>
      <c r="C16" s="233">
        <v>1060864343.862096</v>
      </c>
      <c r="D16" s="233">
        <v>5100678.8874970004</v>
      </c>
      <c r="E16" s="233">
        <v>6540540.4800000004</v>
      </c>
      <c r="F16" s="233">
        <v>1072505563.229593</v>
      </c>
      <c r="H16" s="116"/>
      <c r="I16" s="116"/>
      <c r="J16" s="116"/>
      <c r="M16" s="11">
        <f>C24</f>
        <v>581382324.14181197</v>
      </c>
      <c r="N16" s="11">
        <f>D24</f>
        <v>56391850.419914998</v>
      </c>
    </row>
    <row r="17" spans="2:14" x14ac:dyDescent="0.25">
      <c r="B17" s="74" t="s">
        <v>121</v>
      </c>
      <c r="C17" s="233">
        <v>1267605434.039753</v>
      </c>
      <c r="D17" s="233">
        <v>80669059.129618004</v>
      </c>
      <c r="E17" s="233">
        <v>1162289442.7299581</v>
      </c>
      <c r="F17" s="233">
        <v>2510563935.8993292</v>
      </c>
      <c r="H17" s="116"/>
      <c r="I17" s="116"/>
      <c r="J17" s="116"/>
      <c r="M17" s="11">
        <f>C10</f>
        <v>339638381.441796</v>
      </c>
      <c r="N17" s="11">
        <f>D10</f>
        <v>45147385.865496002</v>
      </c>
    </row>
    <row r="18" spans="2:14" x14ac:dyDescent="0.25">
      <c r="B18" s="74" t="s">
        <v>123</v>
      </c>
      <c r="C18" s="233">
        <v>214311311.13742101</v>
      </c>
      <c r="D18" s="233">
        <v>20527770.979789</v>
      </c>
      <c r="E18" s="233">
        <v>7372973.1399999997</v>
      </c>
      <c r="F18" s="233">
        <v>242212055.25720999</v>
      </c>
      <c r="H18" s="116"/>
      <c r="I18" s="116"/>
      <c r="J18" s="116"/>
      <c r="M18" s="11">
        <f>C27</f>
        <v>799551787.00156796</v>
      </c>
      <c r="N18" s="11">
        <f>D27</f>
        <v>235095859.55573201</v>
      </c>
    </row>
    <row r="19" spans="2:14" x14ac:dyDescent="0.25">
      <c r="B19" s="74" t="s">
        <v>124</v>
      </c>
      <c r="C19" s="233">
        <v>60641091.799989</v>
      </c>
      <c r="D19" s="233">
        <v>117639397.71191099</v>
      </c>
      <c r="E19" s="233">
        <v>62908109.380000003</v>
      </c>
      <c r="F19" s="233">
        <v>241188598.8919</v>
      </c>
      <c r="H19" s="116"/>
      <c r="I19" s="116"/>
      <c r="J19" s="116"/>
      <c r="M19" s="11">
        <f>C18+C19</f>
        <v>274952402.93741</v>
      </c>
      <c r="N19" s="11">
        <f>D18+D19</f>
        <v>138167168.69169998</v>
      </c>
    </row>
    <row r="20" spans="2:14" x14ac:dyDescent="0.25">
      <c r="B20" s="74" t="s">
        <v>172</v>
      </c>
      <c r="C20" s="233">
        <v>169510059.69999999</v>
      </c>
      <c r="D20" s="233" t="s">
        <v>168</v>
      </c>
      <c r="E20" s="233">
        <v>9909909.6400000006</v>
      </c>
      <c r="F20" s="233">
        <v>179419969.34</v>
      </c>
      <c r="H20" s="116"/>
      <c r="I20" s="116"/>
      <c r="J20" s="116"/>
      <c r="M20" s="14">
        <f>IFERROR(C31,0)+IFERROR(C36,0)</f>
        <v>31353000</v>
      </c>
      <c r="N20" s="10" t="s">
        <v>120</v>
      </c>
    </row>
    <row r="21" spans="2:14" x14ac:dyDescent="0.25">
      <c r="B21" s="74" t="s">
        <v>173</v>
      </c>
      <c r="C21" s="233">
        <v>277701198.30000001</v>
      </c>
      <c r="D21" s="233" t="s">
        <v>168</v>
      </c>
      <c r="E21" s="233">
        <v>15585585.16</v>
      </c>
      <c r="F21" s="233">
        <v>293286783.45999998</v>
      </c>
      <c r="H21" s="116"/>
      <c r="I21" s="116"/>
      <c r="J21" s="116"/>
      <c r="M21" s="14">
        <f>IFERROR(C34,0)+IFERROR(C35,0)+M20</f>
        <v>580258576.42087102</v>
      </c>
      <c r="N21" s="10" t="s">
        <v>122</v>
      </c>
    </row>
    <row r="22" spans="2:14" x14ac:dyDescent="0.25">
      <c r="B22" s="74" t="s">
        <v>125</v>
      </c>
      <c r="C22" s="233">
        <v>384683233.62786102</v>
      </c>
      <c r="D22" s="233">
        <v>53262828.563954003</v>
      </c>
      <c r="E22" s="233">
        <v>443760531.00986999</v>
      </c>
      <c r="F22" s="233">
        <v>881706593.20168495</v>
      </c>
      <c r="H22" s="116"/>
      <c r="I22" s="116"/>
      <c r="J22" s="116"/>
    </row>
    <row r="23" spans="2:14" x14ac:dyDescent="0.25">
      <c r="B23" s="74" t="s">
        <v>126</v>
      </c>
      <c r="C23" s="233">
        <v>433369679.56712502</v>
      </c>
      <c r="D23" s="233">
        <v>57876264.189944997</v>
      </c>
      <c r="E23" s="233">
        <v>283197656.69934201</v>
      </c>
      <c r="F23" s="233">
        <v>774443600.45641196</v>
      </c>
      <c r="H23" s="116"/>
      <c r="I23" s="116"/>
      <c r="J23" s="116"/>
    </row>
    <row r="24" spans="2:14" x14ac:dyDescent="0.25">
      <c r="B24" s="74" t="s">
        <v>127</v>
      </c>
      <c r="C24" s="233">
        <v>581382324.14181197</v>
      </c>
      <c r="D24" s="233">
        <v>56391850.419914998</v>
      </c>
      <c r="E24" s="233">
        <v>681556762.82918704</v>
      </c>
      <c r="F24" s="233">
        <v>1319330937.390914</v>
      </c>
      <c r="H24" s="116"/>
      <c r="I24" s="116"/>
      <c r="J24" s="116"/>
    </row>
    <row r="25" spans="2:14" x14ac:dyDescent="0.25">
      <c r="B25" s="74" t="s">
        <v>186</v>
      </c>
      <c r="C25" s="233">
        <v>240862078.76110801</v>
      </c>
      <c r="D25" s="233">
        <v>5716568.9099909998</v>
      </c>
      <c r="E25" s="233">
        <v>58476846.159999996</v>
      </c>
      <c r="F25" s="233">
        <v>305055493.83109897</v>
      </c>
      <c r="H25" s="116"/>
      <c r="I25" s="116"/>
      <c r="J25" s="116"/>
    </row>
    <row r="26" spans="2:14" x14ac:dyDescent="0.25">
      <c r="B26" s="74" t="s">
        <v>187</v>
      </c>
      <c r="C26" s="233">
        <v>123565330.934084</v>
      </c>
      <c r="D26" s="233">
        <v>96444396.763386995</v>
      </c>
      <c r="E26" s="233" t="s">
        <v>168</v>
      </c>
      <c r="F26" s="233">
        <v>220009727.69747099</v>
      </c>
      <c r="H26" s="116"/>
      <c r="I26" s="116"/>
      <c r="J26" s="116"/>
    </row>
    <row r="27" spans="2:14" x14ac:dyDescent="0.25">
      <c r="B27" s="74" t="s">
        <v>128</v>
      </c>
      <c r="C27" s="233">
        <v>799551787.00156796</v>
      </c>
      <c r="D27" s="233">
        <v>235095859.55573201</v>
      </c>
      <c r="E27" s="233">
        <v>17636000.377799999</v>
      </c>
      <c r="F27" s="233">
        <v>1052283646.9351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203015918.19353399</v>
      </c>
      <c r="G32" s="116"/>
      <c r="H32" s="116"/>
      <c r="I32" s="116"/>
    </row>
    <row r="33" spans="2:19" x14ac:dyDescent="0.25">
      <c r="B33" s="84" t="s">
        <v>133</v>
      </c>
      <c r="C33" s="233">
        <v>591283521.66034806</v>
      </c>
      <c r="G33" s="116"/>
      <c r="H33" s="116"/>
      <c r="I33" s="116"/>
    </row>
    <row r="34" spans="2:19" x14ac:dyDescent="0.25">
      <c r="B34" s="84" t="s">
        <v>134</v>
      </c>
      <c r="C34" s="233">
        <v>126199336.49112999</v>
      </c>
      <c r="G34" s="116"/>
      <c r="H34" s="116"/>
      <c r="I34" s="116"/>
    </row>
    <row r="35" spans="2:19" x14ac:dyDescent="0.25">
      <c r="B35" s="84" t="s">
        <v>135</v>
      </c>
      <c r="C35" s="233">
        <v>422706239.92974102</v>
      </c>
      <c r="G35" s="116"/>
      <c r="H35" s="116"/>
      <c r="I35" s="116"/>
    </row>
    <row r="36" spans="2:19" x14ac:dyDescent="0.25">
      <c r="B36" s="84" t="s">
        <v>136</v>
      </c>
      <c r="C36" s="233">
        <v>31353000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s="205" customFormat="1" ht="27.95" customHeight="1" x14ac:dyDescent="0.25">
      <c r="B41" s="261" t="s">
        <v>192</v>
      </c>
      <c r="C41" s="262"/>
      <c r="D41" s="263"/>
      <c r="E41" s="67" t="s">
        <v>138</v>
      </c>
      <c r="F41" s="185">
        <f ca="1">IF(MONTH(TODAY())=7,DAY(TODAY())/DAY(EOMONTH(TODAY(),0)),IF(MONTH(TODAY())&gt;7,1,0))</f>
        <v>0.90322580645161288</v>
      </c>
      <c r="G41" s="206" t="s">
        <v>190</v>
      </c>
      <c r="H41" s="212">
        <v>0.9</v>
      </c>
      <c r="I41" s="207" t="s">
        <v>190</v>
      </c>
      <c r="J41" s="213">
        <v>0.95</v>
      </c>
      <c r="K41" s="208" t="s">
        <v>191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6920867480.3488283</v>
      </c>
      <c r="F43" s="187">
        <f>IFERROR(E43/D43,0)</f>
        <v>0.87078554246641737</v>
      </c>
      <c r="G43" s="209">
        <f>D43*$H$41-E43</f>
        <v>232191945.36409283</v>
      </c>
      <c r="H43" s="209">
        <f ca="1">IFERROR(G43/C3,0)</f>
        <v>58047986.341023207</v>
      </c>
      <c r="I43" s="210">
        <f>D43*$J$41-E43</f>
        <v>629584135.68147659</v>
      </c>
      <c r="J43" s="210">
        <f ca="1">IFERROR(I43/$C$3,0)</f>
        <v>157396033.92036915</v>
      </c>
      <c r="K43" s="211">
        <f>D43*$L$41-E43</f>
        <v>1026976325.9988613</v>
      </c>
      <c r="L43" s="211">
        <f ca="1">IFERROR(K43/$C$3,0)</f>
        <v>256744081.49971533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1077914183.4713268</v>
      </c>
      <c r="F44" s="187">
        <f>IFERROR(E44/D44,0)</f>
        <v>0.72699135035896589</v>
      </c>
      <c r="G44" s="197">
        <f>D44*$H$41-E44</f>
        <v>256520902.51033926</v>
      </c>
      <c r="H44" s="197">
        <f ca="1">IFERROR(G44/C3,0)</f>
        <v>64130225.627584815</v>
      </c>
      <c r="I44" s="193">
        <f>D44*$J$41-E44</f>
        <v>330656185.06487608</v>
      </c>
      <c r="J44" s="193">
        <f ca="1">IFERROR(I44/$C$3,0)</f>
        <v>82664046.26621902</v>
      </c>
      <c r="K44" s="198">
        <f>D44*$L$41-E44</f>
        <v>404791467.61941314</v>
      </c>
      <c r="L44" s="198">
        <f ca="1">IFERROR(K44/$C$3,0)</f>
        <v>101197866.90485328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1374558016.2747531</v>
      </c>
      <c r="F45" s="187">
        <f>IFERROR(E45/D45,0)</f>
        <v>0.74257731913693548</v>
      </c>
      <c r="G45" s="197">
        <f>D45*$H$41-E45</f>
        <v>291399430.53375793</v>
      </c>
      <c r="H45" s="197">
        <f ca="1">IFERROR(G45/C3,0)</f>
        <v>72849857.633439481</v>
      </c>
      <c r="I45" s="193">
        <f>D45*$J$41-E45</f>
        <v>383952622.02311945</v>
      </c>
      <c r="J45" s="193">
        <f ca="1">IFERROR(I45/$C$3,0)</f>
        <v>95988155.505779862</v>
      </c>
      <c r="K45" s="198">
        <f>D45*$L$41-E45</f>
        <v>476505813.51248121</v>
      </c>
      <c r="L45" s="198">
        <f ca="1">IFERROR(K45/$C$3,0)</f>
        <v>119126453.3781203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9373339680.0949078</v>
      </c>
      <c r="F46" s="188">
        <f>IFERROR(E46/D46,0)</f>
        <v>0.83085099989276168</v>
      </c>
      <c r="G46" s="194">
        <f>G43+G44+G45</f>
        <v>780112278.40819001</v>
      </c>
      <c r="H46" s="194">
        <f ca="1">IFERROR(G46/C3,0)</f>
        <v>195028069.6020475</v>
      </c>
      <c r="I46" s="194">
        <f>I43+I44+I45</f>
        <v>1344192942.7694721</v>
      </c>
      <c r="J46" s="194">
        <f ca="1">IFERROR(I46/$C$3,0)</f>
        <v>336048235.69236803</v>
      </c>
      <c r="K46" s="199">
        <f>K43+K44+K45</f>
        <v>1908273607.1307557</v>
      </c>
      <c r="L46" s="199">
        <f ca="1">IFERROR(K46/$C$3,0)</f>
        <v>477068401.78268892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384683233.62786102</v>
      </c>
      <c r="H51" s="119">
        <f>N8</f>
        <v>53262828.563954003</v>
      </c>
      <c r="I51" s="119">
        <f t="shared" ref="I51:I64" si="1">G51+H51</f>
        <v>437946062.19181502</v>
      </c>
      <c r="J51" s="200">
        <f t="shared" ref="J51:J64" si="2">IFERROR(I51/F51,0)</f>
        <v>0.77162158043830709</v>
      </c>
      <c r="K51" s="197">
        <f>F51*$H$41-I51</f>
        <v>72863207.487685382</v>
      </c>
      <c r="L51" s="197">
        <f ca="1">IFERROR(K51/$C$3,0)</f>
        <v>18215801.871921346</v>
      </c>
      <c r="M51" s="193">
        <f>F51*$J$41-I51</f>
        <v>101241500.24765766</v>
      </c>
      <c r="N51" s="193">
        <f ca="1">IFERROR(M51/$C$3,0)</f>
        <v>25310375.061914414</v>
      </c>
      <c r="O51" s="232">
        <f>F51*$L$41-I51</f>
        <v>129619793.00762987</v>
      </c>
      <c r="P51" s="232">
        <f ca="1">IFERROR(O51/$C$3,0)</f>
        <v>32404948.251907468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542840061.18192101</v>
      </c>
      <c r="H52" s="119">
        <f>N9</f>
        <v>141204757.74133801</v>
      </c>
      <c r="I52" s="119">
        <f t="shared" si="1"/>
        <v>684044818.92325902</v>
      </c>
      <c r="J52" s="200">
        <f t="shared" si="2"/>
        <v>0.81557970598173002</v>
      </c>
      <c r="K52" s="197">
        <f t="shared" ref="K52:K64" si="3">F52*$H$41-I52</f>
        <v>70805176.136235833</v>
      </c>
      <c r="L52" s="197">
        <f t="shared" ref="L52:L64" ca="1" si="4">IFERROR(K52/$C$3,0)</f>
        <v>17701294.034058958</v>
      </c>
      <c r="M52" s="193">
        <f t="shared" ref="M52:M64" si="5">F52*$J$41-I52</f>
        <v>112741286.97287428</v>
      </c>
      <c r="N52" s="193">
        <f t="shared" ref="N52:N64" ca="1" si="6">IFERROR(M52/$C$3,0)</f>
        <v>28185321.743218571</v>
      </c>
      <c r="O52" s="232">
        <f t="shared" ref="O52:O64" si="7">F52*$L$41-I52</f>
        <v>154677397.80951297</v>
      </c>
      <c r="P52" s="232">
        <f t="shared" ref="P52:P64" ca="1" si="8">IFERROR(O52/$C$3,0)</f>
        <v>38669349.452378243</v>
      </c>
    </row>
    <row r="53" spans="2:16" x14ac:dyDescent="0.25">
      <c r="B53" s="145" t="s">
        <v>175</v>
      </c>
      <c r="C53" s="146" t="s">
        <v>176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169510059.69999999</v>
      </c>
      <c r="H53" s="119">
        <f>IF(D20="",0,D20)</f>
        <v>0</v>
      </c>
      <c r="I53" s="119">
        <f>G53+H53</f>
        <v>169510059.69999999</v>
      </c>
      <c r="J53" s="200">
        <f>IFERROR(I53/F53,0)</f>
        <v>0.68088477442337636</v>
      </c>
      <c r="K53" s="197">
        <f t="shared" si="3"/>
        <v>54549956.709088147</v>
      </c>
      <c r="L53" s="197">
        <f t="shared" ca="1" si="4"/>
        <v>13637489.177272037</v>
      </c>
      <c r="M53" s="193">
        <f t="shared" si="5"/>
        <v>66997735.398481935</v>
      </c>
      <c r="N53" s="193">
        <f t="shared" ca="1" si="6"/>
        <v>16749433.849620484</v>
      </c>
      <c r="O53" s="232">
        <f t="shared" si="7"/>
        <v>79445514.087875724</v>
      </c>
      <c r="P53" s="232">
        <f t="shared" ca="1" si="8"/>
        <v>19861378.521968931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896545566.48462296</v>
      </c>
      <c r="H54" s="119">
        <f t="shared" ref="H54:H58" si="9">N10</f>
        <v>25048158.472293999</v>
      </c>
      <c r="I54" s="119">
        <f t="shared" si="1"/>
        <v>921593724.95691693</v>
      </c>
      <c r="J54" s="200">
        <f t="shared" si="2"/>
        <v>1.1817271528226645</v>
      </c>
      <c r="K54" s="197">
        <f t="shared" si="3"/>
        <v>-219710595.26827049</v>
      </c>
      <c r="L54" s="197">
        <f t="shared" ca="1" si="4"/>
        <v>-54927648.817067623</v>
      </c>
      <c r="M54" s="193">
        <f t="shared" si="5"/>
        <v>-180717088.06334567</v>
      </c>
      <c r="N54" s="193">
        <f t="shared" ca="1" si="6"/>
        <v>-45179272.015836418</v>
      </c>
      <c r="O54" s="232">
        <f t="shared" si="7"/>
        <v>-141723580.85842085</v>
      </c>
      <c r="P54" s="232">
        <f t="shared" ca="1" si="8"/>
        <v>-35430895.214605212</v>
      </c>
    </row>
    <row r="55" spans="2:16" x14ac:dyDescent="0.25">
      <c r="B55" s="50" t="s">
        <v>73</v>
      </c>
      <c r="C55" s="55" t="s">
        <v>184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312427929.47873902</v>
      </c>
      <c r="H55" s="119">
        <f t="shared" si="9"/>
        <v>40196320.100000001</v>
      </c>
      <c r="I55" s="119">
        <f t="shared" si="1"/>
        <v>352624249.57873905</v>
      </c>
      <c r="J55" s="200">
        <f t="shared" si="2"/>
        <v>0.63812041331248548</v>
      </c>
      <c r="K55" s="197">
        <f t="shared" si="3"/>
        <v>144714211.94051987</v>
      </c>
      <c r="L55" s="197">
        <f t="shared" ca="1" si="4"/>
        <v>36178552.985129967</v>
      </c>
      <c r="M55" s="193">
        <f t="shared" si="5"/>
        <v>172344126.46936756</v>
      </c>
      <c r="N55" s="193">
        <f t="shared" ca="1" si="6"/>
        <v>43086031.617341891</v>
      </c>
      <c r="O55" s="232">
        <f t="shared" si="7"/>
        <v>199974040.99821532</v>
      </c>
      <c r="P55" s="232">
        <f t="shared" ca="1" si="8"/>
        <v>49993510.249553829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364427409.69519198</v>
      </c>
      <c r="H56" s="119">
        <f t="shared" si="9"/>
        <v>102160965.67337799</v>
      </c>
      <c r="I56" s="119">
        <f t="shared" si="1"/>
        <v>466588375.36856997</v>
      </c>
      <c r="J56" s="200">
        <f t="shared" si="2"/>
        <v>0.74280441242606343</v>
      </c>
      <c r="K56" s="197">
        <f t="shared" si="3"/>
        <v>98741516.062993884</v>
      </c>
      <c r="L56" s="197">
        <f t="shared" ca="1" si="4"/>
        <v>24685379.015748471</v>
      </c>
      <c r="M56" s="193">
        <f t="shared" si="5"/>
        <v>130148732.25363624</v>
      </c>
      <c r="N56" s="193">
        <f t="shared" ca="1" si="6"/>
        <v>32537183.06340906</v>
      </c>
      <c r="O56" s="232">
        <f t="shared" si="7"/>
        <v>161555948.44427872</v>
      </c>
      <c r="P56" s="232">
        <f t="shared" ca="1" si="8"/>
        <v>40388987.111069679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1267605434.039753</v>
      </c>
      <c r="H57" s="119">
        <f t="shared" si="9"/>
        <v>80669059.129618004</v>
      </c>
      <c r="I57" s="119">
        <f t="shared" si="1"/>
        <v>1348274493.1693709</v>
      </c>
      <c r="J57" s="200">
        <f t="shared" si="2"/>
        <v>1.1599233541372251</v>
      </c>
      <c r="K57" s="197">
        <f t="shared" si="3"/>
        <v>-302130332.41573155</v>
      </c>
      <c r="L57" s="197">
        <f t="shared" ca="1" si="4"/>
        <v>-75532583.103932887</v>
      </c>
      <c r="M57" s="193">
        <f t="shared" si="5"/>
        <v>-244011212.37386274</v>
      </c>
      <c r="N57" s="193">
        <f t="shared" ca="1" si="6"/>
        <v>-61002803.093465686</v>
      </c>
      <c r="O57" s="232">
        <f t="shared" si="7"/>
        <v>-185892092.33199382</v>
      </c>
      <c r="P57" s="232">
        <f t="shared" ca="1" si="8"/>
        <v>-46473023.082998455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433369679.56712502</v>
      </c>
      <c r="H58" s="119">
        <f t="shared" si="9"/>
        <v>57876264.189944997</v>
      </c>
      <c r="I58" s="119">
        <f>G58+H58</f>
        <v>491245943.75707</v>
      </c>
      <c r="J58" s="200">
        <f>IFERROR(I58/F58,0)</f>
        <v>0.73564127142422231</v>
      </c>
      <c r="K58" s="197">
        <f t="shared" si="3"/>
        <v>109755341.18362337</v>
      </c>
      <c r="L58" s="197">
        <f t="shared" ca="1" si="4"/>
        <v>27438835.295905843</v>
      </c>
      <c r="M58" s="193">
        <f t="shared" si="5"/>
        <v>143144301.45810634</v>
      </c>
      <c r="N58" s="193">
        <f t="shared" ca="1" si="6"/>
        <v>35786075.364526585</v>
      </c>
      <c r="O58" s="232">
        <f t="shared" si="7"/>
        <v>176533261.7325893</v>
      </c>
      <c r="P58" s="232">
        <f t="shared" ca="1" si="8"/>
        <v>44133315.433147326</v>
      </c>
    </row>
    <row r="59" spans="2:16" x14ac:dyDescent="0.25">
      <c r="B59" s="145" t="s">
        <v>175</v>
      </c>
      <c r="C59" s="146" t="s">
        <v>177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277701198.30000001</v>
      </c>
      <c r="H59" s="119">
        <f>IF(D21="",0,D21)</f>
        <v>0</v>
      </c>
      <c r="I59" s="119">
        <f>G59+H59</f>
        <v>277701198.30000001</v>
      </c>
      <c r="J59" s="200">
        <f>IFERROR(I59/F59,0)</f>
        <v>0.64604332971202494</v>
      </c>
      <c r="K59" s="197">
        <f t="shared" si="3"/>
        <v>109163067.57115644</v>
      </c>
      <c r="L59" s="197">
        <f t="shared" ca="1" si="4"/>
        <v>27290766.892789111</v>
      </c>
      <c r="M59" s="193">
        <f t="shared" si="5"/>
        <v>130655526.78622067</v>
      </c>
      <c r="N59" s="193">
        <f t="shared" ca="1" si="6"/>
        <v>32663881.696555167</v>
      </c>
      <c r="O59" s="232">
        <f t="shared" si="7"/>
        <v>152147986.00128496</v>
      </c>
      <c r="P59" s="232">
        <f t="shared" ca="1" si="8"/>
        <v>38036996.500321239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276232012.75102699</v>
      </c>
      <c r="H60" s="119">
        <f t="shared" ref="H60:H64" si="10">N15</f>
        <v>102693565.067957</v>
      </c>
      <c r="I60" s="119">
        <f t="shared" si="1"/>
        <v>378925577.81898397</v>
      </c>
      <c r="J60" s="200">
        <f t="shared" si="2"/>
        <v>0.59920120076999117</v>
      </c>
      <c r="K60" s="197">
        <f t="shared" si="3"/>
        <v>190220511.33912879</v>
      </c>
      <c r="L60" s="197">
        <f t="shared" ca="1" si="4"/>
        <v>47555127.834782198</v>
      </c>
      <c r="M60" s="193">
        <f t="shared" si="5"/>
        <v>221839738.51457947</v>
      </c>
      <c r="N60" s="193">
        <f t="shared" ca="1" si="6"/>
        <v>55459934.628644869</v>
      </c>
      <c r="O60" s="232">
        <f t="shared" si="7"/>
        <v>253458965.69003016</v>
      </c>
      <c r="P60" s="232">
        <f t="shared" ca="1" si="8"/>
        <v>63364741.422507539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581382324.14181197</v>
      </c>
      <c r="H61" s="119">
        <f t="shared" si="10"/>
        <v>56391850.419914998</v>
      </c>
      <c r="I61" s="119">
        <f t="shared" si="1"/>
        <v>637774174.56172693</v>
      </c>
      <c r="J61" s="200">
        <f t="shared" si="2"/>
        <v>0.82850288087027202</v>
      </c>
      <c r="K61" s="197">
        <f t="shared" si="3"/>
        <v>55037848.617503762</v>
      </c>
      <c r="L61" s="197">
        <f t="shared" ca="1" si="4"/>
        <v>13759462.154375941</v>
      </c>
      <c r="M61" s="193">
        <f t="shared" si="5"/>
        <v>93527405.46079433</v>
      </c>
      <c r="N61" s="193">
        <f t="shared" ca="1" si="6"/>
        <v>23381851.365198582</v>
      </c>
      <c r="O61" s="232">
        <f t="shared" si="7"/>
        <v>132016962.3040849</v>
      </c>
      <c r="P61" s="232">
        <f t="shared" ca="1" si="8"/>
        <v>33004240.576021224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339638381.441796</v>
      </c>
      <c r="H62" s="119">
        <f t="shared" si="10"/>
        <v>45147385.865496002</v>
      </c>
      <c r="I62" s="119">
        <f t="shared" si="1"/>
        <v>384785767.30729198</v>
      </c>
      <c r="J62" s="200">
        <f t="shared" si="2"/>
        <v>0.72570746359464733</v>
      </c>
      <c r="K62" s="197">
        <f t="shared" si="3"/>
        <v>92413666.278796732</v>
      </c>
      <c r="L62" s="197">
        <f t="shared" ca="1" si="4"/>
        <v>23103416.569699183</v>
      </c>
      <c r="M62" s="193">
        <f t="shared" si="5"/>
        <v>118924745.9224683</v>
      </c>
      <c r="N62" s="193">
        <f t="shared" ca="1" si="6"/>
        <v>29731186.480617076</v>
      </c>
      <c r="O62" s="232">
        <f t="shared" si="7"/>
        <v>145435825.56613994</v>
      </c>
      <c r="P62" s="232">
        <f t="shared" ca="1" si="8"/>
        <v>36358956.391534984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799551787.00156796</v>
      </c>
      <c r="H63" s="119">
        <f t="shared" si="10"/>
        <v>235095859.55573201</v>
      </c>
      <c r="I63" s="119">
        <f t="shared" si="1"/>
        <v>1034647646.5573</v>
      </c>
      <c r="J63" s="200">
        <f t="shared" si="2"/>
        <v>1.0023981595637355</v>
      </c>
      <c r="K63" s="197">
        <f t="shared" si="3"/>
        <v>-105692547.21150684</v>
      </c>
      <c r="L63" s="197">
        <f t="shared" ca="1" si="4"/>
        <v>-26423136.802876711</v>
      </c>
      <c r="M63" s="193">
        <f t="shared" si="5"/>
        <v>-54083930.581185102</v>
      </c>
      <c r="N63" s="193">
        <f t="shared" ca="1" si="6"/>
        <v>-13520982.645296276</v>
      </c>
      <c r="O63" s="232">
        <f t="shared" si="7"/>
        <v>-2475313.9508632421</v>
      </c>
      <c r="P63" s="232">
        <f t="shared" ca="1" si="8"/>
        <v>-618828.48771581054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274952402.93741</v>
      </c>
      <c r="H64" s="119">
        <f t="shared" si="10"/>
        <v>138167168.69169998</v>
      </c>
      <c r="I64" s="119">
        <f t="shared" si="1"/>
        <v>413119571.62910998</v>
      </c>
      <c r="J64" s="200">
        <f t="shared" si="2"/>
        <v>0.70006899005762657</v>
      </c>
      <c r="K64" s="197">
        <f t="shared" si="3"/>
        <v>117981819.44320911</v>
      </c>
      <c r="L64" s="197">
        <f t="shared" ca="1" si="4"/>
        <v>29495454.860802278</v>
      </c>
      <c r="M64" s="193">
        <f t="shared" si="5"/>
        <v>147487452.28056014</v>
      </c>
      <c r="N64" s="193">
        <f t="shared" ca="1" si="6"/>
        <v>36871863.070140034</v>
      </c>
      <c r="O64" s="232">
        <f t="shared" si="7"/>
        <v>176993085.11791122</v>
      </c>
      <c r="P64" s="232">
        <f t="shared" ca="1" si="8"/>
        <v>44248271.279477805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6920867480.3488283</v>
      </c>
      <c r="H65" s="144">
        <f>SUM(H51:H64)</f>
        <v>1077914183.4713268</v>
      </c>
      <c r="I65" s="144">
        <f>SUM(I51:I64)</f>
        <v>7998781663.8201532</v>
      </c>
      <c r="J65" s="203">
        <f>IFERROR(I65/F65,0)</f>
        <v>0.84817769101577056</v>
      </c>
      <c r="K65" s="194">
        <f>SUM(K51:K64)</f>
        <v>488712847.87443244</v>
      </c>
      <c r="L65" s="194">
        <f ca="1">IFERROR(K65/$C$3,0)</f>
        <v>122178211.96860811</v>
      </c>
      <c r="M65" s="194">
        <f>SUM(M51:M64)</f>
        <v>960240320.74635351</v>
      </c>
      <c r="N65" s="194">
        <f ca="1">IFERROR(M65/$C$3,0)</f>
        <v>240060080.18658838</v>
      </c>
      <c r="O65" s="194">
        <f>SUM(O51:O64)</f>
        <v>1431767793.6182756</v>
      </c>
      <c r="P65" s="194">
        <f ca="1">IFERROR(O65/$C$3,0)</f>
        <v>357941948.40456891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203015918.19353399</v>
      </c>
      <c r="F69" s="200">
        <f t="shared" ref="F69:F74" si="12">IFERROR(E69/D69,0)</f>
        <v>0.69256341775780472</v>
      </c>
      <c r="G69" s="197">
        <f>D69*$H$41-E69</f>
        <v>60807324.110721469</v>
      </c>
      <c r="H69" s="197">
        <f ca="1">IFERROR(G69/C3,0)</f>
        <v>15201831.027680367</v>
      </c>
      <c r="I69" s="193">
        <f>D69*$J$41-E69</f>
        <v>75464170.905402273</v>
      </c>
      <c r="J69" s="193">
        <f t="shared" ref="J69:J74" ca="1" si="13">IFERROR(I69/$C$3,0)</f>
        <v>18866042.726350568</v>
      </c>
      <c r="K69" s="198">
        <f>D69*$L$41-E69</f>
        <v>90121017.700083166</v>
      </c>
      <c r="L69" s="198">
        <f t="shared" ref="L69:L74" ca="1" si="14">IFERROR(K69/$C$3,0)</f>
        <v>22530254.425020792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591283521.66034806</v>
      </c>
      <c r="F70" s="200">
        <f t="shared" si="12"/>
        <v>1.3547943391675279</v>
      </c>
      <c r="G70" s="197">
        <f>D70*$H$41-E70</f>
        <v>-198489461.25609261</v>
      </c>
      <c r="H70" s="197">
        <f ca="1">IFERROR(G70/C3,0)</f>
        <v>-49622365.314023152</v>
      </c>
      <c r="I70" s="193">
        <f>D70*$J$41-E70</f>
        <v>-176667569.01141179</v>
      </c>
      <c r="J70" s="193">
        <f t="shared" ca="1" si="13"/>
        <v>-44166892.252852947</v>
      </c>
      <c r="K70" s="198">
        <f>D70*$L$41-E70</f>
        <v>-154845676.7667309</v>
      </c>
      <c r="L70" s="198">
        <f t="shared" ca="1" si="14"/>
        <v>-38711419.191682726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580258576.42087102</v>
      </c>
      <c r="F71" s="200">
        <f t="shared" si="12"/>
        <v>0.51740012703491944</v>
      </c>
      <c r="G71" s="197">
        <f>D71*$H$41-E71</f>
        <v>429081567.679129</v>
      </c>
      <c r="H71" s="197">
        <f ca="1">IFERROR(G71/C3,0)</f>
        <v>107270391.91978225</v>
      </c>
      <c r="I71" s="193">
        <f>D71*$J$41-E71</f>
        <v>485156020.12912893</v>
      </c>
      <c r="J71" s="193">
        <f t="shared" ca="1" si="13"/>
        <v>121289005.03228223</v>
      </c>
      <c r="K71" s="198">
        <f>D71*$L$41-E71</f>
        <v>541230472.57912898</v>
      </c>
      <c r="L71" s="198">
        <f t="shared" ca="1" si="14"/>
        <v>135307618.14478225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1374558016.2747531</v>
      </c>
      <c r="F74" s="188">
        <f t="shared" si="12"/>
        <v>0.74257731913693548</v>
      </c>
      <c r="G74" s="194">
        <f>SUM(G69:G73)</f>
        <v>291399430.53375787</v>
      </c>
      <c r="H74" s="194">
        <f ca="1">IFERROR(G74/C3,0)</f>
        <v>72849857.633439466</v>
      </c>
      <c r="I74" s="194">
        <f>SUM(I69:I73)</f>
        <v>383952622.02311945</v>
      </c>
      <c r="J74" s="194">
        <f t="shared" ca="1" si="13"/>
        <v>95988155.505779862</v>
      </c>
      <c r="K74" s="199">
        <f>SUM(K69:K73)</f>
        <v>476505813.51248121</v>
      </c>
      <c r="L74" s="199">
        <f t="shared" ca="1" si="14"/>
        <v>119126453.3781203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443760531.00986999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108549412.73999999</v>
      </c>
    </row>
    <row r="82" spans="2:4" x14ac:dyDescent="0.25">
      <c r="B82" s="53" t="s">
        <v>175</v>
      </c>
      <c r="C82" s="56" t="s">
        <v>176</v>
      </c>
      <c r="D82" s="140">
        <f>IF(E20="",0,E20)</f>
        <v>9909909.6400000006</v>
      </c>
    </row>
    <row r="83" spans="2:4" x14ac:dyDescent="0.25">
      <c r="B83" s="50" t="s">
        <v>71</v>
      </c>
      <c r="C83" s="55" t="s">
        <v>72</v>
      </c>
      <c r="D83" s="140">
        <f>IF(E15="",0,E15)</f>
        <v>350517359.62994999</v>
      </c>
    </row>
    <row r="84" spans="2:4" x14ac:dyDescent="0.25">
      <c r="B84" s="53" t="s">
        <v>73</v>
      </c>
      <c r="C84" s="56" t="s">
        <v>184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58476846.159999996</v>
      </c>
    </row>
    <row r="86" spans="2:4" x14ac:dyDescent="0.25">
      <c r="B86" s="53" t="s">
        <v>76</v>
      </c>
      <c r="C86" s="56" t="s">
        <v>77</v>
      </c>
      <c r="D86" s="140">
        <f>IF(E17="",0,E17)</f>
        <v>1162289442.7299581</v>
      </c>
    </row>
    <row r="87" spans="2:4" x14ac:dyDescent="0.25">
      <c r="B87" s="50" t="s">
        <v>78</v>
      </c>
      <c r="C87" s="55" t="s">
        <v>79</v>
      </c>
      <c r="D87" s="140">
        <f>IF(E23="",0,E23)</f>
        <v>283197656.69934201</v>
      </c>
    </row>
    <row r="88" spans="2:4" x14ac:dyDescent="0.25">
      <c r="B88" s="53" t="s">
        <v>175</v>
      </c>
      <c r="C88" s="56" t="s">
        <v>177</v>
      </c>
      <c r="D88" s="140">
        <f>IF(E21="",0,E21)</f>
        <v>15585585.16</v>
      </c>
    </row>
    <row r="89" spans="2:4" x14ac:dyDescent="0.25">
      <c r="B89" s="53" t="s">
        <v>80</v>
      </c>
      <c r="C89" s="56" t="s">
        <v>81</v>
      </c>
      <c r="D89" s="140">
        <f>IF(E11="",0,E11)</f>
        <v>68988371.920000002</v>
      </c>
    </row>
    <row r="90" spans="2:4" x14ac:dyDescent="0.25">
      <c r="B90" s="50" t="s">
        <v>82</v>
      </c>
      <c r="C90" s="55" t="s">
        <v>83</v>
      </c>
      <c r="D90" s="140">
        <f>IF(E24="",0,E24)</f>
        <v>681556762.82918704</v>
      </c>
    </row>
    <row r="91" spans="2:4" x14ac:dyDescent="0.25">
      <c r="B91" s="53" t="s">
        <v>84</v>
      </c>
      <c r="C91" s="56" t="s">
        <v>85</v>
      </c>
      <c r="D91" s="140">
        <f>IF(E10="",0,E10)</f>
        <v>148111801.78999999</v>
      </c>
    </row>
    <row r="92" spans="2:4" x14ac:dyDescent="0.25">
      <c r="B92" s="50" t="s">
        <v>86</v>
      </c>
      <c r="C92" s="55" t="s">
        <v>87</v>
      </c>
      <c r="D92" s="140">
        <f>IF(E27="",0,E27)</f>
        <v>17636000.377799999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70281082.519999996</v>
      </c>
    </row>
    <row r="94" spans="2:4" x14ac:dyDescent="0.25">
      <c r="B94" s="57" t="s">
        <v>152</v>
      </c>
      <c r="C94" s="58"/>
      <c r="D94" s="125">
        <f>SUM(D80:D93)</f>
        <v>3418860763.2061071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H38" sqref="H3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61" t="s">
        <v>162</v>
      </c>
      <c r="C41" s="262"/>
      <c r="D41" s="263"/>
      <c r="E41" s="67" t="s">
        <v>138</v>
      </c>
      <c r="F41" s="185">
        <f ca="1">IF(MONTH(TODAY())=8,DAY(TODAY())/DAY(EOMONTH(TODAY(),0)),IF(MONTH(TODAY())&gt;8,1,0))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TARGETS!R5</f>
        <v>0</v>
      </c>
      <c r="E51" s="123">
        <f>TARGETS!S5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0</v>
      </c>
      <c r="E52" s="124">
        <f>TARGETS!S6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x14ac:dyDescent="0.25">
      <c r="B53" s="145" t="s">
        <v>175</v>
      </c>
      <c r="C53" s="146" t="s">
        <v>176</v>
      </c>
      <c r="D53" s="147">
        <f>TARGETS!R7</f>
        <v>0</v>
      </c>
      <c r="E53" s="147">
        <f>TARGETS!S7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TARGETS!R8</f>
        <v>0</v>
      </c>
      <c r="E54" s="124">
        <f>TARGETS!S8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TARGETS!R9</f>
        <v>0</v>
      </c>
      <c r="E55" s="123">
        <f>TARGETS!S9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0</v>
      </c>
      <c r="E56" s="124">
        <f>TARGETS!S10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TARGETS!R11</f>
        <v>0</v>
      </c>
      <c r="E57" s="123">
        <f>TARGETS!S11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TARGETS!R12</f>
        <v>0</v>
      </c>
      <c r="E58" s="124">
        <f>TARGETS!S12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TARGETS!R13</f>
        <v>0</v>
      </c>
      <c r="E59" s="147">
        <f>TARGETS!S13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TARGETS!R14</f>
        <v>0</v>
      </c>
      <c r="E60" s="124">
        <f>TARGETS!S14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TARGETS!R15</f>
        <v>0</v>
      </c>
      <c r="E61" s="123">
        <f>TARGETS!S15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x14ac:dyDescent="0.25">
      <c r="B62" s="53" t="s">
        <v>84</v>
      </c>
      <c r="C62" s="56" t="s">
        <v>85</v>
      </c>
      <c r="D62" s="124">
        <f>TARGETS!R16</f>
        <v>0</v>
      </c>
      <c r="E62" s="124">
        <f>TARGETS!S16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TARGETS!R17</f>
        <v>0</v>
      </c>
      <c r="E63" s="123">
        <f>TARGETS!S17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TARGETS!R18</f>
        <v>0</v>
      </c>
      <c r="E64" s="124">
        <f>TARGETS!S18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TARGETS!K23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TARGETS!K24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61" t="s">
        <v>164</v>
      </c>
      <c r="C41" s="262"/>
      <c r="D41" s="263"/>
      <c r="E41" s="67" t="s">
        <v>138</v>
      </c>
      <c r="F41" s="185">
        <f ca="1">IF(MONTH(TODAY())=9,DAY(TODAY())/DAY(EOMONTH(TODAY(),0)),IF(MONTH(TODAY())&gt;9,1,0))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166</v>
      </c>
      <c r="C41" s="262"/>
      <c r="D41" s="263"/>
      <c r="E41" s="67" t="s">
        <v>138</v>
      </c>
      <c r="F41" s="185">
        <f ca="1">IF(MONTH(TODAY())=10,DAY(TODAY())/DAY(EOMONTH(TODAY(),0)),IF(MONTH(TODAY())&gt;10,1,0))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178</v>
      </c>
      <c r="C41" s="262"/>
      <c r="D41" s="263"/>
      <c r="E41" s="67" t="s">
        <v>138</v>
      </c>
      <c r="F41" s="185">
        <f ca="1">IF(MONTH(TODAY())=11,DAY(TODAY())/DAY(EOMONTH(TODAY(),0)),IF(MONTH(TODAY())&gt;11,1,0))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180</v>
      </c>
      <c r="C41" s="262"/>
      <c r="D41" s="263"/>
      <c r="E41" s="67" t="s">
        <v>138</v>
      </c>
      <c r="F41" s="185">
        <f ca="1">IF(MONTH(TODAY())=12,DAY(TODAY())/DAY(EOMONTH(TODAY(),0)),IF(MONTH(TODAY())&gt;12,1,0))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2026-07-28T00:39:10Z</dcterms:modified>
  <dc:language>en-US</dc:language>
</cp:coreProperties>
</file>