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6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94" i="12" s="1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K61" i="11"/>
  <c r="K63" i="12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7" i="11" l="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<sst xmlns="http://schemas.openxmlformats.org/spreadsheetml/2006/main" count="2117" uniqueCount="228">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</sst>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8" t="s">
        <v>0</v>
      </c>
      <c r="C1" s="238"/>
    </row>
    <row r="3" spans="2:3" x14ac:dyDescent="0.25">
      <c r="B3" s="239" t="s">
        <v>1</v>
      </c>
      <c r="C3" s="23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0" t="s">
        <v>14</v>
      </c>
      <c r="C11" s="24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9" t="s">
        <v>28</v>
      </c>
      <c r="C3" s="23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1" t="s">
        <v>102</v>
      </c>
      <c r="C29" s="241"/>
      <c r="D29" s="241"/>
      <c r="E29" s="241"/>
      <c r="F29" s="24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9" t="s">
        <v>145</v>
      </c>
      <c r="C44" s="26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1" t="s">
        <v>41</v>
      </c>
      <c r="C47" s="261" t="s">
        <v>42</v>
      </c>
      <c r="D47" s="256" t="s">
        <v>137</v>
      </c>
      <c r="E47" s="257"/>
      <c r="F47" s="258"/>
      <c r="G47" s="69" t="s">
        <v>138</v>
      </c>
      <c r="H47" s="69"/>
      <c r="I47" s="69"/>
      <c r="J47" s="261" t="s">
        <v>139</v>
      </c>
      <c r="K47" s="35" t="s">
        <v>147</v>
      </c>
      <c r="L47" s="35"/>
      <c r="M47" s="35"/>
      <c r="N47" s="255" t="s">
        <v>148</v>
      </c>
    </row>
    <row r="48" spans="2:17" ht="15.75" x14ac:dyDescent="0.25">
      <c r="B48" s="261"/>
      <c r="C48" s="261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1"/>
      <c r="K48" s="34" t="s">
        <v>142</v>
      </c>
      <c r="L48" s="34" t="s">
        <v>110</v>
      </c>
      <c r="M48" s="34" t="s">
        <v>145</v>
      </c>
      <c r="N48" s="255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2" t="s">
        <v>144</v>
      </c>
      <c r="C63" s="253"/>
      <c r="D63" s="253"/>
      <c r="E63" s="253"/>
      <c r="F63" s="253"/>
      <c r="G63" s="253"/>
      <c r="H63" s="254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72" t="s">
        <v>178</v>
      </c>
      <c r="C41" s="273"/>
      <c r="D41" s="274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9" t="s">
        <v>145</v>
      </c>
      <c r="C46" s="260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  <c r="Q48"/>
      <c r="R48"/>
    </row>
    <row r="49" spans="2:18" s="139" customFormat="1" ht="33.950000000000003" customHeight="1" x14ac:dyDescent="0.25">
      <c r="B49" s="280" t="s">
        <v>41</v>
      </c>
      <c r="C49" s="280" t="s">
        <v>42</v>
      </c>
      <c r="D49" s="277" t="s">
        <v>137</v>
      </c>
      <c r="E49" s="278"/>
      <c r="F49" s="279"/>
      <c r="G49" s="140" t="s">
        <v>138</v>
      </c>
      <c r="H49" s="140"/>
      <c r="I49" s="140"/>
      <c r="J49" s="277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0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0"/>
      <c r="C50" s="280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7"/>
      <c r="K50" s="267"/>
      <c r="L50" s="267"/>
      <c r="M50" s="269"/>
      <c r="N50" s="188"/>
      <c r="O50" s="183"/>
      <c r="P50" s="271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2" t="s">
        <v>171</v>
      </c>
      <c r="C77" s="253"/>
      <c r="D77" s="254"/>
      <c r="G77"/>
      <c r="H77"/>
      <c r="I77"/>
    </row>
    <row r="78" spans="1:19" ht="20.100000000000001" customHeight="1" x14ac:dyDescent="0.25">
      <c r="B78" s="262" t="s">
        <v>41</v>
      </c>
      <c r="C78" s="262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1"/>
      <c r="C79" s="261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81" t="s">
        <v>179</v>
      </c>
      <c r="C41" s="282"/>
      <c r="D41" s="283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22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8.75" customHeight="1" x14ac:dyDescent="0.25">
      <c r="B78" s="262" t="s">
        <v>41</v>
      </c>
      <c r="C78" s="262" t="s">
        <v>42</v>
      </c>
      <c r="D78" s="231" t="s">
        <v>138</v>
      </c>
    </row>
    <row r="79" spans="2:16" ht="18" customHeight="1" x14ac:dyDescent="0.25">
      <c r="B79" s="261"/>
      <c r="C79" s="261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2" t="s">
        <v>180</v>
      </c>
      <c r="C41" s="273"/>
      <c r="D41" s="274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70" t="str">
        <f>"SELISIH"&amp;CHAR(10)&amp;TEXT($L$41,"0%")</f>
        <v>SELISIH
100%</v>
      </c>
      <c r="P49" s="270" t="str">
        <f>"PER HARI"&amp;CHAR(10)&amp;TEXT($L$41,"0%")</f>
        <v>PER HARI
100%</v>
      </c>
    </row>
    <row r="50" spans="2:16" ht="19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71"/>
      <c r="P50" s="271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72" t="s">
        <v>189</v>
      </c>
      <c r="C41" s="273"/>
      <c r="D41" s="274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9" t="s">
        <v>145</v>
      </c>
      <c r="C46" s="260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63" t="s">
        <v>186</v>
      </c>
      <c r="L48" s="264"/>
      <c r="M48" s="264"/>
      <c r="N48" s="264"/>
      <c r="O48" s="264"/>
      <c r="P48" s="265"/>
    </row>
    <row r="49" spans="2:16" ht="15.75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66" t="str">
        <f>"SELISIH"&amp;CHAR(10)&amp;TEXT($H$41,"0%")</f>
        <v>SELISIH
90%</v>
      </c>
      <c r="L49" s="266" t="str">
        <f>"PER HARI"&amp;CHAR(10)&amp;TEXT($H$41,"0%")</f>
        <v>PER HARI
90%</v>
      </c>
      <c r="M49" s="268" t="str">
        <f>"SELISIH"&amp;CHAR(10)&amp;TEXT($J$41,"0%")</f>
        <v>SELISIH
95%</v>
      </c>
      <c r="N49" s="268" t="str">
        <f>"PER HARI"&amp;CHAR(10)&amp;TEXT($J$41,"0%")</f>
        <v>PER HARI
95%</v>
      </c>
      <c r="O49" s="284" t="str">
        <f>"SELISIH"&amp;CHAR(10)&amp;TEXT($L$41,"0%")</f>
        <v>SELISIH
100%</v>
      </c>
      <c r="P49" s="284" t="str">
        <f>"PER HARI"&amp;CHAR(10)&amp;TEXT($L$41,"0%")</f>
        <v>PER HARI
100%</v>
      </c>
    </row>
    <row r="50" spans="2:16" ht="15.75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67"/>
      <c r="L50" s="267"/>
      <c r="M50" s="269"/>
      <c r="N50" s="269"/>
      <c r="O50" s="285"/>
      <c r="P50" s="285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62" t="s">
        <v>41</v>
      </c>
      <c r="C78" s="262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72" t="s">
        <v>219</v>
      </c>
      <c r="C40" s="273"/>
      <c r="D40" s="274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9" t="s">
        <v>145</v>
      </c>
      <c r="C46" s="260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5" t="s">
        <v>213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5.75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5"/>
      <c r="G67" s="263" t="s">
        <v>186</v>
      </c>
      <c r="H67" s="264"/>
      <c r="I67" s="264"/>
      <c r="J67" s="264"/>
      <c r="K67" s="264"/>
      <c r="L67" s="265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2" t="s">
        <v>171</v>
      </c>
      <c r="C77" s="253"/>
      <c r="D77" s="254"/>
    </row>
    <row r="78" spans="2:21" ht="15.75" x14ac:dyDescent="0.25">
      <c r="B78" s="262" t="s">
        <v>41</v>
      </c>
      <c r="C78" s="262" t="s">
        <v>42</v>
      </c>
      <c r="D78" s="231" t="s">
        <v>138</v>
      </c>
    </row>
    <row r="79" spans="2:21" ht="15.75" x14ac:dyDescent="0.25">
      <c r="B79" s="261"/>
      <c r="C79" s="261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56" zoomScale="84" zoomScaleNormal="84" workbookViewId="0">
      <selection activeCell="C75" sqref="C7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3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6">
        <v>133182163.255797</v>
      </c>
      <c r="D10" s="236">
        <v>39865291.477794997</v>
      </c>
      <c r="E10" s="236">
        <v>191182198.64701799</v>
      </c>
      <c r="F10" s="236">
        <v>155970460.17992401</v>
      </c>
      <c r="G10" s="236">
        <v>520200113.560534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6">
        <v>5673423.4199980004</v>
      </c>
      <c r="D11" s="236">
        <v>32629360.699999999</v>
      </c>
      <c r="E11" s="236">
        <v>271000001.35890001</v>
      </c>
      <c r="F11" s="236" t="s">
        <v>165</v>
      </c>
      <c r="G11" s="236">
        <v>309302785.47889799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6">
        <v>158839730.55793801</v>
      </c>
      <c r="D12" s="236">
        <v>68299955.821513996</v>
      </c>
      <c r="E12" s="236">
        <v>153961805.60950899</v>
      </c>
      <c r="F12" s="236">
        <v>68657391.549999997</v>
      </c>
      <c r="G12" s="236">
        <v>449758883.53896099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6">
        <v>31456577.699947</v>
      </c>
      <c r="D13" s="236">
        <v>22521953.429963</v>
      </c>
      <c r="E13" s="236">
        <v>199683245.129592</v>
      </c>
      <c r="F13" s="236">
        <v>85854155.530000001</v>
      </c>
      <c r="G13" s="236">
        <v>339515931.78950202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6">
        <v>482508837.979559</v>
      </c>
      <c r="D14" s="236">
        <v>43096712.549465001</v>
      </c>
      <c r="E14" s="236">
        <v>151436270.519853</v>
      </c>
      <c r="F14" s="236">
        <v>383780696.16973501</v>
      </c>
      <c r="G14" s="236">
        <v>1060822517.218612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6">
        <v>1583048264.799907</v>
      </c>
      <c r="D15" s="236">
        <v>11461206.304924</v>
      </c>
      <c r="E15" s="236">
        <v>94358935.799939007</v>
      </c>
      <c r="F15" s="236">
        <v>16805405.75</v>
      </c>
      <c r="G15" s="236">
        <v>1705673812.6547699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6">
        <v>491342417.01869798</v>
      </c>
      <c r="D16" s="236">
        <v>56669125.779923998</v>
      </c>
      <c r="E16" s="236">
        <v>312947839.26937002</v>
      </c>
      <c r="F16" s="236">
        <v>990682602.56996906</v>
      </c>
      <c r="G16" s="236">
        <v>1851641984.6379609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6">
        <v>103155630.48592401</v>
      </c>
      <c r="D17" s="236">
        <v>13122554.039898001</v>
      </c>
      <c r="E17" s="236">
        <v>106463647.96879201</v>
      </c>
      <c r="F17" s="236">
        <v>49898919.898000002</v>
      </c>
      <c r="G17" s="236">
        <v>272640752.39261401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6">
        <v>13656047.589996999</v>
      </c>
      <c r="D18" s="236">
        <v>135022363.55165499</v>
      </c>
      <c r="E18" s="236">
        <v>59041106.100000001</v>
      </c>
      <c r="F18" s="236">
        <v>104562164.42</v>
      </c>
      <c r="G18" s="236">
        <v>312281681.66165203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6">
        <v>48019875.460000001</v>
      </c>
      <c r="D19" s="236" t="s">
        <v>165</v>
      </c>
      <c r="E19" s="236" t="s">
        <v>165</v>
      </c>
      <c r="F19" s="236">
        <v>9945945.6799999997</v>
      </c>
      <c r="G19" s="236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6">
        <v>206615067.16</v>
      </c>
      <c r="D20" s="236" t="s">
        <v>165</v>
      </c>
      <c r="E20" s="236" t="s">
        <v>165</v>
      </c>
      <c r="F20" s="236">
        <v>13579549.18</v>
      </c>
      <c r="G20" s="236">
        <v>220194616.34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6">
        <v>263996098.743774</v>
      </c>
      <c r="D21" s="236">
        <v>47932129.623447001</v>
      </c>
      <c r="E21" s="236">
        <v>143083924.36977699</v>
      </c>
      <c r="F21" s="236">
        <v>414273536.65985</v>
      </c>
      <c r="G21" s="236">
        <v>869285689.39684796</v>
      </c>
      <c r="H21" s="111"/>
      <c r="I21" s="111"/>
      <c r="J21" s="111"/>
      <c r="M21" s="14">
        <f>SUM(C33,C34)+M20</f>
        <v>1014347446.480343</v>
      </c>
      <c r="N21" s="10" t="s">
        <v>224</v>
      </c>
    </row>
    <row r="22" spans="2:15" ht="15" customHeight="1" x14ac:dyDescent="0.25">
      <c r="B22" s="72" t="s">
        <v>225</v>
      </c>
      <c r="C22" s="236">
        <v>190036588.29052001</v>
      </c>
      <c r="D22" s="236">
        <v>55882903.289934002</v>
      </c>
      <c r="E22" s="236">
        <v>151739974.348151</v>
      </c>
      <c r="F22" s="236">
        <v>65782612.399999999</v>
      </c>
      <c r="G22" s="236">
        <v>463442078.328605</v>
      </c>
      <c r="H22" s="111"/>
      <c r="I22" s="111"/>
      <c r="J22" s="111"/>
    </row>
    <row r="23" spans="2:15" ht="15" customHeight="1" x14ac:dyDescent="0.25">
      <c r="B23" s="72" t="s">
        <v>125</v>
      </c>
      <c r="C23" s="236">
        <v>255492042.620024</v>
      </c>
      <c r="D23" s="236">
        <v>67695304.759942994</v>
      </c>
      <c r="E23" s="236">
        <v>183532696.38125801</v>
      </c>
      <c r="F23" s="236">
        <v>315237664.88943499</v>
      </c>
      <c r="G23" s="236">
        <v>821957708.65066004</v>
      </c>
      <c r="H23" s="111"/>
      <c r="I23" s="111"/>
      <c r="J23" s="111"/>
    </row>
    <row r="24" spans="2:15" ht="15" customHeight="1" x14ac:dyDescent="0.25">
      <c r="B24" s="72" t="s">
        <v>126</v>
      </c>
      <c r="C24" s="236">
        <v>440052239.37646002</v>
      </c>
      <c r="D24" s="236">
        <v>59219998.644919001</v>
      </c>
      <c r="E24" s="236">
        <v>200790750.04987699</v>
      </c>
      <c r="F24" s="236">
        <v>579669561.29943395</v>
      </c>
      <c r="G24" s="236">
        <v>1279732549.3706901</v>
      </c>
      <c r="H24" s="111"/>
      <c r="I24" s="111"/>
      <c r="J24" s="111"/>
    </row>
    <row r="25" spans="2:15" ht="15" customHeight="1" x14ac:dyDescent="0.25">
      <c r="B25" s="72" t="s">
        <v>220</v>
      </c>
      <c r="C25" s="236">
        <v>334965416.39326602</v>
      </c>
      <c r="D25" s="236">
        <v>81584972.886524007</v>
      </c>
      <c r="E25" s="236">
        <v>97847527.472525001</v>
      </c>
      <c r="F25" s="236">
        <v>50324325.43</v>
      </c>
      <c r="G25" s="236">
        <v>564722242.18231499</v>
      </c>
      <c r="H25" s="111"/>
      <c r="I25" s="111"/>
      <c r="J25" s="111"/>
    </row>
    <row r="26" spans="2:15" ht="15" customHeight="1" x14ac:dyDescent="0.25">
      <c r="B26" s="72" t="s">
        <v>127</v>
      </c>
      <c r="C26" s="236">
        <v>480229048.13510603</v>
      </c>
      <c r="D26" s="236">
        <v>286587088.43090999</v>
      </c>
      <c r="E26" s="236">
        <v>283835544.43512303</v>
      </c>
      <c r="F26" s="236">
        <v>18820757.1204</v>
      </c>
      <c r="G26" s="236">
        <v>1069472438.121539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171">
        <v>259365932.35194299</v>
      </c>
      <c r="G31" s="111"/>
      <c r="H31" s="111"/>
      <c r="I31" s="111"/>
    </row>
    <row r="32" spans="2:15" ht="15" customHeight="1" x14ac:dyDescent="0.25">
      <c r="B32" s="81" t="s">
        <v>132</v>
      </c>
      <c r="C32" s="236">
        <v>457145084.04292297</v>
      </c>
      <c r="G32" s="111"/>
      <c r="H32" s="111"/>
      <c r="I32" s="111"/>
    </row>
    <row r="33" spans="2:19" ht="15" customHeight="1" x14ac:dyDescent="0.25">
      <c r="B33" s="81" t="s">
        <v>133</v>
      </c>
      <c r="C33" s="236">
        <v>506982262.40976697</v>
      </c>
      <c r="G33" s="111"/>
      <c r="H33" s="111"/>
      <c r="I33" s="111"/>
    </row>
    <row r="34" spans="2:19" ht="15" customHeight="1" x14ac:dyDescent="0.25">
      <c r="B34" s="81" t="s">
        <v>134</v>
      </c>
      <c r="C34" s="236">
        <v>507365184.07057601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227</v>
      </c>
      <c r="C40" s="273"/>
      <c r="D40" s="274"/>
      <c r="E40" s="66" t="s">
        <v>137</v>
      </c>
      <c r="F40" s="174">
        <f ca="1">IF(MONTH(TODAY())=9,DAY(TODAY())/DAY(EOMONTH(TODAY(),0)),IF(MONTH(TODAY())&gt;9,1,0))</f>
        <v>0.93333333333333335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3639221204.1870084</v>
      </c>
      <c r="F42" s="176">
        <f>IFERROR(E42/D42,0)</f>
        <v>0.80660323362078046</v>
      </c>
      <c r="G42" s="184">
        <f>D42*$H$40-E42</f>
        <v>646975527.82741785</v>
      </c>
      <c r="H42" s="184">
        <f ca="1">IFERROR(G42/$C$3,0)</f>
        <v>215658509.27580595</v>
      </c>
      <c r="I42" s="204">
        <f>D42*$J$40-E42</f>
        <v>872564829.51238775</v>
      </c>
      <c r="J42" s="204">
        <f ca="1">IFERROR(I42/$C$3,0)</f>
        <v>290854943.17079592</v>
      </c>
      <c r="K42" s="185">
        <f>D42*$L$40-E42</f>
        <v>872564829.51238775</v>
      </c>
      <c r="L42" s="185">
        <f ca="1">IFERROR(K42/$C$3,0)</f>
        <v>290854943.17079592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1010129714.9858909</v>
      </c>
      <c r="F43" s="176">
        <f>IFERROR(E43/D43,0)</f>
        <v>0.72081826730416954</v>
      </c>
      <c r="G43" s="184">
        <f>D43*$H$40-E43</f>
        <v>321167330.00375319</v>
      </c>
      <c r="H43" s="184">
        <f ca="1">IFERROR(G43/$C$3,0)</f>
        <v>107055776.66791773</v>
      </c>
      <c r="I43" s="204">
        <f>D43*$J$40-E43</f>
        <v>391235595.52952409</v>
      </c>
      <c r="J43" s="204">
        <f ca="1">IFERROR(I43/$C$3,0)</f>
        <v>130411865.17650802</v>
      </c>
      <c r="K43" s="185">
        <f>D43*$L$40-E43</f>
        <v>391235595.52952409</v>
      </c>
      <c r="L43" s="185">
        <f ca="1">IFERROR(K43/$C$3,0)</f>
        <v>130411865.17650802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2506546531.6597452</v>
      </c>
      <c r="F44" s="176">
        <f>IFERROR(E44/D44,0)</f>
        <v>0.85117306714449736</v>
      </c>
      <c r="G44" s="184">
        <f>IF(D44=0,0,D44*$H$40-E44)</f>
        <v>291026954.85250568</v>
      </c>
      <c r="H44" s="184">
        <f ca="1">IFERROR(G44/$C$3,0)</f>
        <v>97008984.950835228</v>
      </c>
      <c r="I44" s="204">
        <f>IF(D44=0,0,D44*$J$40-E44)</f>
        <v>438267664.66894007</v>
      </c>
      <c r="J44" s="204">
        <f ca="1">IFERROR(I44/$C$3,0)</f>
        <v>146089221.55631337</v>
      </c>
      <c r="K44" s="185">
        <f>IF(D44=0,0,D44*$L$40-E44)</f>
        <v>438267664.66894007</v>
      </c>
      <c r="L44" s="185">
        <f ca="1">IFERROR(K44/$C$3,0)</f>
        <v>146089221.55631337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1730858462.8752089</v>
      </c>
      <c r="F45" s="176">
        <f>IFERROR(E45/D45,0)</f>
        <v>0.9945030287913792</v>
      </c>
      <c r="G45" s="184">
        <f>D45*$H$40-E45</f>
        <v>-77454207.556060076</v>
      </c>
      <c r="H45" s="184">
        <f ca="1">IFERROR(G45/$C$3,0)</f>
        <v>-25818069.185353357</v>
      </c>
      <c r="I45" s="204">
        <f>D45*$J$40-E45</f>
        <v>9567069.0396847725</v>
      </c>
      <c r="J45" s="204">
        <f ca="1">IFERROR(I45/$C$3,0)</f>
        <v>3189023.0132282577</v>
      </c>
      <c r="K45" s="185">
        <f>D45*$L$40-E45</f>
        <v>9567069.0396847725</v>
      </c>
      <c r="L45" s="185">
        <f ca="1">IFERROR(K45/$C$3,0)</f>
        <v>3189023.0132282577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10598391072.458391</v>
      </c>
      <c r="E46" s="47">
        <f>SUM(E42:E45)</f>
        <v>8886755913.7078533</v>
      </c>
      <c r="F46" s="177">
        <f>IFERROR(E46/D46,0)</f>
        <v>0.83850047171796716</v>
      </c>
      <c r="G46" s="181">
        <f>SUM(G42:G45)</f>
        <v>1181715605.1276166</v>
      </c>
      <c r="H46" s="181">
        <f ca="1">IFERROR(G46/$C$3,0)</f>
        <v>393905201.70920557</v>
      </c>
      <c r="I46" s="186">
        <f>SUM(I42:I45)</f>
        <v>1711635158.7505367</v>
      </c>
      <c r="J46" s="186">
        <f ca="1">IFERROR(I46/$C$3,0)</f>
        <v>570545052.91684556</v>
      </c>
      <c r="K46" s="186">
        <f>SUM(K42:K45)</f>
        <v>1711635158.7505367</v>
      </c>
      <c r="L46" s="186">
        <f ca="1">IFERROR(K46/$C$3,0)</f>
        <v>570545052.91684556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213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95%</v>
      </c>
      <c r="N49" s="266" t="str">
        <f>"PER HARI"&amp;CHAR(10)&amp;TEXT($H$40,"0%")</f>
        <v>PER HARI
95%</v>
      </c>
      <c r="O49" s="268" t="str">
        <f>"SELISIH"&amp;CHAR(10)&amp;TEXT($J$40,"0%")</f>
        <v>SELISIH
100%</v>
      </c>
      <c r="P49" s="268" t="str">
        <f>"PER HARI"&amp;CHAR(10)&amp;TEXT($J$40,"0%")</f>
        <v>PER HARI
100%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263996098.743774</v>
      </c>
      <c r="I51" s="114">
        <f t="shared" ref="I51:I64" si="2">SUMIF($B$10:$B$26,$T51,D$10:D$26)+SUMIF($B$10:$B$26,$U51,D$10:D$26)</f>
        <v>47932129.623447001</v>
      </c>
      <c r="J51" s="114">
        <f t="shared" ref="J51:J64" si="3">SUMIF($B$10:$B$26,$T51,E$10:E$26)+SUMIF($B$10:$B$26,$U51,E$10:E$26)</f>
        <v>143083924.36977699</v>
      </c>
      <c r="K51" s="114">
        <f t="shared" ref="K51:K64" si="4">SUM(H51:J51)</f>
        <v>455012152.73699796</v>
      </c>
      <c r="L51" s="187">
        <f t="shared" ref="L51:L65" si="5">IFERROR(K51/G51,0)</f>
        <v>0.88460514154766678</v>
      </c>
      <c r="M51" s="184">
        <f t="shared" ref="M51:M64" si="6">G51*$H$40-K51</f>
        <v>33636991.155475855</v>
      </c>
      <c r="N51" s="184">
        <f t="shared" ref="N51:N65" ca="1" si="7">IFERROR(M51/$C$3,0)</f>
        <v>11212330.385158619</v>
      </c>
      <c r="O51" s="180">
        <f t="shared" ref="O51:O64" si="8">G51*$J$40-K51</f>
        <v>59355367.149816632</v>
      </c>
      <c r="P51" s="180">
        <f t="shared" ref="P51:P65" ca="1" si="9">IFERROR(O51/$C$3,0)</f>
        <v>19785122.383272212</v>
      </c>
      <c r="Q51" s="185">
        <f t="shared" ref="Q51:Q64" si="10">G51*$L$40-K51</f>
        <v>59355367.149816632</v>
      </c>
      <c r="R51" s="185">
        <f t="shared" ref="R51:R65" ca="1" si="11">IFERROR(Q51/$C$3,0)</f>
        <v>19785122.383272212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190296308.25788501</v>
      </c>
      <c r="I52" s="114">
        <f t="shared" si="2"/>
        <v>90821909.251477003</v>
      </c>
      <c r="J52" s="114">
        <f t="shared" si="3"/>
        <v>353645050.73910099</v>
      </c>
      <c r="K52" s="114">
        <f t="shared" si="4"/>
        <v>634763268.24846292</v>
      </c>
      <c r="L52" s="187">
        <f t="shared" si="5"/>
        <v>0.80807634657889726</v>
      </c>
      <c r="M52" s="184">
        <f t="shared" si="6"/>
        <v>111484419.10067153</v>
      </c>
      <c r="N52" s="184">
        <f t="shared" ca="1" si="7"/>
        <v>37161473.033557177</v>
      </c>
      <c r="O52" s="180">
        <f t="shared" si="8"/>
        <v>150760613.17167866</v>
      </c>
      <c r="P52" s="180">
        <f t="shared" ca="1" si="9"/>
        <v>50253537.72389289</v>
      </c>
      <c r="Q52" s="185">
        <f t="shared" si="10"/>
        <v>150760613.17167866</v>
      </c>
      <c r="R52" s="185">
        <f t="shared" ca="1" si="11"/>
        <v>50253537.72389289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67261858.116620064</v>
      </c>
      <c r="O53" s="180">
        <f t="shared" si="8"/>
        <v>214933229.60301074</v>
      </c>
      <c r="P53" s="180">
        <f t="shared" ca="1" si="9"/>
        <v>71644409.867670253</v>
      </c>
      <c r="Q53" s="185">
        <f t="shared" si="10"/>
        <v>214933229.60301074</v>
      </c>
      <c r="R53" s="185">
        <f t="shared" ca="1" si="11"/>
        <v>71644409.867670253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482508837.979559</v>
      </c>
      <c r="I54" s="114">
        <f t="shared" si="2"/>
        <v>43096712.549465001</v>
      </c>
      <c r="J54" s="114">
        <f t="shared" si="3"/>
        <v>151436270.519853</v>
      </c>
      <c r="K54" s="114">
        <f t="shared" si="4"/>
        <v>677041821.048877</v>
      </c>
      <c r="L54" s="187">
        <f t="shared" si="5"/>
        <v>0.93170233503359501</v>
      </c>
      <c r="M54" s="184">
        <f t="shared" si="6"/>
        <v>13296397.297695279</v>
      </c>
      <c r="N54" s="184">
        <f t="shared" ca="1" si="7"/>
        <v>4432132.432565093</v>
      </c>
      <c r="O54" s="180">
        <f t="shared" si="8"/>
        <v>49629987.736988544</v>
      </c>
      <c r="P54" s="180">
        <f t="shared" ca="1" si="9"/>
        <v>16543329.245662848</v>
      </c>
      <c r="Q54" s="185">
        <f t="shared" si="10"/>
        <v>49629987.736988544</v>
      </c>
      <c r="R54" s="185">
        <f t="shared" ca="1" si="11"/>
        <v>16543329.245662848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32629360.699999999</v>
      </c>
      <c r="J55" s="114">
        <f t="shared" si="3"/>
        <v>271000001.35890001</v>
      </c>
      <c r="K55" s="114">
        <f t="shared" si="4"/>
        <v>309302785.47889799</v>
      </c>
      <c r="L55" s="187">
        <f t="shared" si="5"/>
        <v>0.57576733052634521</v>
      </c>
      <c r="M55" s="184">
        <f t="shared" si="6"/>
        <v>201038164.11325336</v>
      </c>
      <c r="N55" s="184">
        <f t="shared" ca="1" si="7"/>
        <v>67012721.371084452</v>
      </c>
      <c r="O55" s="180">
        <f t="shared" si="8"/>
        <v>227898214.09178764</v>
      </c>
      <c r="P55" s="180">
        <f t="shared" ca="1" si="9"/>
        <v>75966071.363929212</v>
      </c>
      <c r="Q55" s="185">
        <f t="shared" si="10"/>
        <v>227898214.09178764</v>
      </c>
      <c r="R55" s="185">
        <f t="shared" ca="1" si="11"/>
        <v>75966071.363929212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190036588.29052001</v>
      </c>
      <c r="I56" s="114">
        <f t="shared" si="2"/>
        <v>55882903.289934002</v>
      </c>
      <c r="J56" s="114">
        <f t="shared" si="3"/>
        <v>151739974.348151</v>
      </c>
      <c r="K56" s="114">
        <f t="shared" si="4"/>
        <v>397659465.92860502</v>
      </c>
      <c r="L56" s="187">
        <f t="shared" si="5"/>
        <v>0.69164664835026324</v>
      </c>
      <c r="M56" s="184">
        <f t="shared" si="6"/>
        <v>148539223.14660245</v>
      </c>
      <c r="N56" s="184">
        <f t="shared" ca="1" si="7"/>
        <v>49513074.382200815</v>
      </c>
      <c r="O56" s="180">
        <f t="shared" si="8"/>
        <v>177286522.57161337</v>
      </c>
      <c r="P56" s="180">
        <f t="shared" ca="1" si="9"/>
        <v>59095507.523871124</v>
      </c>
      <c r="Q56" s="185">
        <f t="shared" si="10"/>
        <v>177286522.57161337</v>
      </c>
      <c r="R56" s="185">
        <f t="shared" ca="1" si="11"/>
        <v>59095507.523871124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491342417.01869798</v>
      </c>
      <c r="I57" s="114">
        <f t="shared" si="2"/>
        <v>56669125.779923998</v>
      </c>
      <c r="J57" s="114">
        <f t="shared" si="3"/>
        <v>312947839.26937002</v>
      </c>
      <c r="K57" s="114">
        <f t="shared" si="4"/>
        <v>860959382.06799197</v>
      </c>
      <c r="L57" s="187">
        <f t="shared" si="5"/>
        <v>0.7762096561139098</v>
      </c>
      <c r="M57" s="184">
        <f t="shared" si="6"/>
        <v>192765480.18051732</v>
      </c>
      <c r="N57" s="184">
        <f t="shared" ca="1" si="7"/>
        <v>64255160.060172439</v>
      </c>
      <c r="O57" s="180">
        <f t="shared" si="8"/>
        <v>248224683.45675468</v>
      </c>
      <c r="P57" s="180">
        <f t="shared" ca="1" si="9"/>
        <v>82741561.152251557</v>
      </c>
      <c r="Q57" s="185">
        <f t="shared" si="10"/>
        <v>248224683.45675468</v>
      </c>
      <c r="R57" s="185">
        <f t="shared" ca="1" si="11"/>
        <v>82741561.152251557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255492042.620024</v>
      </c>
      <c r="I58" s="114">
        <f t="shared" si="2"/>
        <v>67695304.759942994</v>
      </c>
      <c r="J58" s="114">
        <f t="shared" si="3"/>
        <v>183532696.38125801</v>
      </c>
      <c r="K58" s="114">
        <f t="shared" si="4"/>
        <v>506720043.76122499</v>
      </c>
      <c r="L58" s="187">
        <f t="shared" si="5"/>
        <v>0.82449693498475674</v>
      </c>
      <c r="M58" s="184">
        <f t="shared" si="6"/>
        <v>77131782.906952381</v>
      </c>
      <c r="N58" s="184">
        <f t="shared" ca="1" si="7"/>
        <v>25710594.302317459</v>
      </c>
      <c r="O58" s="180">
        <f t="shared" si="8"/>
        <v>107860826.41580391</v>
      </c>
      <c r="P58" s="180">
        <f t="shared" ca="1" si="9"/>
        <v>35953608.805267967</v>
      </c>
      <c r="Q58" s="185">
        <f t="shared" si="10"/>
        <v>107860826.41580391</v>
      </c>
      <c r="R58" s="185">
        <f t="shared" ca="1" si="11"/>
        <v>35953608.805267967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206615067.16</v>
      </c>
      <c r="I59" s="114">
        <f t="shared" si="2"/>
        <v>0</v>
      </c>
      <c r="J59" s="114">
        <f t="shared" si="3"/>
        <v>0</v>
      </c>
      <c r="K59" s="114">
        <f t="shared" si="4"/>
        <v>206615067.16</v>
      </c>
      <c r="L59" s="187">
        <f t="shared" si="5"/>
        <v>0.46550996077929907</v>
      </c>
      <c r="M59" s="184">
        <f t="shared" si="6"/>
        <v>215039312.63759902</v>
      </c>
      <c r="N59" s="184">
        <f t="shared" ca="1" si="7"/>
        <v>71679770.879199669</v>
      </c>
      <c r="O59" s="180">
        <f t="shared" si="8"/>
        <v>237231648.41642001</v>
      </c>
      <c r="P59" s="180">
        <f t="shared" ca="1" si="9"/>
        <v>79077216.138806671</v>
      </c>
      <c r="Q59" s="185">
        <f t="shared" si="10"/>
        <v>237231648.41642001</v>
      </c>
      <c r="R59" s="185">
        <f t="shared" ca="1" si="11"/>
        <v>79077216.138806671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334965416.39326602</v>
      </c>
      <c r="I60" s="114">
        <f t="shared" si="2"/>
        <v>81584972.886524007</v>
      </c>
      <c r="J60" s="114">
        <f t="shared" si="3"/>
        <v>97847527.472525001</v>
      </c>
      <c r="K60" s="114">
        <f t="shared" si="4"/>
        <v>514397916.75231504</v>
      </c>
      <c r="L60" s="187">
        <f t="shared" si="5"/>
        <v>0.88813909839838412</v>
      </c>
      <c r="M60" s="184">
        <f t="shared" si="6"/>
        <v>35828981.034249425</v>
      </c>
      <c r="N60" s="184">
        <f t="shared" ca="1" si="7"/>
        <v>11942993.678083142</v>
      </c>
      <c r="O60" s="180">
        <f t="shared" si="8"/>
        <v>64788291.44406867</v>
      </c>
      <c r="P60" s="180">
        <f t="shared" ca="1" si="9"/>
        <v>21596097.14802289</v>
      </c>
      <c r="Q60" s="185">
        <f t="shared" si="10"/>
        <v>64788291.44406867</v>
      </c>
      <c r="R60" s="185">
        <f t="shared" ca="1" si="11"/>
        <v>21596097.14802289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440052239.37646002</v>
      </c>
      <c r="I61" s="114">
        <f t="shared" si="2"/>
        <v>59219998.644919001</v>
      </c>
      <c r="J61" s="114">
        <f t="shared" si="3"/>
        <v>200790750.04987699</v>
      </c>
      <c r="K61" s="114">
        <f t="shared" si="4"/>
        <v>700062988.07125592</v>
      </c>
      <c r="L61" s="187">
        <f t="shared" si="5"/>
        <v>0.97693276649430749</v>
      </c>
      <c r="M61" s="184">
        <f t="shared" si="6"/>
        <v>-19299826.595733523</v>
      </c>
      <c r="N61" s="184">
        <f t="shared" ca="1" si="7"/>
        <v>-6433275.5319111748</v>
      </c>
      <c r="O61" s="180">
        <f t="shared" si="8"/>
        <v>16529813.481925607</v>
      </c>
      <c r="P61" s="180">
        <f t="shared" ca="1" si="9"/>
        <v>5509937.8273085356</v>
      </c>
      <c r="Q61" s="185">
        <f t="shared" si="10"/>
        <v>16529813.481925607</v>
      </c>
      <c r="R61" s="185">
        <f t="shared" ca="1" si="11"/>
        <v>5509937.8273085356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133182163.255797</v>
      </c>
      <c r="I62" s="114">
        <f t="shared" si="2"/>
        <v>39865291.477794997</v>
      </c>
      <c r="J62" s="114">
        <f t="shared" si="3"/>
        <v>191182198.64701799</v>
      </c>
      <c r="K62" s="114">
        <f t="shared" si="4"/>
        <v>364229653.38060999</v>
      </c>
      <c r="L62" s="187">
        <f t="shared" si="5"/>
        <v>0.76354694998112371</v>
      </c>
      <c r="M62" s="184">
        <f t="shared" si="6"/>
        <v>88942441.302151442</v>
      </c>
      <c r="N62" s="184">
        <f t="shared" ca="1" si="7"/>
        <v>29647480.434050482</v>
      </c>
      <c r="O62" s="180">
        <f t="shared" si="8"/>
        <v>112793604.18019152</v>
      </c>
      <c r="P62" s="180">
        <f t="shared" ca="1" si="9"/>
        <v>37597868.060063839</v>
      </c>
      <c r="Q62" s="185">
        <f t="shared" si="10"/>
        <v>112793604.18019152</v>
      </c>
      <c r="R62" s="185">
        <f t="shared" ca="1" si="11"/>
        <v>37597868.060063839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480229048.13510603</v>
      </c>
      <c r="I63" s="114">
        <f t="shared" si="2"/>
        <v>286587088.43090999</v>
      </c>
      <c r="J63" s="114">
        <f t="shared" si="3"/>
        <v>283835544.43512303</v>
      </c>
      <c r="K63" s="114">
        <f t="shared" si="4"/>
        <v>1050651681.0011389</v>
      </c>
      <c r="L63" s="187">
        <f t="shared" si="5"/>
        <v>1.0732171476520032</v>
      </c>
      <c r="M63" s="184">
        <f t="shared" si="6"/>
        <v>-120626383.5720228</v>
      </c>
      <c r="N63" s="184">
        <f t="shared" ca="1" si="7"/>
        <v>-40208794.524007596</v>
      </c>
      <c r="O63" s="180">
        <f t="shared" si="8"/>
        <v>-71677683.707332373</v>
      </c>
      <c r="P63" s="180">
        <f t="shared" ca="1" si="9"/>
        <v>-23892561.235777456</v>
      </c>
      <c r="Q63" s="185">
        <f t="shared" si="10"/>
        <v>-71677683.707332373</v>
      </c>
      <c r="R63" s="185">
        <f t="shared" ca="1" si="11"/>
        <v>-23892561.235777456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116811678.075921</v>
      </c>
      <c r="I64" s="114">
        <f t="shared" si="2"/>
        <v>148144917.591553</v>
      </c>
      <c r="J64" s="114">
        <f t="shared" si="3"/>
        <v>165504754.06879202</v>
      </c>
      <c r="K64" s="114">
        <f t="shared" si="4"/>
        <v>430461349.73626602</v>
      </c>
      <c r="L64" s="187">
        <f t="shared" si="5"/>
        <v>0.80173191988298831</v>
      </c>
      <c r="M64" s="184">
        <f t="shared" si="6"/>
        <v>79607255.62640518</v>
      </c>
      <c r="N64" s="184">
        <f t="shared" ca="1" si="7"/>
        <v>26535751.875468392</v>
      </c>
      <c r="O64" s="180">
        <f t="shared" si="8"/>
        <v>106452971.69812477</v>
      </c>
      <c r="P64" s="180">
        <f t="shared" ca="1" si="9"/>
        <v>35484323.899374925</v>
      </c>
      <c r="Q64" s="185">
        <f t="shared" si="10"/>
        <v>106452971.69812477</v>
      </c>
      <c r="R64" s="185">
        <f t="shared" ca="1" si="11"/>
        <v>35484323.899374925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3639221204.1870084</v>
      </c>
      <c r="I65" s="135">
        <f t="shared" si="12"/>
        <v>1010129714.9858909</v>
      </c>
      <c r="J65" s="135">
        <f t="shared" si="12"/>
        <v>2506546531.6597452</v>
      </c>
      <c r="K65" s="135">
        <f t="shared" si="12"/>
        <v>7155897450.8326426</v>
      </c>
      <c r="L65" s="189">
        <f t="shared" si="5"/>
        <v>0.80784886982000847</v>
      </c>
      <c r="M65" s="181">
        <f>SUM(M51:M64)</f>
        <v>1259169812.6836772</v>
      </c>
      <c r="N65" s="181">
        <f t="shared" ca="1" si="7"/>
        <v>419723270.89455909</v>
      </c>
      <c r="O65" s="181">
        <f>SUM(O51:O64)</f>
        <v>1702068089.7108521</v>
      </c>
      <c r="P65" s="181">
        <f t="shared" ca="1" si="9"/>
        <v>567356029.90361738</v>
      </c>
      <c r="Q65" s="186">
        <f>SUM(Q51:Q64)</f>
        <v>1702068089.7108521</v>
      </c>
      <c r="R65" s="186">
        <f t="shared" ca="1" si="11"/>
        <v>567356029.90361738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259365932.35194299</v>
      </c>
      <c r="F69" s="187">
        <f t="shared" ref="F69:F74" si="13">IFERROR(E69/D69,0)</f>
        <v>1.012130099633723</v>
      </c>
      <c r="G69" s="184">
        <f>D69*$H$40-E69</f>
        <v>-15921304.212226599</v>
      </c>
      <c r="H69" s="184">
        <f t="shared" ref="H69:H74" ca="1" si="14">IFERROR(G69/$C$3,0)</f>
        <v>-5307101.4040755332</v>
      </c>
      <c r="I69" s="204">
        <f>D69*$J$40-E69</f>
        <v>-3108429.0469783545</v>
      </c>
      <c r="J69" s="204">
        <f t="shared" ref="J69:J74" ca="1" si="15">IFERROR(I69/$C$3,0)</f>
        <v>-1036143.0156594515</v>
      </c>
      <c r="K69" s="185">
        <f>D69*$L$40-E69</f>
        <v>-3108429.0469783545</v>
      </c>
      <c r="L69" s="185">
        <f t="shared" ref="L69:L74" ca="1" si="16">IFERROR(K69/$C$3,0)</f>
        <v>-1036143.0156594515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457145084.04292297</v>
      </c>
      <c r="F70" s="187">
        <f t="shared" si="13"/>
        <v>1.1441257897831596</v>
      </c>
      <c r="G70" s="184">
        <f>D70*$H$40-E70</f>
        <v>-77564592.353206635</v>
      </c>
      <c r="H70" s="184">
        <f t="shared" ca="1" si="14"/>
        <v>-25854864.117735546</v>
      </c>
      <c r="I70" s="204">
        <f>D70*$J$40-E70</f>
        <v>-57586671.737958372</v>
      </c>
      <c r="J70" s="204">
        <f t="shared" ca="1" si="15"/>
        <v>-19195557.245986123</v>
      </c>
      <c r="K70" s="185">
        <f>D70*$L$40-E70</f>
        <v>-57586671.737958372</v>
      </c>
      <c r="L70" s="185">
        <f t="shared" ca="1" si="16"/>
        <v>-19195557.245986123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1014347446.480343</v>
      </c>
      <c r="F71" s="187">
        <f t="shared" si="13"/>
        <v>0.9352189315230397</v>
      </c>
      <c r="G71" s="184">
        <f>D71*$H$40-E71</f>
        <v>16031689.009373307</v>
      </c>
      <c r="H71" s="184">
        <f t="shared" ca="1" si="14"/>
        <v>5343896.3364577694</v>
      </c>
      <c r="I71" s="204">
        <f>D71*$J$40-E71</f>
        <v>70262169.824621558</v>
      </c>
      <c r="J71" s="204">
        <f t="shared" ca="1" si="15"/>
        <v>23420723.274873853</v>
      </c>
      <c r="K71" s="185">
        <f>D71*$L$40-E71</f>
        <v>70262169.824621558</v>
      </c>
      <c r="L71" s="185">
        <f t="shared" ca="1" si="16"/>
        <v>23420723.274873853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1730858462.8752089</v>
      </c>
      <c r="F74" s="177">
        <f t="shared" si="13"/>
        <v>0.9945030287913792</v>
      </c>
      <c r="G74" s="181">
        <f>SUM(G69:G73)</f>
        <v>-77454207.556059927</v>
      </c>
      <c r="H74" s="181">
        <f t="shared" ca="1" si="14"/>
        <v>-25818069.185353309</v>
      </c>
      <c r="I74" s="186">
        <f>SUM(I69:I73)</f>
        <v>9567069.0396848321</v>
      </c>
      <c r="J74" s="186">
        <f t="shared" ca="1" si="15"/>
        <v>3189023.0132282772</v>
      </c>
      <c r="K74" s="186">
        <f>SUM(K69:K73)</f>
        <v>9567069.0396848321</v>
      </c>
      <c r="L74" s="186">
        <f t="shared" ca="1" si="16"/>
        <v>3189023.0132282772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414273536.65985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154511547.07999998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383780696.16973501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7"/>
        <v>65782612.399999999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990682602.56996906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315237664.88943499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579669561.29943395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155970460.17992401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18820757.1204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154461084.31800002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3307040342.9767461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163</v>
      </c>
      <c r="C40" s="273"/>
      <c r="D40" s="274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175</v>
      </c>
      <c r="C40" s="273"/>
      <c r="D40" s="274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72" t="s">
        <v>177</v>
      </c>
      <c r="C40" s="273"/>
      <c r="D40" s="274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5" t="s">
        <v>146</v>
      </c>
      <c r="C48" s="276"/>
      <c r="D48" s="276"/>
      <c r="E48" s="276"/>
      <c r="F48" s="276"/>
      <c r="G48" s="276"/>
      <c r="H48" s="276"/>
      <c r="I48" s="276"/>
      <c r="J48" s="276"/>
      <c r="K48" s="276"/>
      <c r="L48" s="286"/>
      <c r="M48" s="263" t="s">
        <v>186</v>
      </c>
      <c r="N48" s="264"/>
      <c r="O48" s="264"/>
      <c r="P48" s="264"/>
      <c r="Q48" s="264"/>
      <c r="R48" s="265"/>
    </row>
    <row r="49" spans="2:21" ht="17.100000000000001" customHeight="1" x14ac:dyDescent="0.25">
      <c r="B49" s="287" t="s">
        <v>41</v>
      </c>
      <c r="C49" s="287" t="s">
        <v>42</v>
      </c>
      <c r="D49" s="256" t="s">
        <v>137</v>
      </c>
      <c r="E49" s="257"/>
      <c r="F49" s="257"/>
      <c r="G49" s="258"/>
      <c r="H49" s="288" t="s">
        <v>138</v>
      </c>
      <c r="I49" s="289"/>
      <c r="J49" s="289"/>
      <c r="K49" s="290"/>
      <c r="L49" s="291" t="s">
        <v>139</v>
      </c>
      <c r="M49" s="266" t="str">
        <f>"SELISIH"&amp;CHAR(10)&amp;TEXT($H$40,"0%")</f>
        <v>SELISIH
90%</v>
      </c>
      <c r="N49" s="266" t="str">
        <f>"PER HARI"&amp;CHAR(10)&amp;TEXT($H$40,"0%")</f>
        <v>PER HARI
90%</v>
      </c>
      <c r="O49" s="268" t="str">
        <f>"SELISIH"&amp;CHAR(10)&amp;TEXT($J$40,"0%")</f>
        <v>SELISIH
95%</v>
      </c>
      <c r="P49" s="268" t="str">
        <f>"PER HARI"&amp;CHAR(10)&amp;TEXT($J$40,"0%")</f>
        <v>PER HARI
95%</v>
      </c>
      <c r="Q49" s="270" t="str">
        <f>"SELISIH"&amp;CHAR(10)&amp;TEXT($L$40,"0%")</f>
        <v>SELISIH
100%</v>
      </c>
      <c r="R49" s="270" t="str">
        <f>"PER HARI"&amp;CHAR(10)&amp;TEXT($L$40,"0%")</f>
        <v>PER HARI
100%</v>
      </c>
    </row>
    <row r="50" spans="2:21" ht="17.100000000000001" customHeight="1" x14ac:dyDescent="0.25">
      <c r="B50" s="262"/>
      <c r="C50" s="262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67"/>
      <c r="N50" s="267"/>
      <c r="O50" s="269"/>
      <c r="P50" s="269"/>
      <c r="Q50" s="271"/>
      <c r="R50" s="271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3" t="s">
        <v>144</v>
      </c>
      <c r="C67" s="294"/>
      <c r="D67" s="294"/>
      <c r="E67" s="294"/>
      <c r="F67" s="296"/>
      <c r="G67" s="263" t="s">
        <v>186</v>
      </c>
      <c r="H67" s="264"/>
      <c r="I67" s="264"/>
      <c r="J67" s="264"/>
      <c r="K67" s="264"/>
      <c r="L67" s="26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62" t="s">
        <v>41</v>
      </c>
      <c r="C78" s="262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2026-09-28T00:54:16Z</dcterms:modified>
  <dc:language>en-US</dc:language>
</cp:coreProperties>
</file>