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1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72" i="10"/>
  <c r="I72" i="10"/>
  <c r="K72" i="10"/>
  <c r="G73" i="10"/>
  <c r="I73" i="10"/>
  <c r="K73" i="10"/>
  <c r="G68" i="10"/>
  <c r="H68" i="10"/>
  <c r="I68" i="10"/>
  <c r="J68" i="10"/>
  <c r="K68" i="10"/>
  <c r="L68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H62" i="10" s="1"/>
  <c r="M17" i="10"/>
  <c r="G62" i="10" s="1"/>
  <c r="N16" i="10"/>
  <c r="M16" i="10"/>
  <c r="G61" i="10" s="1"/>
  <c r="N15" i="10"/>
  <c r="H60" i="10" s="1"/>
  <c r="M15" i="10"/>
  <c r="G60" i="10" s="1"/>
  <c r="N14" i="10"/>
  <c r="H58" i="10" s="1"/>
  <c r="M14" i="10"/>
  <c r="G58" i="10" s="1"/>
  <c r="N13" i="10"/>
  <c r="M13" i="10"/>
  <c r="G57" i="10" s="1"/>
  <c r="N12" i="10"/>
  <c r="H56" i="10" s="1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M8" i="10"/>
  <c r="G51" i="10" s="1"/>
  <c r="N7" i="10"/>
  <c r="M7" i="10"/>
  <c r="H63" i="10"/>
  <c r="H61" i="10"/>
  <c r="H59" i="10"/>
  <c r="G59" i="10"/>
  <c r="H57" i="10"/>
  <c r="H53" i="10"/>
  <c r="G53" i="10"/>
  <c r="H51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I58" i="10" l="1"/>
  <c r="I52" i="10"/>
  <c r="I57" i="10"/>
  <c r="I60" i="10"/>
  <c r="I62" i="10"/>
  <c r="G74" i="6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1"/>
  <c r="K46" i="11"/>
  <c r="K74" i="11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J72" i="10"/>
  <c r="H73" i="10"/>
  <c r="J73" i="10"/>
  <c r="H72" i="10"/>
  <c r="L72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F63" i="10" s="1"/>
  <c r="D62" i="10"/>
  <c r="D61" i="10"/>
  <c r="D60" i="10"/>
  <c r="D59" i="10"/>
  <c r="D58" i="10"/>
  <c r="D57" i="10"/>
  <c r="D56" i="10"/>
  <c r="D55" i="10"/>
  <c r="F55" i="10" s="1"/>
  <c r="D54" i="10"/>
  <c r="D53" i="10"/>
  <c r="F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F59" i="10"/>
  <c r="F58" i="10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I70" i="10" l="1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J53" i="10"/>
  <c r="K53" i="10"/>
  <c r="L53" i="10" s="1"/>
  <c r="O53" i="10"/>
  <c r="P53" i="10" s="1"/>
  <c r="M53" i="10"/>
  <c r="N53" i="10" s="1"/>
  <c r="J59" i="10"/>
  <c r="M59" i="10"/>
  <c r="N59" i="10" s="1"/>
  <c r="K59" i="10"/>
  <c r="L59" i="10" s="1"/>
  <c r="O59" i="10"/>
  <c r="P59" i="10" s="1"/>
  <c r="F51" i="10"/>
  <c r="J55" i="10"/>
  <c r="M55" i="10"/>
  <c r="N55" i="10" s="1"/>
  <c r="K55" i="10"/>
  <c r="L55" i="10" s="1"/>
  <c r="O55" i="10"/>
  <c r="P55" i="10" s="1"/>
  <c r="J58" i="10"/>
  <c r="K58" i="10"/>
  <c r="L58" i="10" s="1"/>
  <c r="O58" i="10"/>
  <c r="P58" i="10" s="1"/>
  <c r="M58" i="10"/>
  <c r="N58" i="10" s="1"/>
  <c r="J61" i="10"/>
  <c r="K61" i="10"/>
  <c r="L61" i="10" s="1"/>
  <c r="O61" i="10"/>
  <c r="P61" i="10" s="1"/>
  <c r="M61" i="10"/>
  <c r="N61" i="10" s="1"/>
  <c r="J63" i="10"/>
  <c r="M63" i="10"/>
  <c r="N63" i="10" s="1"/>
  <c r="K63" i="10"/>
  <c r="L63" i="10" s="1"/>
  <c r="O63" i="10"/>
  <c r="P63" i="10" s="1"/>
  <c r="D46" i="10"/>
  <c r="J53" i="12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F45" i="10"/>
  <c r="F53" i="11"/>
  <c r="J53" i="11" s="1"/>
  <c r="F70" i="11"/>
  <c r="F58" i="11"/>
  <c r="J58" i="11" s="1"/>
  <c r="F56" i="10"/>
  <c r="F64" i="10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L51" i="3"/>
  <c r="L59" i="3"/>
  <c r="D65" i="11"/>
  <c r="D65" i="13"/>
  <c r="F60" i="8"/>
  <c r="D74" i="9"/>
  <c r="F70" i="7"/>
  <c r="E65" i="11"/>
  <c r="D65" i="14"/>
  <c r="F61" i="7"/>
  <c r="F51" i="9"/>
  <c r="F62" i="10"/>
  <c r="F70" i="14"/>
  <c r="F57" i="10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G44" i="10" s="1"/>
  <c r="H44" i="10" s="1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K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G71" i="10" l="1"/>
  <c r="H71" i="10" s="1"/>
  <c r="K71" i="10"/>
  <c r="L71" i="10" s="1"/>
  <c r="I71" i="10"/>
  <c r="J71" i="10" s="1"/>
  <c r="I43" i="10"/>
  <c r="J43" i="10" s="1"/>
  <c r="G43" i="10"/>
  <c r="G46" i="10" s="1"/>
  <c r="H46" i="10" s="1"/>
  <c r="K44" i="10"/>
  <c r="L44" i="10" s="1"/>
  <c r="I44" i="10"/>
  <c r="J44" i="10" s="1"/>
  <c r="F74" i="10"/>
  <c r="I74" i="10"/>
  <c r="J74" i="10" s="1"/>
  <c r="J69" i="10"/>
  <c r="G74" i="10"/>
  <c r="H74" i="10" s="1"/>
  <c r="H69" i="10"/>
  <c r="L69" i="10"/>
  <c r="J64" i="10"/>
  <c r="K64" i="10"/>
  <c r="L64" i="10" s="1"/>
  <c r="O64" i="10"/>
  <c r="P64" i="10" s="1"/>
  <c r="M64" i="10"/>
  <c r="N64" i="10" s="1"/>
  <c r="J62" i="10"/>
  <c r="K62" i="10"/>
  <c r="L62" i="10" s="1"/>
  <c r="O62" i="10"/>
  <c r="P62" i="10" s="1"/>
  <c r="M62" i="10"/>
  <c r="N62" i="10" s="1"/>
  <c r="K52" i="10"/>
  <c r="L52" i="10" s="1"/>
  <c r="O52" i="10"/>
  <c r="P52" i="10" s="1"/>
  <c r="M52" i="10"/>
  <c r="N52" i="10" s="1"/>
  <c r="J51" i="10"/>
  <c r="M51" i="10"/>
  <c r="N51" i="10" s="1"/>
  <c r="K51" i="10"/>
  <c r="L51" i="10" s="1"/>
  <c r="O51" i="10"/>
  <c r="P51" i="10" s="1"/>
  <c r="J60" i="10"/>
  <c r="K60" i="10"/>
  <c r="L60" i="10" s="1"/>
  <c r="O60" i="10"/>
  <c r="P60" i="10" s="1"/>
  <c r="M60" i="10"/>
  <c r="N60" i="10" s="1"/>
  <c r="J56" i="10"/>
  <c r="K56" i="10"/>
  <c r="L56" i="10" s="1"/>
  <c r="O56" i="10"/>
  <c r="P56" i="10" s="1"/>
  <c r="M56" i="10"/>
  <c r="N56" i="10" s="1"/>
  <c r="J54" i="10"/>
  <c r="M54" i="10"/>
  <c r="N54" i="10" s="1"/>
  <c r="K54" i="10"/>
  <c r="L54" i="10" s="1"/>
  <c r="O54" i="10"/>
  <c r="P54" i="10" s="1"/>
  <c r="H43" i="10"/>
  <c r="J57" i="10"/>
  <c r="M57" i="10"/>
  <c r="K57" i="10"/>
  <c r="O57" i="10"/>
  <c r="K46" i="10"/>
  <c r="L46" i="10" s="1"/>
  <c r="L43" i="10"/>
  <c r="H43" i="13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K74" i="10" l="1"/>
  <c r="L74" i="10" s="1"/>
  <c r="I46" i="10"/>
  <c r="J46" i="10" s="1"/>
  <c r="O65" i="10"/>
  <c r="P65" i="10" s="1"/>
  <c r="P57" i="10"/>
  <c r="M65" i="10"/>
  <c r="N65" i="10" s="1"/>
  <c r="N57" i="10"/>
  <c r="K65" i="10"/>
  <c r="L65" i="10" s="1"/>
  <c r="L57" i="10"/>
  <c r="I46" i="9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<sst xmlns="http://schemas.openxmlformats.org/spreadsheetml/2006/main" count="1843" uniqueCount="193">
  <si>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</si>
  <si>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</si>
  <si>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</si>
  <si>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</si>
  <si>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</si>
  <si>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</si>
  <si>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</si>
  <si>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</si>
  <si>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</si>
  <si>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</si>
  <si>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</si>
  <si>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</si>
  <si>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</si>
  <si>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</si>
  <si>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</si>
  <si>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</si>
  <si>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</si>
  <si>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</si>
  <si>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</si>
  <si>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</si>
  <si>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</si>
  <si>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</si>
  <si>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</si>
  <si>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</si>
  <si>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</si>
  <si>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</si>
  <si>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</si>
  <si>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</si>
  <si>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</si>
  <si>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</si>
  <si>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</si>
  <si>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</si>
  <si>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</si>
  <si>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</si>
  <si>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</si>
  <si>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</si>
  <si>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</si>
  <si>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</si>
  <si>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</si>
  <si>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</si>
  <si>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</si>
  <si>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</si>
  <si>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</si>
  <si>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</si>
  <si>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</si>
  <si>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</si>
  <si>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</si>
  <si>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</si>
  <si>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</si>
  <si>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</si>
  <si>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</si>
  <si>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</si>
  <si>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</si>
  <si>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</si>
  <si>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</si>
  <si>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</si>
  <si>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</si>
  <si>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</si>
  <si>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</si>
  <si>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</si>
  <si>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</si>
  <si>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</si>
  <si>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</si>
  <si>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</si>
  <si>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</si>
  <si>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</si>
  <si>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</si>
  <si>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</si>
  <si>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</si>
  <si>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</si>
  <si>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</si>
  <si>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</si>
  <si>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</si>
  <si>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</si>
  <si>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</si>
  <si>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</si>
  <si>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</si>
  <si>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</si>
  <si>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</si>
  <si>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</si>
  <si>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</si>
  <si>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</si>
  <si>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</si>
  <si>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</si>
  <si>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</si>
  <si>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</si>
  <si>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</si>
  <si>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</si>
  <si>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</si>
  <si>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</si>
  <si>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</si>
  <si>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</si>
  <si>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</si>
  <si>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</si>
  <si>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</si>
  <si>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</si>
  <si>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</si>
  <si>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</si>
  <si>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</si>
  <si>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</si>
  <si>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</si>
  <si>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</si>
  <si>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</si>
  <si>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</si>
  <si>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</si>
  <si>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</si>
  <si>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</si>
  <si>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</si>
  <si>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</si>
  <si>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</si>
  <si>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</si>
  <si>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</si>
  <si>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</si>
  <si>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</si>
  <si>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</si>
  <si>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</si>
  <si>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</si>
  <si>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</si>
  <si>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</si>
  <si>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</si>
  <si>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</si>
  <si>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</si>
  <si>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</si>
  <si>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</si>
  <si>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</si>
  <si>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</si>
  <si>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</si>
  <si>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</si>
  <si>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</si>
  <si>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</si>
  <si>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</si>
  <si>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</si>
  <si>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</si>
  <si>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</si>
  <si>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</si>
  <si>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</si>
  <si>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</si>
  <si>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</si>
  <si>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</si>
  <si>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</si>
  <si>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</si>
  <si>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</si>
  <si>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</si>
  <si>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</si>
  <si>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</si>
  <si>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</si>
  <si>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</si>
  <si>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</si>
  <si>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</si>
  <si>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</si>
  <si>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</si>
  <si>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</si>
  <si>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</si>
  <si>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</si>
  <si>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</si>
  <si>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</si>
  <si>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</si>
  <si>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</si>
  <si>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</si>
  <si>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</si>
  <si>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</si>
  <si>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</si>
  <si>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</si>
  <si>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</si>
  <si>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</si>
  <si>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</si>
  <si>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</si>
  <si>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</si>
  <si>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</si>
  <si>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</si>
  <si>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</si>
  <si>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</si>
  <si>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</si>
  <si>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</si>
  <si>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</si>
  <si>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</si>
  <si>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</si>
  <si>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</si>
  <si>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</si>
  <si>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</si>
  <si>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</si>
  <si>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</si>
  <si>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</si>
  <si>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</si>
  <si>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</si>
  <si>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</si>
  <si>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</si>
  <si>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</si>
  <si>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</si>
  <si>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</si>
  <si>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</si>
  <si>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</si>
  <si>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DATA PENCAPAIAN — GLOBAL — 7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</si>
</sst>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A29"/>
  <sheetViews>
    <sheetView showGridLines="0" topLeftCell="F4" zoomScale="110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12.85546875" bestFit="1" customWidth="1"/>
    <col min="19" max="19" width="11.2851562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5" t="s">
        <v>28</v>
      </c>
      <c r="C3" s="23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505234708.40059847</v>
      </c>
      <c r="S5" s="7">
        <v>60640123.605248079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671454691.1268847</v>
      </c>
      <c r="S6" s="7">
        <v>165576502.41228893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174</v>
      </c>
      <c r="C7" s="138" t="s">
        <v>175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>
        <v>262953105.06301075</v>
      </c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742384808.84903777</v>
      </c>
      <c r="S8" s="7">
        <v>35794312.055859983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183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496309709.75250041</v>
      </c>
      <c r="S9" s="7">
        <v>54597557.63085559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519189534.27822161</v>
      </c>
      <c r="S10" s="7">
        <v>107263766.34102874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1075242934.3238537</v>
      </c>
      <c r="S11" s="7">
        <v>85448443.319925025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577111702.00922382</v>
      </c>
      <c r="S12" s="7">
        <v>88976480.286837116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174</v>
      </c>
      <c r="C13" s="138" t="s">
        <v>176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>
        <v>443846715.57642001</v>
      </c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528718642.70198309</v>
      </c>
      <c r="S14" s="7">
        <v>101974877.61343271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712842707.51473606</v>
      </c>
      <c r="S15" s="7">
        <v>55257406.157477453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495867895.49250114</v>
      </c>
      <c r="S16" s="7">
        <v>32662674.187332422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720052460.26793551</v>
      </c>
      <c r="S17" s="7">
        <v>310428849.14490294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392599628.84267223</v>
      </c>
      <c r="S18" s="7">
        <v>195822004.71075061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168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167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167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9" t="s">
        <v>146</v>
      </c>
      <c r="C44" s="25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1" t="s">
        <v>41</v>
      </c>
      <c r="C47" s="251" t="s">
        <v>42</v>
      </c>
      <c r="D47" s="246" t="s">
        <v>138</v>
      </c>
      <c r="E47" s="247"/>
      <c r="F47" s="248"/>
      <c r="G47" s="70" t="s">
        <v>139</v>
      </c>
      <c r="H47" s="70"/>
      <c r="I47" s="70"/>
      <c r="J47" s="251" t="s">
        <v>140</v>
      </c>
      <c r="K47" s="35" t="s">
        <v>148</v>
      </c>
      <c r="L47" s="35"/>
      <c r="M47" s="35"/>
      <c r="N47" s="245" t="s">
        <v>149</v>
      </c>
    </row>
    <row r="48" spans="2:17" ht="15.75" x14ac:dyDescent="0.25">
      <c r="B48" s="251"/>
      <c r="C48" s="251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1"/>
      <c r="K48" s="34" t="s">
        <v>143</v>
      </c>
      <c r="L48" s="34" t="s">
        <v>111</v>
      </c>
      <c r="M48" s="34" t="s">
        <v>146</v>
      </c>
      <c r="N48" s="245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167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167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167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167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171</v>
      </c>
      <c r="C22" s="15">
        <v>38884328.600000001</v>
      </c>
      <c r="D22" s="15" t="s">
        <v>167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172</v>
      </c>
      <c r="C23" s="15">
        <v>120550492.72</v>
      </c>
      <c r="D23" s="15" t="s">
        <v>167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167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187</v>
      </c>
    </row>
    <row r="41" spans="2:19" ht="27.95" customHeight="1" x14ac:dyDescent="0.25">
      <c r="B41" s="252" t="s">
        <v>180</v>
      </c>
      <c r="C41" s="253"/>
      <c r="D41" s="254"/>
      <c r="E41" s="67" t="s">
        <v>138</v>
      </c>
      <c r="F41" s="185"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9" t="s">
        <v>146</v>
      </c>
      <c r="C46" s="250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  <c r="Q48"/>
      <c r="R48"/>
    </row>
    <row r="49" spans="2:18" s="148" customFormat="1" ht="33.950000000000003" customHeight="1" x14ac:dyDescent="0.25">
      <c r="B49" s="260" t="s">
        <v>41</v>
      </c>
      <c r="C49" s="260" t="s">
        <v>42</v>
      </c>
      <c r="D49" s="257" t="s">
        <v>138</v>
      </c>
      <c r="E49" s="258"/>
      <c r="F49" s="259"/>
      <c r="G49" s="149" t="s">
        <v>139</v>
      </c>
      <c r="H49" s="149"/>
      <c r="I49" s="149"/>
      <c r="J49" s="257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68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0"/>
      <c r="C50" s="260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57"/>
      <c r="K50" s="265"/>
      <c r="L50" s="265"/>
      <c r="M50" s="267"/>
      <c r="N50" s="202"/>
      <c r="O50" s="196"/>
      <c r="P50" s="269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174</v>
      </c>
      <c r="C53" s="164" t="s">
        <v>175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174</v>
      </c>
      <c r="C59" s="164" t="s">
        <v>176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55" t="s">
        <v>145</v>
      </c>
      <c r="C67" s="256"/>
      <c r="D67" s="256"/>
      <c r="E67" s="256"/>
      <c r="F67" s="256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173</v>
      </c>
      <c r="C77" s="128"/>
      <c r="D77" s="129"/>
      <c r="G77"/>
      <c r="H77"/>
      <c r="I77"/>
    </row>
    <row r="78" spans="1:19" ht="20.100000000000001" customHeight="1" x14ac:dyDescent="0.25">
      <c r="B78" s="251" t="s">
        <v>41</v>
      </c>
      <c r="C78" s="251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1"/>
      <c r="C79" s="251"/>
      <c r="D79" s="71" t="s">
        <v>170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174</v>
      </c>
      <c r="C82" s="162" t="s">
        <v>175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174</v>
      </c>
      <c r="C88" s="162" t="s">
        <v>176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78:B79"/>
    <mergeCell ref="C78:C79"/>
    <mergeCell ref="K48:P48"/>
    <mergeCell ref="K49:K50"/>
    <mergeCell ref="L49:L50"/>
    <mergeCell ref="M49:M50"/>
    <mergeCell ref="P49:P50"/>
    <mergeCell ref="B41:D41"/>
    <mergeCell ref="B48:J48"/>
    <mergeCell ref="B67:F67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21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167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171</v>
      </c>
      <c r="C22" s="15">
        <v>197567845.80000001</v>
      </c>
      <c r="D22" s="15" t="s">
        <v>167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172</v>
      </c>
      <c r="C23" s="15">
        <v>300521523.82997501</v>
      </c>
      <c r="D23" s="15" t="s">
        <v>167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70" t="s">
        <v>181</v>
      </c>
      <c r="C41" s="271"/>
      <c r="D41" s="272"/>
      <c r="E41" s="67" t="s">
        <v>138</v>
      </c>
      <c r="F41" s="185">
        <v>0.97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-2434945.3803996583</v>
      </c>
      <c r="I43" s="218">
        <f>D43*$J$41-E43</f>
        <v>290830113.6116066</v>
      </c>
      <c r="J43" s="218">
        <f ca="1">IFERROR(I43/$C$3,0)</f>
        <v>13849053.029124124</v>
      </c>
      <c r="K43" s="198">
        <f>D43*$L$41-E43</f>
        <v>632794080.21160698</v>
      </c>
      <c r="L43" s="198">
        <f ca="1">IFERROR(K43/$C$3,0)</f>
        <v>30133051.438647952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19431468.918793075</v>
      </c>
      <c r="I44" s="218">
        <f>D44*$J$41-E44</f>
        <v>481824088.50567269</v>
      </c>
      <c r="J44" s="218">
        <f ca="1">IFERROR(I44/$C$3,0)</f>
        <v>22944004.214555841</v>
      </c>
      <c r="K44" s="198">
        <f>D44*$L$41-E44</f>
        <v>555587329.71669078</v>
      </c>
      <c r="L44" s="198">
        <f ca="1">IFERROR(K44/$C$3,0)</f>
        <v>26456539.510318607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-3263112.2667006082</v>
      </c>
      <c r="I45" s="218">
        <f>D45*$J$41-E45</f>
        <v>20623578.569499731</v>
      </c>
      <c r="J45" s="218">
        <f ca="1">IFERROR(I45/$C$3,0)</f>
        <v>982075.16997617763</v>
      </c>
      <c r="K45" s="198">
        <f>D45*$L$41-E45</f>
        <v>109772514.73971272</v>
      </c>
      <c r="L45" s="198">
        <f ca="1">IFERROR(K45/$C$3,0)</f>
        <v>5227262.6066529863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13733411.271692809</v>
      </c>
      <c r="I46" s="199">
        <f>I43+I44+I45</f>
        <v>793277780.68677902</v>
      </c>
      <c r="J46" s="199">
        <f ca="1">IFERROR(I46/$C$3,0)</f>
        <v>37775132.413656145</v>
      </c>
      <c r="K46" s="199">
        <f>K43+K44+K45</f>
        <v>1298153924.6680105</v>
      </c>
      <c r="L46" s="199">
        <f ca="1">IFERROR(K46/$C$3,0)</f>
        <v>61816853.555619545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22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4926130.2573570414</v>
      </c>
      <c r="M51" s="193">
        <f t="shared" ref="M51:M64" si="5">F51*$J$41-I51</f>
        <v>127696429.36553055</v>
      </c>
      <c r="N51" s="193">
        <f t="shared" ref="N51:N65" ca="1" si="6">IFERROR(M51/$C$3,0)</f>
        <v>6080782.3507395498</v>
      </c>
      <c r="O51" s="198">
        <f t="shared" ref="O51:O64" si="7">F51*$L$41-I51</f>
        <v>151944123.3265633</v>
      </c>
      <c r="P51" s="198">
        <f t="shared" ref="P51:P65" ca="1" si="8">IFERROR(O51/$C$3,0)</f>
        <v>7235434.4441220621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2917939.0232033334</v>
      </c>
      <c r="M52" s="193">
        <f t="shared" si="5"/>
        <v>98613177.237269998</v>
      </c>
      <c r="N52" s="193">
        <f t="shared" ca="1" si="6"/>
        <v>4695865.5827271426</v>
      </c>
      <c r="O52" s="198">
        <f t="shared" si="7"/>
        <v>135949634.98727</v>
      </c>
      <c r="P52" s="198">
        <f t="shared" ca="1" si="8"/>
        <v>6473792.1422509523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940861.68571428605</v>
      </c>
      <c r="M53" s="193">
        <f t="shared" si="5"/>
        <v>31831758.799999982</v>
      </c>
      <c r="N53" s="193">
        <f t="shared" ca="1" si="6"/>
        <v>1515798.0380952372</v>
      </c>
      <c r="O53" s="198">
        <f t="shared" si="7"/>
        <v>43905422.199999988</v>
      </c>
      <c r="P53" s="198">
        <f t="shared" ca="1" si="8"/>
        <v>2090734.39047619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-5052768.4460838353</v>
      </c>
      <c r="M54" s="193">
        <f t="shared" si="5"/>
        <v>-73228422.42689395</v>
      </c>
      <c r="N54" s="193">
        <f t="shared" ca="1" si="6"/>
        <v>-3487067.7346139974</v>
      </c>
      <c r="O54" s="198">
        <f t="shared" si="7"/>
        <v>-40348707.486027122</v>
      </c>
      <c r="P54" s="198">
        <f t="shared" ca="1" si="8"/>
        <v>-1921367.0231441488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3904815.128208274</v>
      </c>
      <c r="M55" s="193">
        <f t="shared" si="5"/>
        <v>106397747.65194988</v>
      </c>
      <c r="N55" s="193">
        <f t="shared" ca="1" si="6"/>
        <v>5066559.4119976135</v>
      </c>
      <c r="O55" s="198">
        <f t="shared" si="7"/>
        <v>130794377.61152613</v>
      </c>
      <c r="P55" s="198">
        <f t="shared" ca="1" si="8"/>
        <v>6228303.6957869586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1198651.5163180146</v>
      </c>
      <c r="M56" s="193">
        <f t="shared" si="5"/>
        <v>52929593.148810923</v>
      </c>
      <c r="N56" s="193">
        <f t="shared" ca="1" si="6"/>
        <v>2520456.8166100439</v>
      </c>
      <c r="O56" s="198">
        <f t="shared" si="7"/>
        <v>80687504.454943657</v>
      </c>
      <c r="P56" s="198">
        <f t="shared" ca="1" si="8"/>
        <v>3842262.116902079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-6213610.8477454865</v>
      </c>
      <c r="M57" s="193">
        <f t="shared" si="5"/>
        <v>-77801481.735697389</v>
      </c>
      <c r="N57" s="193">
        <f t="shared" ca="1" si="6"/>
        <v>-3704832.4636046374</v>
      </c>
      <c r="O57" s="198">
        <f t="shared" si="7"/>
        <v>-25117135.668739557</v>
      </c>
      <c r="P57" s="198">
        <f t="shared" ca="1" si="8"/>
        <v>-1196054.0794637885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2567027.7112042876</v>
      </c>
      <c r="M58" s="193">
        <f t="shared" si="5"/>
        <v>82361005.085290074</v>
      </c>
      <c r="N58" s="193">
        <f t="shared" ca="1" si="6"/>
        <v>3921952.623109051</v>
      </c>
      <c r="O58" s="198">
        <f t="shared" si="7"/>
        <v>110814428.23529005</v>
      </c>
      <c r="P58" s="198">
        <f t="shared" ca="1" si="8"/>
        <v>5276877.5350138117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3009465.4176202388</v>
      </c>
      <c r="M59" s="193">
        <f t="shared" si="5"/>
        <v>83405456.970024943</v>
      </c>
      <c r="N59" s="193">
        <f t="shared" ca="1" si="6"/>
        <v>3971688.427144045</v>
      </c>
      <c r="O59" s="198">
        <f t="shared" si="7"/>
        <v>103612140.17002499</v>
      </c>
      <c r="P59" s="198">
        <f t="shared" ca="1" si="8"/>
        <v>4933911.4366678568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1017322.7493086116</v>
      </c>
      <c r="M60" s="193">
        <f t="shared" si="5"/>
        <v>48487862.696380615</v>
      </c>
      <c r="N60" s="193">
        <f t="shared" ca="1" si="6"/>
        <v>2308945.8426847914</v>
      </c>
      <c r="O60" s="198">
        <f t="shared" si="7"/>
        <v>75611947.657280385</v>
      </c>
      <c r="P60" s="198">
        <f t="shared" ca="1" si="8"/>
        <v>3600568.9360609706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5152335.1307055131</v>
      </c>
      <c r="M61" s="193">
        <f t="shared" si="5"/>
        <v>142717597.57534701</v>
      </c>
      <c r="N61" s="193">
        <f t="shared" ca="1" si="6"/>
        <v>6796076.0750165237</v>
      </c>
      <c r="O61" s="198">
        <f t="shared" si="7"/>
        <v>177236157.40587825</v>
      </c>
      <c r="P61" s="198">
        <f t="shared" ca="1" si="8"/>
        <v>8439817.0193275362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3492552.8753424515</v>
      </c>
      <c r="M62" s="193">
        <f t="shared" si="5"/>
        <v>95858969.272182167</v>
      </c>
      <c r="N62" s="193">
        <f t="shared" ca="1" si="6"/>
        <v>4564712.8224848649</v>
      </c>
      <c r="O62" s="198">
        <f t="shared" si="7"/>
        <v>118374328.16217285</v>
      </c>
      <c r="P62" s="198">
        <f t="shared" ca="1" si="8"/>
        <v>5636872.7696272787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-2700481.2255369653</v>
      </c>
      <c r="M63" s="193">
        <f t="shared" si="5"/>
        <v>-11052211.386640549</v>
      </c>
      <c r="N63" s="193">
        <f t="shared" ca="1" si="6"/>
        <v>-526295.78031621664</v>
      </c>
      <c r="O63" s="198">
        <f t="shared" si="7"/>
        <v>34605682.96299541</v>
      </c>
      <c r="P63" s="198">
        <f t="shared" ca="1" si="8"/>
        <v>1647889.6649045434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1836282.5627777036</v>
      </c>
      <c r="M64" s="193">
        <f t="shared" si="5"/>
        <v>64436719.86372602</v>
      </c>
      <c r="N64" s="193">
        <f t="shared" ca="1" si="6"/>
        <v>3068415.231606001</v>
      </c>
      <c r="O64" s="198">
        <f t="shared" si="7"/>
        <v>90311505.909120381</v>
      </c>
      <c r="P64" s="198">
        <f t="shared" ca="1" si="8"/>
        <v>4300547.900434304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16996523.538393468</v>
      </c>
      <c r="M65" s="194">
        <f>SUM(M51:M64)</f>
        <v>772654202.11728036</v>
      </c>
      <c r="N65" s="194">
        <f t="shared" ca="1" si="6"/>
        <v>36793057.243680015</v>
      </c>
      <c r="O65" s="199">
        <f>SUM(O51:O64)</f>
        <v>1188381409.9282987</v>
      </c>
      <c r="P65" s="199">
        <f t="shared" ca="1" si="8"/>
        <v>56589590.948966607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-1960449.5098425434</v>
      </c>
      <c r="I69" s="218">
        <f>D69*$J$41-E69</f>
        <v>-27266208.811482966</v>
      </c>
      <c r="J69" s="218">
        <f t="shared" ref="J69:J74" ca="1" si="14">IFERROR(I69/$C$3,0)</f>
        <v>-1298390.8957849031</v>
      </c>
      <c r="K69" s="198">
        <f>D69*$L$41-E69</f>
        <v>-13362977.916272461</v>
      </c>
      <c r="L69" s="198">
        <f t="shared" ref="L69:L74" ca="1" si="15">IFERROR(K69/$C$3,0)</f>
        <v>-636332.2817272601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-2871016.0979302186</v>
      </c>
      <c r="I70" s="218">
        <f>D70*$J$41-E70</f>
        <v>-39410410.397208512</v>
      </c>
      <c r="J70" s="218">
        <f t="shared" ca="1" si="14"/>
        <v>-1876686.2093908815</v>
      </c>
      <c r="K70" s="198">
        <f>D70*$L$41-E70</f>
        <v>-18529482.737882435</v>
      </c>
      <c r="L70" s="198">
        <f t="shared" ca="1" si="15"/>
        <v>-882356.3208515445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1568353.3410721563</v>
      </c>
      <c r="I71" s="218">
        <f>D71*$J$41-E71</f>
        <v>87300197.778191447</v>
      </c>
      <c r="J71" s="218">
        <f t="shared" ca="1" si="14"/>
        <v>4157152.2751519736</v>
      </c>
      <c r="K71" s="198">
        <f>D71*$L$41-E71</f>
        <v>141664975.39386773</v>
      </c>
      <c r="L71" s="198">
        <f t="shared" ca="1" si="15"/>
        <v>6745951.2092317967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-3263112.2667006054</v>
      </c>
      <c r="I74" s="199">
        <f>SUM(I69:I73)</f>
        <v>20623578.569499969</v>
      </c>
      <c r="J74" s="199">
        <f t="shared" ca="1" si="14"/>
        <v>982075.16997618903</v>
      </c>
      <c r="K74" s="199">
        <f>SUM(K69:K73)</f>
        <v>109772514.73971283</v>
      </c>
      <c r="L74" s="199">
        <f t="shared" ca="1" si="15"/>
        <v>5227262.6066529918</v>
      </c>
    </row>
    <row r="77" spans="2:16" ht="18.75" x14ac:dyDescent="0.25">
      <c r="B77" s="127" t="s">
        <v>173</v>
      </c>
      <c r="C77" s="128"/>
      <c r="D77" s="129"/>
    </row>
    <row r="78" spans="2:16" ht="18.75" customHeight="1" x14ac:dyDescent="0.25">
      <c r="B78" s="251" t="s">
        <v>41</v>
      </c>
      <c r="C78" s="251" t="s">
        <v>42</v>
      </c>
      <c r="D78" s="126" t="s">
        <v>139</v>
      </c>
    </row>
    <row r="79" spans="2:16" ht="18" customHeight="1" x14ac:dyDescent="0.25">
      <c r="B79" s="251"/>
      <c r="C79" s="251"/>
      <c r="D79" s="71" t="s">
        <v>170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174</v>
      </c>
      <c r="C82" s="178" t="s">
        <v>175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174</v>
      </c>
      <c r="C88" s="178" t="s">
        <v>176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D69" sqref="D69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167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171</v>
      </c>
      <c r="C22" s="15">
        <v>167671841.09999999</v>
      </c>
      <c r="D22" s="15" t="s">
        <v>167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172</v>
      </c>
      <c r="C23" s="15">
        <v>388937679.18000001</v>
      </c>
      <c r="D23" s="15" t="s">
        <v>167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182</v>
      </c>
      <c r="C41" s="253"/>
      <c r="D41" s="254"/>
      <c r="E41" s="67" t="s">
        <v>138</v>
      </c>
      <c r="F41" s="185">
        <f ca="1">IF(MONTH(TODAY())=6,DAY(TODAY())/DAY(EOMONTH(TODAY(),0)),IF(MONTH(TODAY())&gt;6,1,0))</f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9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174</v>
      </c>
      <c r="C82" s="56" t="s">
        <v>175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174</v>
      </c>
      <c r="C88" s="56" t="s">
        <v>176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zoomScale="91" zoomScaleNormal="91" workbookViewId="0">
      <selection activeCell="C10" sqref="C10:F27"/>
    </sheetView>
  </sheetViews>
  <sheetFormatPr defaultColWidth="8.7109375" defaultRowHeight="15" x14ac:dyDescent="0.25"/>
  <cols>
    <col min="1" max="1" width="2" customWidth="1"/>
    <col min="2" max="2" width="32.5703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0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448510399.46910501</v>
      </c>
      <c r="N8" s="11">
        <f>D22</f>
        <v>63011769.152930997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645758035.66179395</v>
      </c>
      <c r="N9" s="11">
        <f>D13+D14</f>
        <v>155113955.522313</v>
      </c>
    </row>
    <row r="10" spans="2:14" x14ac:dyDescent="0.25">
      <c r="B10" s="74" t="s">
        <v>113</v>
      </c>
      <c r="C10" s="233">
        <v>393617269.45962203</v>
      </c>
      <c r="D10" s="233">
        <v>52106885.865496002</v>
      </c>
      <c r="E10" s="233">
        <v>178626089.13999999</v>
      </c>
      <c r="F10" s="233">
        <v>624350244.46511805</v>
      </c>
      <c r="H10" s="116"/>
      <c r="I10" s="116"/>
      <c r="J10" s="116"/>
      <c r="M10" s="11">
        <f>C15</f>
        <v>1054671906.6945471</v>
      </c>
      <c r="N10" s="11">
        <f>D15</f>
        <v>29495978.518279999</v>
      </c>
    </row>
    <row r="11" spans="2:14" x14ac:dyDescent="0.25">
      <c r="B11" s="74" t="s">
        <v>114</v>
      </c>
      <c r="C11" s="233">
        <v>324688224.63140702</v>
      </c>
      <c r="D11" s="233">
        <v>130969678.577117</v>
      </c>
      <c r="E11" s="233">
        <v>123485070.23999999</v>
      </c>
      <c r="F11" s="233">
        <v>579142973.448524</v>
      </c>
      <c r="H11" s="116"/>
      <c r="I11" s="116"/>
      <c r="J11" s="116"/>
      <c r="M11" s="11">
        <f>C12</f>
        <v>341819821.47863901</v>
      </c>
      <c r="N11" s="11">
        <f>D12</f>
        <v>43800016.100000001</v>
      </c>
    </row>
    <row r="12" spans="2:14" x14ac:dyDescent="0.25">
      <c r="B12" s="74" t="s">
        <v>184</v>
      </c>
      <c r="C12" s="233">
        <v>341819821.47863901</v>
      </c>
      <c r="D12" s="233">
        <v>43800016.100000001</v>
      </c>
      <c r="E12" s="233" t="s">
        <v>167</v>
      </c>
      <c r="F12" s="233">
        <v>385619837.57863897</v>
      </c>
      <c r="H12" s="116"/>
      <c r="I12" s="116"/>
      <c r="J12" s="116"/>
      <c r="M12" s="11">
        <f>C25+C26</f>
        <v>405401083.69156003</v>
      </c>
      <c r="N12" s="11">
        <f>D25+D26</f>
        <v>110789069.34336799</v>
      </c>
    </row>
    <row r="13" spans="2:14" x14ac:dyDescent="0.25">
      <c r="B13" s="74" t="s">
        <v>70</v>
      </c>
      <c r="C13" s="233">
        <v>335783257.01891601</v>
      </c>
      <c r="D13" s="233">
        <v>116240171.81246901</v>
      </c>
      <c r="E13" s="233">
        <v>62660260.079999998</v>
      </c>
      <c r="F13" s="233">
        <v>514683688.911385</v>
      </c>
      <c r="H13" s="116"/>
      <c r="I13" s="116"/>
      <c r="J13" s="116"/>
      <c r="M13" s="11">
        <f>C17</f>
        <v>1425026257.5066569</v>
      </c>
      <c r="N13" s="11">
        <f>D17</f>
        <v>87442239.299614996</v>
      </c>
    </row>
    <row r="14" spans="2:14" x14ac:dyDescent="0.25">
      <c r="B14" s="74" t="s">
        <v>115</v>
      </c>
      <c r="C14" s="233">
        <v>309974778.642878</v>
      </c>
      <c r="D14" s="233">
        <v>38873783.709844001</v>
      </c>
      <c r="E14" s="233">
        <v>61782485.780000001</v>
      </c>
      <c r="F14" s="233">
        <v>410631048.13272202</v>
      </c>
      <c r="H14" s="116"/>
      <c r="I14" s="116"/>
      <c r="J14" s="116"/>
      <c r="M14" s="11">
        <f>C23</f>
        <v>537624961.29726696</v>
      </c>
      <c r="N14" s="11">
        <f>D23</f>
        <v>72473352.539875999</v>
      </c>
    </row>
    <row r="15" spans="2:14" x14ac:dyDescent="0.25">
      <c r="B15" s="84" t="s">
        <v>116</v>
      </c>
      <c r="C15" s="233">
        <v>1054671906.6945471</v>
      </c>
      <c r="D15" s="233">
        <v>29495978.518279999</v>
      </c>
      <c r="E15" s="233">
        <v>410218259.94994998</v>
      </c>
      <c r="F15" s="233">
        <v>1494386145.1627769</v>
      </c>
      <c r="H15" s="116"/>
      <c r="I15" s="116"/>
      <c r="J15" s="116"/>
      <c r="M15" s="11">
        <f>C11</f>
        <v>324688224.63140702</v>
      </c>
      <c r="N15" s="11">
        <f>D11</f>
        <v>130969678.577117</v>
      </c>
    </row>
    <row r="16" spans="2:14" x14ac:dyDescent="0.25">
      <c r="B16" s="74" t="s">
        <v>119</v>
      </c>
      <c r="C16" s="233">
        <v>1554416407.7220271</v>
      </c>
      <c r="D16" s="233">
        <v>10384914.213416999</v>
      </c>
      <c r="E16" s="233">
        <v>8032432.3600000003</v>
      </c>
      <c r="F16" s="233">
        <v>1572833754.295444</v>
      </c>
      <c r="H16" s="116"/>
      <c r="I16" s="116"/>
      <c r="J16" s="116"/>
      <c r="M16" s="11">
        <f>C24</f>
        <v>687182241.108935</v>
      </c>
      <c r="N16" s="11">
        <f>D24</f>
        <v>61286832.419910997</v>
      </c>
    </row>
    <row r="17" spans="2:14" x14ac:dyDescent="0.25">
      <c r="B17" s="74" t="s">
        <v>121</v>
      </c>
      <c r="C17" s="233">
        <v>1425026257.5066569</v>
      </c>
      <c r="D17" s="233">
        <v>87442239.299614996</v>
      </c>
      <c r="E17" s="233">
        <v>1305012954.6799581</v>
      </c>
      <c r="F17" s="233">
        <v>2817481451.4862299</v>
      </c>
      <c r="H17" s="116"/>
      <c r="I17" s="116"/>
      <c r="J17" s="116"/>
      <c r="M17" s="11">
        <f>C10</f>
        <v>393617269.45962203</v>
      </c>
      <c r="N17" s="11">
        <f>D10</f>
        <v>52106885.865496002</v>
      </c>
    </row>
    <row r="18" spans="2:14" x14ac:dyDescent="0.25">
      <c r="B18" s="74" t="s">
        <v>123</v>
      </c>
      <c r="C18" s="233">
        <v>269119168.26818502</v>
      </c>
      <c r="D18" s="233">
        <v>21889933.159789</v>
      </c>
      <c r="E18" s="233">
        <v>7372973.1399999997</v>
      </c>
      <c r="F18" s="233">
        <v>298382074.56797397</v>
      </c>
      <c r="H18" s="116"/>
      <c r="I18" s="116"/>
      <c r="J18" s="116"/>
      <c r="M18" s="11">
        <f>C27</f>
        <v>887123024.85446894</v>
      </c>
      <c r="N18" s="11">
        <f>D27</f>
        <v>267781372.49532399</v>
      </c>
    </row>
    <row r="19" spans="2:14" x14ac:dyDescent="0.25">
      <c r="B19" s="74" t="s">
        <v>124</v>
      </c>
      <c r="C19" s="233">
        <v>72833049.799989</v>
      </c>
      <c r="D19" s="233">
        <v>128966591.851889</v>
      </c>
      <c r="E19" s="233">
        <v>85016217.859999999</v>
      </c>
      <c r="F19" s="233">
        <v>286815859.51187801</v>
      </c>
      <c r="H19" s="116"/>
      <c r="I19" s="116"/>
      <c r="J19" s="116"/>
      <c r="M19" s="11">
        <f>C18+C19</f>
        <v>341952218.068174</v>
      </c>
      <c r="N19" s="11">
        <f>D18+D19</f>
        <v>150856525.01167801</v>
      </c>
    </row>
    <row r="20" spans="2:14" x14ac:dyDescent="0.25">
      <c r="B20" s="74" t="s">
        <v>171</v>
      </c>
      <c r="C20" s="233">
        <v>195476199.69999999</v>
      </c>
      <c r="D20" s="233" t="s">
        <v>167</v>
      </c>
      <c r="E20" s="233">
        <v>11387387.08</v>
      </c>
      <c r="F20" s="233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172</v>
      </c>
      <c r="C21" s="233">
        <v>288524887.39999998</v>
      </c>
      <c r="D21" s="233" t="s">
        <v>167</v>
      </c>
      <c r="E21" s="233">
        <v>15855585.16</v>
      </c>
      <c r="F21" s="233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5">
      <c r="B22" s="74" t="s">
        <v>125</v>
      </c>
      <c r="C22" s="233">
        <v>448510399.46910501</v>
      </c>
      <c r="D22" s="233">
        <v>63011769.152930997</v>
      </c>
      <c r="E22" s="233">
        <v>503698656.98984998</v>
      </c>
      <c r="F22" s="233">
        <v>1015220825.611886</v>
      </c>
      <c r="H22" s="116"/>
      <c r="I22" s="116"/>
      <c r="J22" s="116"/>
    </row>
    <row r="23" spans="2:14" x14ac:dyDescent="0.25">
      <c r="B23" s="74" t="s">
        <v>126</v>
      </c>
      <c r="C23" s="233">
        <v>537624961.29726696</v>
      </c>
      <c r="D23" s="233">
        <v>72473352.539875999</v>
      </c>
      <c r="E23" s="233">
        <v>310958467.80928099</v>
      </c>
      <c r="F23" s="233">
        <v>921056781.64642406</v>
      </c>
      <c r="H23" s="116"/>
      <c r="I23" s="116"/>
      <c r="J23" s="116"/>
    </row>
    <row r="24" spans="2:14" x14ac:dyDescent="0.25">
      <c r="B24" s="74" t="s">
        <v>127</v>
      </c>
      <c r="C24" s="233">
        <v>687182241.108935</v>
      </c>
      <c r="D24" s="233">
        <v>61286832.419910997</v>
      </c>
      <c r="E24" s="233">
        <v>792137124.23901403</v>
      </c>
      <c r="F24" s="233">
        <v>1540606197.7678599</v>
      </c>
      <c r="H24" s="116"/>
      <c r="I24" s="116"/>
      <c r="J24" s="116"/>
    </row>
    <row r="25" spans="2:14" x14ac:dyDescent="0.25">
      <c r="B25" s="74" t="s">
        <v>185</v>
      </c>
      <c r="C25" s="233">
        <v>267316450.13510299</v>
      </c>
      <c r="D25" s="233">
        <v>6945068.9099909998</v>
      </c>
      <c r="E25" s="233">
        <v>65202431.659999996</v>
      </c>
      <c r="F25" s="233">
        <v>339463950.70509398</v>
      </c>
      <c r="H25" s="116"/>
      <c r="I25" s="116"/>
      <c r="J25" s="116"/>
    </row>
    <row r="26" spans="2:14" x14ac:dyDescent="0.25">
      <c r="B26" s="74" t="s">
        <v>186</v>
      </c>
      <c r="C26" s="233">
        <v>138084633.55645701</v>
      </c>
      <c r="D26" s="233">
        <v>103844000.433377</v>
      </c>
      <c r="E26" s="233" t="s">
        <v>167</v>
      </c>
      <c r="F26" s="233">
        <v>241928633.98983401</v>
      </c>
      <c r="H26" s="116"/>
      <c r="I26" s="116"/>
      <c r="J26" s="116"/>
    </row>
    <row r="27" spans="2:14" x14ac:dyDescent="0.25">
      <c r="B27" s="74" t="s">
        <v>128</v>
      </c>
      <c r="C27" s="233">
        <v>887123024.85446894</v>
      </c>
      <c r="D27" s="233">
        <v>267781372.49532399</v>
      </c>
      <c r="E27" s="233">
        <v>17830594.9778</v>
      </c>
      <c r="F27" s="233">
        <v>1172734992.3275931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247017208.86305001</v>
      </c>
      <c r="G32" s="116"/>
      <c r="H32" s="116"/>
      <c r="I32" s="116"/>
    </row>
    <row r="33" spans="2:19" x14ac:dyDescent="0.25">
      <c r="B33" s="84" t="s">
        <v>133</v>
      </c>
      <c r="C33" s="233">
        <v>603527981.52019799</v>
      </c>
      <c r="G33" s="116"/>
      <c r="H33" s="116"/>
      <c r="I33" s="116"/>
    </row>
    <row r="34" spans="2:19" x14ac:dyDescent="0.25">
      <c r="B34" s="84" t="s">
        <v>134</v>
      </c>
      <c r="C34" s="233">
        <v>132378030.09105299</v>
      </c>
      <c r="G34" s="116"/>
      <c r="H34" s="116"/>
      <c r="I34" s="116"/>
    </row>
    <row r="35" spans="2:19" x14ac:dyDescent="0.25">
      <c r="B35" s="84" t="s">
        <v>135</v>
      </c>
      <c r="C35" s="233">
        <v>506220615.42076802</v>
      </c>
      <c r="G35" s="116"/>
      <c r="H35" s="116"/>
      <c r="I35" s="116"/>
    </row>
    <row r="36" spans="2:19" x14ac:dyDescent="0.25">
      <c r="B36" s="84" t="s">
        <v>136</v>
      </c>
      <c r="C36" s="233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s="205" customFormat="1" ht="27.95" customHeight="1" x14ac:dyDescent="0.25">
      <c r="B41" s="252" t="s">
        <v>191</v>
      </c>
      <c r="C41" s="253"/>
      <c r="D41" s="254"/>
      <c r="E41" s="67" t="s">
        <v>138</v>
      </c>
      <c r="F41" s="185">
        <f ca="1">IF(MONTH(TODAY())=7,DAY(TODAY())/DAY(EOMONTH(TODAY(),0)),IF(MONTH(TODAY())&gt;7,1,0))</f>
        <v>1</v>
      </c>
      <c r="G41" s="206" t="s">
        <v>189</v>
      </c>
      <c r="H41" s="212">
        <v>0.9</v>
      </c>
      <c r="I41" s="207" t="s">
        <v>189</v>
      </c>
      <c r="J41" s="213">
        <v>0.95</v>
      </c>
      <c r="K41" s="208" t="s">
        <v>190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7977376531.0221767</v>
      </c>
      <c r="F43" s="187">
        <f>IFERROR(E43/D43,0)</f>
        <v>1.0037158159362543</v>
      </c>
      <c r="G43" s="209">
        <f>D43*$H$41-E43</f>
        <v>-824317105.3092556</v>
      </c>
      <c r="H43" s="209">
        <f ca="1">IFERROR(G43/C3,0)</f>
        <v>0</v>
      </c>
      <c r="I43" s="210">
        <f>D43*$J$41-E43</f>
        <v>-426924914.99187183</v>
      </c>
      <c r="J43" s="210">
        <f ca="1">IFERROR(I43/$C$3,0)</f>
        <v>0</v>
      </c>
      <c r="K43" s="211">
        <f>D43*$L$41-E43</f>
        <v>-29532724.674487114</v>
      </c>
      <c r="L43" s="211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1225127674.8459089</v>
      </c>
      <c r="F44" s="187">
        <f>IFERROR(E44/D44,0)</f>
        <v>0.82627841469724894</v>
      </c>
      <c r="G44" s="197">
        <f>D44*$H$41-E44</f>
        <v>109307411.13575721</v>
      </c>
      <c r="H44" s="197">
        <f ca="1">IFERROR(G44/C3,0)</f>
        <v>0</v>
      </c>
      <c r="I44" s="193">
        <f>D44*$J$41-E44</f>
        <v>183442693.69029403</v>
      </c>
      <c r="J44" s="193">
        <f ca="1">IFERROR(I44/$C$3,0)</f>
        <v>0</v>
      </c>
      <c r="K44" s="198">
        <f>D44*$L$41-E44</f>
        <v>257577976.24483109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0</v>
      </c>
      <c r="I45" s="193">
        <f>D45*$J$41-E45</f>
        <v>237602802.40280342</v>
      </c>
      <c r="J45" s="193">
        <f ca="1">IFERROR(I45/$C$3,0)</f>
        <v>0</v>
      </c>
      <c r="K45" s="198">
        <f>D45*$L$41-E45</f>
        <v>330155993.89216518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11281613287.225662</v>
      </c>
      <c r="E46" s="47">
        <f>E43+E44+E45</f>
        <v>10723412041.763155</v>
      </c>
      <c r="F46" s="188">
        <f>IFERROR(E46/D46,0)</f>
        <v>0.95052115054372877</v>
      </c>
      <c r="G46" s="194">
        <f>G43+G44+G45</f>
        <v>-569960083.2600565</v>
      </c>
      <c r="H46" s="194">
        <f ca="1">IFERROR(G46/C3,0)</f>
        <v>0</v>
      </c>
      <c r="I46" s="194">
        <f>I43+I44+I45</f>
        <v>-5879418.8987743855</v>
      </c>
      <c r="J46" s="194">
        <f ca="1">IFERROR(I46/$C$3,0)</f>
        <v>0</v>
      </c>
      <c r="K46" s="199">
        <f>K43+K44+K45</f>
        <v>558201245.46250916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77"/>
      <c r="P50" s="277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448510399.46910501</v>
      </c>
      <c r="H51" s="119">
        <f>N8</f>
        <v>63011769.152930997</v>
      </c>
      <c r="I51" s="119">
        <f t="shared" ref="I51:I64" si="1">G51+H51</f>
        <v>511522168.62203598</v>
      </c>
      <c r="J51" s="200">
        <f t="shared" ref="J51:J64" si="2">IFERROR(I51/F51,0)</f>
        <v>0.90125606383119206</v>
      </c>
      <c r="K51" s="197">
        <f>F51*$H$41-I51</f>
        <v>-712898.9425355792</v>
      </c>
      <c r="L51" s="197">
        <f ca="1">IFERROR(K51/$C$3,0)</f>
        <v>0</v>
      </c>
      <c r="M51" s="193">
        <f>F51*$J$41-I51</f>
        <v>27665393.817436695</v>
      </c>
      <c r="N51" s="193">
        <f ca="1">IFERROR(M51/$C$3,0)</f>
        <v>0</v>
      </c>
      <c r="O51" s="232">
        <f>F51*$L$41-I51</f>
        <v>56043686.57740891</v>
      </c>
      <c r="P51" s="232">
        <f ca="1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645758035.66179395</v>
      </c>
      <c r="H52" s="119">
        <f>N9</f>
        <v>155113955.522313</v>
      </c>
      <c r="I52" s="119">
        <f t="shared" si="1"/>
        <v>800871991.18410695</v>
      </c>
      <c r="J52" s="200">
        <f t="shared" si="2"/>
        <v>0.95487155962541459</v>
      </c>
      <c r="K52" s="197">
        <f t="shared" ref="K52:K64" si="3">F52*$H$41-I52</f>
        <v>-46021996.124612093</v>
      </c>
      <c r="L52" s="197">
        <f t="shared" ref="L52:L64" ca="1" si="4">IFERROR(K52/$C$3,0)</f>
        <v>0</v>
      </c>
      <c r="M52" s="193">
        <f t="shared" ref="M52:M64" si="5">F52*$J$41-I52</f>
        <v>-4085885.2879736423</v>
      </c>
      <c r="N52" s="193">
        <f t="shared" ref="N52:N64" ca="1" si="6">IFERROR(M52/$C$3,0)</f>
        <v>0</v>
      </c>
      <c r="O52" s="232">
        <f t="shared" ref="O52:O64" si="7">F52*$L$41-I52</f>
        <v>37850225.548665047</v>
      </c>
      <c r="P52" s="232">
        <f t="shared" ref="P52:P64" ca="1" si="8">IFERROR(O52/$C$3,0)</f>
        <v>0</v>
      </c>
    </row>
    <row r="53" spans="2:16" x14ac:dyDescent="0.25">
      <c r="B53" s="145" t="s">
        <v>174</v>
      </c>
      <c r="C53" s="146" t="s">
        <v>175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0</v>
      </c>
      <c r="M53" s="193">
        <f t="shared" si="5"/>
        <v>41031595.398481935</v>
      </c>
      <c r="N53" s="193">
        <f t="shared" ca="1" si="6"/>
        <v>0</v>
      </c>
      <c r="O53" s="232">
        <f t="shared" si="7"/>
        <v>53479374.087875724</v>
      </c>
      <c r="P53" s="232">
        <f t="shared" ca="1" si="8"/>
        <v>0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1054671906.6945471</v>
      </c>
      <c r="H54" s="119">
        <f t="shared" ref="H54:H58" si="9">N10</f>
        <v>29495978.518279999</v>
      </c>
      <c r="I54" s="119">
        <f t="shared" si="1"/>
        <v>1084167885.212827</v>
      </c>
      <c r="J54" s="200">
        <f t="shared" si="2"/>
        <v>1.3901902687479963</v>
      </c>
      <c r="K54" s="197">
        <f t="shared" si="3"/>
        <v>-382284755.52418053</v>
      </c>
      <c r="L54" s="197">
        <f t="shared" ca="1" si="4"/>
        <v>0</v>
      </c>
      <c r="M54" s="193">
        <f t="shared" si="5"/>
        <v>-343291248.31925571</v>
      </c>
      <c r="N54" s="193">
        <f t="shared" ca="1" si="6"/>
        <v>0</v>
      </c>
      <c r="O54" s="232">
        <f t="shared" si="7"/>
        <v>-304297741.11433089</v>
      </c>
      <c r="P54" s="232">
        <f t="shared" ca="1" si="8"/>
        <v>0</v>
      </c>
    </row>
    <row r="55" spans="2:16" x14ac:dyDescent="0.25">
      <c r="B55" s="50" t="s">
        <v>73</v>
      </c>
      <c r="C55" s="55" t="s">
        <v>183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341819821.47863901</v>
      </c>
      <c r="H55" s="119">
        <f t="shared" si="9"/>
        <v>43800016.100000001</v>
      </c>
      <c r="I55" s="119">
        <f t="shared" si="1"/>
        <v>385619837.57863903</v>
      </c>
      <c r="J55" s="200">
        <f t="shared" si="2"/>
        <v>0.69783031209890789</v>
      </c>
      <c r="K55" s="197">
        <f t="shared" si="3"/>
        <v>111718623.94061989</v>
      </c>
      <c r="L55" s="197">
        <f t="shared" ca="1" si="4"/>
        <v>0</v>
      </c>
      <c r="M55" s="193">
        <f t="shared" si="5"/>
        <v>139348538.46946758</v>
      </c>
      <c r="N55" s="193">
        <f t="shared" ca="1" si="6"/>
        <v>0</v>
      </c>
      <c r="O55" s="232">
        <f t="shared" si="7"/>
        <v>166978452.99831533</v>
      </c>
      <c r="P55" s="232">
        <f t="shared" ca="1" si="8"/>
        <v>0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405401083.69156003</v>
      </c>
      <c r="H56" s="119">
        <f t="shared" si="9"/>
        <v>110789069.34336799</v>
      </c>
      <c r="I56" s="119">
        <f t="shared" si="1"/>
        <v>516190153.03492802</v>
      </c>
      <c r="J56" s="200">
        <f t="shared" si="2"/>
        <v>0.82176998735202034</v>
      </c>
      <c r="K56" s="197">
        <f t="shared" si="3"/>
        <v>49139738.39663583</v>
      </c>
      <c r="L56" s="197">
        <f t="shared" ca="1" si="4"/>
        <v>0</v>
      </c>
      <c r="M56" s="193">
        <f t="shared" si="5"/>
        <v>80546954.587278187</v>
      </c>
      <c r="N56" s="193">
        <f t="shared" ca="1" si="6"/>
        <v>0</v>
      </c>
      <c r="O56" s="232">
        <f t="shared" si="7"/>
        <v>111954170.77792066</v>
      </c>
      <c r="P56" s="232">
        <f t="shared" ca="1" si="8"/>
        <v>0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1425026257.5066569</v>
      </c>
      <c r="H57" s="119">
        <f t="shared" si="9"/>
        <v>87442239.299614996</v>
      </c>
      <c r="I57" s="119">
        <f t="shared" si="1"/>
        <v>1512468496.8062718</v>
      </c>
      <c r="J57" s="200">
        <f t="shared" si="2"/>
        <v>1.3011797973856913</v>
      </c>
      <c r="K57" s="197">
        <f t="shared" si="3"/>
        <v>-466324336.05263245</v>
      </c>
      <c r="L57" s="197">
        <f t="shared" ca="1" si="4"/>
        <v>0</v>
      </c>
      <c r="M57" s="193">
        <f t="shared" si="5"/>
        <v>-408205216.01076365</v>
      </c>
      <c r="N57" s="193">
        <f t="shared" ca="1" si="6"/>
        <v>0</v>
      </c>
      <c r="O57" s="232">
        <f t="shared" si="7"/>
        <v>-350086095.96889472</v>
      </c>
      <c r="P57" s="232">
        <f t="shared" ca="1" si="8"/>
        <v>0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537624961.29726696</v>
      </c>
      <c r="H58" s="119">
        <f t="shared" si="9"/>
        <v>72473352.539875999</v>
      </c>
      <c r="I58" s="119">
        <f>G58+H58</f>
        <v>610098313.83714294</v>
      </c>
      <c r="J58" s="200">
        <f>IFERROR(I58/F58,0)</f>
        <v>0.91362280948802388</v>
      </c>
      <c r="K58" s="197">
        <f t="shared" si="3"/>
        <v>-9097028.8964495659</v>
      </c>
      <c r="L58" s="197">
        <f t="shared" ca="1" si="4"/>
        <v>0</v>
      </c>
      <c r="M58" s="193">
        <f t="shared" si="5"/>
        <v>24291931.3780334</v>
      </c>
      <c r="N58" s="193">
        <f t="shared" ca="1" si="6"/>
        <v>0</v>
      </c>
      <c r="O58" s="232">
        <f t="shared" si="7"/>
        <v>57680891.652516365</v>
      </c>
      <c r="P58" s="232">
        <f t="shared" ca="1" si="8"/>
        <v>0</v>
      </c>
    </row>
    <row r="59" spans="2:16" x14ac:dyDescent="0.25">
      <c r="B59" s="145" t="s">
        <v>174</v>
      </c>
      <c r="C59" s="146" t="s">
        <v>176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0</v>
      </c>
      <c r="M59" s="193">
        <f t="shared" si="5"/>
        <v>119831837.68622071</v>
      </c>
      <c r="N59" s="193">
        <f t="shared" ca="1" si="6"/>
        <v>0</v>
      </c>
      <c r="O59" s="232">
        <f t="shared" si="7"/>
        <v>141324296.90128499</v>
      </c>
      <c r="P59" s="232">
        <f t="shared" ca="1" si="8"/>
        <v>0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324688224.63140702</v>
      </c>
      <c r="H60" s="119">
        <f t="shared" ref="H60:H64" si="10">N15</f>
        <v>130969678.577117</v>
      </c>
      <c r="I60" s="119">
        <f t="shared" si="1"/>
        <v>455657903.20852399</v>
      </c>
      <c r="J60" s="200">
        <f t="shared" si="2"/>
        <v>0.7205392792811498</v>
      </c>
      <c r="K60" s="197">
        <f t="shared" si="3"/>
        <v>113488185.94958878</v>
      </c>
      <c r="L60" s="197">
        <f t="shared" ca="1" si="4"/>
        <v>0</v>
      </c>
      <c r="M60" s="193">
        <f t="shared" si="5"/>
        <v>145107413.12503946</v>
      </c>
      <c r="N60" s="193">
        <f t="shared" ca="1" si="6"/>
        <v>0</v>
      </c>
      <c r="O60" s="232">
        <f t="shared" si="7"/>
        <v>176726640.30049014</v>
      </c>
      <c r="P60" s="232">
        <f t="shared" ca="1" si="8"/>
        <v>0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687182241.108935</v>
      </c>
      <c r="H61" s="119">
        <f t="shared" si="10"/>
        <v>61286832.419910997</v>
      </c>
      <c r="I61" s="119">
        <f t="shared" si="1"/>
        <v>748469073.52884603</v>
      </c>
      <c r="J61" s="200">
        <f t="shared" si="2"/>
        <v>0.97230149541110833</v>
      </c>
      <c r="K61" s="197">
        <f t="shared" si="3"/>
        <v>-55657050.349615335</v>
      </c>
      <c r="L61" s="197">
        <f t="shared" ca="1" si="4"/>
        <v>0</v>
      </c>
      <c r="M61" s="193">
        <f t="shared" si="5"/>
        <v>-17167493.506324768</v>
      </c>
      <c r="N61" s="193">
        <f t="shared" ca="1" si="6"/>
        <v>0</v>
      </c>
      <c r="O61" s="232">
        <f t="shared" si="7"/>
        <v>21322063.336965799</v>
      </c>
      <c r="P61" s="232">
        <f t="shared" ca="1" si="8"/>
        <v>0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393617269.45962203</v>
      </c>
      <c r="H62" s="119">
        <f t="shared" si="10"/>
        <v>52106885.865496002</v>
      </c>
      <c r="I62" s="119">
        <f t="shared" si="1"/>
        <v>445724155.32511801</v>
      </c>
      <c r="J62" s="200">
        <f t="shared" si="2"/>
        <v>0.84063750197271936</v>
      </c>
      <c r="K62" s="197">
        <f t="shared" si="3"/>
        <v>31475278.260970712</v>
      </c>
      <c r="L62" s="197">
        <f t="shared" ca="1" si="4"/>
        <v>0</v>
      </c>
      <c r="M62" s="193">
        <f t="shared" si="5"/>
        <v>57986357.904642284</v>
      </c>
      <c r="N62" s="193">
        <f t="shared" ca="1" si="6"/>
        <v>0</v>
      </c>
      <c r="O62" s="232">
        <f t="shared" si="7"/>
        <v>84497437.548313916</v>
      </c>
      <c r="P62" s="232">
        <f t="shared" ca="1" si="8"/>
        <v>0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887123024.85446894</v>
      </c>
      <c r="H63" s="119">
        <f t="shared" si="10"/>
        <v>267781372.49532399</v>
      </c>
      <c r="I63" s="119">
        <f t="shared" si="1"/>
        <v>1154904397.349793</v>
      </c>
      <c r="J63" s="200">
        <f t="shared" si="2"/>
        <v>1.1189065632416573</v>
      </c>
      <c r="K63" s="197">
        <f t="shared" si="3"/>
        <v>-225949298.00399983</v>
      </c>
      <c r="L63" s="197">
        <f t="shared" ca="1" si="4"/>
        <v>0</v>
      </c>
      <c r="M63" s="193">
        <f t="shared" si="5"/>
        <v>-174340681.37367809</v>
      </c>
      <c r="N63" s="193">
        <f t="shared" ca="1" si="6"/>
        <v>0</v>
      </c>
      <c r="O63" s="232">
        <f t="shared" si="7"/>
        <v>-122732064.74335623</v>
      </c>
      <c r="P63" s="232">
        <f t="shared" ca="1" si="8"/>
        <v>0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341952218.068174</v>
      </c>
      <c r="H64" s="119">
        <f t="shared" si="10"/>
        <v>150856525.01167801</v>
      </c>
      <c r="I64" s="119">
        <f t="shared" si="1"/>
        <v>492808743.07985198</v>
      </c>
      <c r="J64" s="200">
        <f t="shared" si="2"/>
        <v>0.83510959720207634</v>
      </c>
      <c r="K64" s="197">
        <f t="shared" si="3"/>
        <v>38292647.992467105</v>
      </c>
      <c r="L64" s="197">
        <f t="shared" ca="1" si="4"/>
        <v>0</v>
      </c>
      <c r="M64" s="193">
        <f t="shared" si="5"/>
        <v>67798280.82981813</v>
      </c>
      <c r="N64" s="193">
        <f t="shared" ca="1" si="6"/>
        <v>0</v>
      </c>
      <c r="O64" s="232">
        <f t="shared" si="7"/>
        <v>97303913.667169213</v>
      </c>
      <c r="P64" s="232">
        <f t="shared" ca="1" si="8"/>
        <v>0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7977376531.0221767</v>
      </c>
      <c r="H65" s="144">
        <f>SUM(H51:H64)</f>
        <v>1225127674.8459089</v>
      </c>
      <c r="I65" s="144">
        <f>SUM(I51:I64)</f>
        <v>9202504205.868082</v>
      </c>
      <c r="J65" s="203">
        <f>IFERROR(I65/F65,0)</f>
        <v>0.97581845547817236</v>
      </c>
      <c r="K65" s="194">
        <f>SUM(K51:K64)</f>
        <v>-715009694.17349839</v>
      </c>
      <c r="L65" s="194">
        <f ca="1">IFERROR(K65/$C$3,0)</f>
        <v>0</v>
      </c>
      <c r="M65" s="194">
        <f>SUM(M51:M64)</f>
        <v>-243482221.30157745</v>
      </c>
      <c r="N65" s="194">
        <f ca="1">IFERROR(M65/$C$3,0)</f>
        <v>0</v>
      </c>
      <c r="O65" s="194">
        <f>SUM(O51:O64)</f>
        <v>228045251.57034427</v>
      </c>
      <c r="P65" s="194">
        <f ca="1">IFERROR(O65/$C$3,0)</f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5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0</v>
      </c>
      <c r="I69" s="193">
        <f>D69*$J$41-E69</f>
        <v>31462880.235886246</v>
      </c>
      <c r="J69" s="193">
        <f t="shared" ref="J69:J74" ca="1" si="13">IFERROR(I69/$C$3,0)</f>
        <v>0</v>
      </c>
      <c r="K69" s="198">
        <f>D69*$L$41-E69</f>
        <v>46119727.030567139</v>
      </c>
      <c r="L69" s="198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0</v>
      </c>
      <c r="I70" s="193">
        <f>D70*$J$41-E70</f>
        <v>-188912028.87126172</v>
      </c>
      <c r="J70" s="193">
        <f t="shared" ca="1" si="13"/>
        <v>0</v>
      </c>
      <c r="K70" s="198">
        <f>D70*$L$41-E70</f>
        <v>-167090136.62658083</v>
      </c>
      <c r="L70" s="198">
        <f t="shared" ca="1" si="14"/>
        <v>0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0</v>
      </c>
      <c r="I71" s="193">
        <f>D71*$J$41-E71</f>
        <v>395051951.03817892</v>
      </c>
      <c r="J71" s="193">
        <f t="shared" ca="1" si="13"/>
        <v>0</v>
      </c>
      <c r="K71" s="198">
        <f>D71*$L$41-E71</f>
        <v>451126403.48817897</v>
      </c>
      <c r="L71" s="198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0</v>
      </c>
      <c r="I74" s="194">
        <f>SUM(I69:I73)</f>
        <v>237602802.40280345</v>
      </c>
      <c r="J74" s="194">
        <f t="shared" ca="1" si="13"/>
        <v>0</v>
      </c>
      <c r="K74" s="199">
        <f>SUM(K69:K73)</f>
        <v>330155993.8921653</v>
      </c>
      <c r="L74" s="199">
        <f t="shared" ca="1" si="14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124442745.86</v>
      </c>
    </row>
    <row r="82" spans="2:4" x14ac:dyDescent="0.25">
      <c r="B82" s="53" t="s">
        <v>174</v>
      </c>
      <c r="C82" s="56" t="s">
        <v>175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410218259.94994998</v>
      </c>
    </row>
    <row r="84" spans="2:4" x14ac:dyDescent="0.25">
      <c r="B84" s="53" t="s">
        <v>73</v>
      </c>
      <c r="C84" s="56" t="s">
        <v>183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40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40">
        <f>IF(E23="",0,E23)</f>
        <v>310958467.80928099</v>
      </c>
    </row>
    <row r="88" spans="2:4" x14ac:dyDescent="0.25">
      <c r="B88" s="53" t="s">
        <v>174</v>
      </c>
      <c r="C88" s="56" t="s">
        <v>176</v>
      </c>
      <c r="D88" s="140">
        <f>IF(E21="",0,E21)</f>
        <v>15855585.16</v>
      </c>
    </row>
    <row r="89" spans="2:4" x14ac:dyDescent="0.25">
      <c r="B89" s="53" t="s">
        <v>80</v>
      </c>
      <c r="C89" s="56" t="s">
        <v>81</v>
      </c>
      <c r="D89" s="140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40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40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40">
        <f>IF(E27="",0,E27)</f>
        <v>17830594.9778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92389191</v>
      </c>
    </row>
    <row r="94" spans="2:4" x14ac:dyDescent="0.25">
      <c r="B94" s="57" t="s">
        <v>152</v>
      </c>
      <c r="C94" s="58"/>
      <c r="D94" s="125">
        <f>SUM(D80:D93)</f>
        <v>3951244558.7858524</v>
      </c>
    </row>
  </sheetData>
  <mergeCells count="17"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abSelected="1" topLeftCell="A9" zoomScaleNormal="100" workbookViewId="0">
      <selection activeCell="F24" sqref="F2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21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116529060.31409501</v>
      </c>
      <c r="N8" s="11">
        <f>D22</f>
        <v>11753751.399993001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168201892.280334</v>
      </c>
      <c r="N9" s="11">
        <f>D13+D14</f>
        <v>29339342.939920999</v>
      </c>
    </row>
    <row r="10" spans="2:14" x14ac:dyDescent="0.25">
      <c r="B10" s="74" t="s">
        <v>113</v>
      </c>
      <c r="C10" s="233">
        <v>97088283.763137996</v>
      </c>
      <c r="D10" s="233">
        <v>13380048.379194001</v>
      </c>
      <c r="E10" s="233">
        <v>45574593.170000002</v>
      </c>
      <c r="F10" s="233">
        <v>156042925.312332</v>
      </c>
      <c r="H10" s="116"/>
      <c r="I10" s="116"/>
      <c r="J10" s="116"/>
      <c r="M10" s="11">
        <f>C15</f>
        <v>314284986.05941999</v>
      </c>
      <c r="N10" s="11">
        <f>D15</f>
        <v>10789873.799939999</v>
      </c>
    </row>
    <row r="11" spans="2:14" x14ac:dyDescent="0.25">
      <c r="B11" s="74" t="s">
        <v>114</v>
      </c>
      <c r="C11" s="233">
        <v>106359090.559789</v>
      </c>
      <c r="D11" s="233">
        <v>18782842.819901001</v>
      </c>
      <c r="E11" s="233">
        <v>16021621.9</v>
      </c>
      <c r="F11" s="233">
        <v>141163555.27969</v>
      </c>
      <c r="H11" s="116"/>
      <c r="I11" s="116"/>
      <c r="J11" s="116"/>
      <c r="M11" s="11">
        <f>C12</f>
        <v>63091892.199749999</v>
      </c>
      <c r="N11" s="11">
        <f>D12</f>
        <v>2448696</v>
      </c>
    </row>
    <row r="12" spans="2:14" x14ac:dyDescent="0.25">
      <c r="B12" s="74" t="s">
        <v>184</v>
      </c>
      <c r="C12" s="233">
        <v>63091892.199749999</v>
      </c>
      <c r="D12" s="233">
        <v>2448696</v>
      </c>
      <c r="E12" s="233">
        <v>0</v>
      </c>
      <c r="F12" s="233">
        <v>65540588.199749999</v>
      </c>
      <c r="H12" s="116"/>
      <c r="I12" s="116"/>
      <c r="J12" s="116"/>
      <c r="M12" s="11">
        <f>C25+C26</f>
        <v>87459458.816643</v>
      </c>
      <c r="N12" s="11">
        <f>D25+D26</f>
        <v>28624218.949930001</v>
      </c>
    </row>
    <row r="13" spans="2:14" x14ac:dyDescent="0.25">
      <c r="B13" s="74" t="s">
        <v>70</v>
      </c>
      <c r="C13" s="233">
        <v>90454405.371583998</v>
      </c>
      <c r="D13" s="233">
        <v>22459261.679938</v>
      </c>
      <c r="E13" s="233">
        <v>28686778.719999999</v>
      </c>
      <c r="F13" s="233">
        <v>141600445.77152199</v>
      </c>
      <c r="H13" s="116"/>
      <c r="I13" s="116"/>
      <c r="J13" s="116"/>
      <c r="M13" s="11">
        <f>C17</f>
        <v>305152026.26780897</v>
      </c>
      <c r="N13" s="11">
        <f>D17</f>
        <v>17852135.069986999</v>
      </c>
    </row>
    <row r="14" spans="2:14" x14ac:dyDescent="0.25">
      <c r="B14" s="74" t="s">
        <v>115</v>
      </c>
      <c r="C14" s="233">
        <v>77747486.908749998</v>
      </c>
      <c r="D14" s="233">
        <v>6880081.2599830003</v>
      </c>
      <c r="E14" s="233">
        <v>16446351.16</v>
      </c>
      <c r="F14" s="233">
        <v>101073919.328733</v>
      </c>
      <c r="H14" s="116"/>
      <c r="I14" s="116"/>
      <c r="J14" s="116"/>
      <c r="M14" s="11">
        <f>C23</f>
        <v>151005357.65505001</v>
      </c>
      <c r="N14" s="11">
        <f>D23</f>
        <v>25905297.459943999</v>
      </c>
    </row>
    <row r="15" spans="2:14" x14ac:dyDescent="0.25">
      <c r="B15" s="84" t="s">
        <v>116</v>
      </c>
      <c r="C15" s="233">
        <v>314284986.05941999</v>
      </c>
      <c r="D15" s="233">
        <v>10789873.799939999</v>
      </c>
      <c r="E15" s="233">
        <v>93353964.199965</v>
      </c>
      <c r="F15" s="233">
        <v>418428824.05932498</v>
      </c>
      <c r="H15" s="116"/>
      <c r="I15" s="116"/>
      <c r="J15" s="116"/>
      <c r="M15" s="11">
        <f>C11</f>
        <v>106359090.559789</v>
      </c>
      <c r="N15" s="11">
        <f>D11</f>
        <v>18782842.819901001</v>
      </c>
    </row>
    <row r="16" spans="2:14" x14ac:dyDescent="0.25">
      <c r="B16" s="74" t="s">
        <v>119</v>
      </c>
      <c r="C16" s="233">
        <v>129144250.079917</v>
      </c>
      <c r="D16" s="233">
        <v>463972.97499900003</v>
      </c>
      <c r="E16" s="233">
        <v>1394594.58</v>
      </c>
      <c r="F16" s="233">
        <v>131002817.63491599</v>
      </c>
      <c r="H16" s="116"/>
      <c r="I16" s="116"/>
      <c r="J16" s="116"/>
      <c r="M16" s="11">
        <f>C24</f>
        <v>182708597.57564199</v>
      </c>
      <c r="N16" s="11">
        <f>D24</f>
        <v>14226518.02</v>
      </c>
    </row>
    <row r="17" spans="2:14" x14ac:dyDescent="0.25">
      <c r="B17" s="74" t="s">
        <v>121</v>
      </c>
      <c r="C17" s="233">
        <v>305152026.26780897</v>
      </c>
      <c r="D17" s="233">
        <v>17852135.069986999</v>
      </c>
      <c r="E17" s="233">
        <v>341879095.849971</v>
      </c>
      <c r="F17" s="233">
        <v>664883257.18776703</v>
      </c>
      <c r="H17" s="116"/>
      <c r="I17" s="116"/>
      <c r="J17" s="116"/>
      <c r="M17" s="11">
        <f>C10</f>
        <v>97088283.763137996</v>
      </c>
      <c r="N17" s="11">
        <f>D10</f>
        <v>13380048.379194001</v>
      </c>
    </row>
    <row r="18" spans="2:14" x14ac:dyDescent="0.25">
      <c r="B18" s="74" t="s">
        <v>123</v>
      </c>
      <c r="C18" s="233">
        <v>56600543.409556001</v>
      </c>
      <c r="D18" s="233">
        <v>0</v>
      </c>
      <c r="E18" s="233">
        <v>7167567.7000000002</v>
      </c>
      <c r="F18" s="233">
        <v>63768111.109555997</v>
      </c>
      <c r="H18" s="116"/>
      <c r="I18" s="116"/>
      <c r="J18" s="116"/>
      <c r="M18" s="11">
        <f>C27</f>
        <v>173325503.972112</v>
      </c>
      <c r="N18" s="11">
        <f>D27</f>
        <v>95916215.024739996</v>
      </c>
    </row>
    <row r="19" spans="2:14" x14ac:dyDescent="0.25">
      <c r="B19" s="74" t="s">
        <v>124</v>
      </c>
      <c r="C19" s="233">
        <v>11290630</v>
      </c>
      <c r="D19" s="233">
        <v>40120558.451637</v>
      </c>
      <c r="E19" s="233">
        <v>27221622.16</v>
      </c>
      <c r="F19" s="233">
        <v>78632810.611636996</v>
      </c>
      <c r="H19" s="116"/>
      <c r="I19" s="116"/>
      <c r="J19" s="116"/>
      <c r="M19" s="11">
        <f>C18+C19</f>
        <v>67891173.409556001</v>
      </c>
      <c r="N19" s="11">
        <f>D18+D19</f>
        <v>40120558.451637</v>
      </c>
    </row>
    <row r="20" spans="2:14" x14ac:dyDescent="0.25">
      <c r="B20" s="74" t="s">
        <v>171</v>
      </c>
      <c r="C20" s="233">
        <v>26874206.399999999</v>
      </c>
      <c r="D20" s="233">
        <v>0</v>
      </c>
      <c r="E20" s="233">
        <v>2882882.8</v>
      </c>
      <c r="F20" s="233">
        <v>29757089.199999999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233">
        <v>83468237.540000007</v>
      </c>
      <c r="D21" s="233">
        <v>0</v>
      </c>
      <c r="E21" s="233">
        <v>3783783.68</v>
      </c>
      <c r="F21" s="233">
        <v>87252021.219999999</v>
      </c>
      <c r="H21" s="116"/>
      <c r="I21" s="116"/>
      <c r="J21" s="116"/>
      <c r="M21" s="14">
        <f>IFERROR(C34,0)+IFERROR(C35,0)+M20</f>
        <v>267679843.86011499</v>
      </c>
      <c r="N21" s="10" t="s">
        <v>122</v>
      </c>
    </row>
    <row r="22" spans="2:14" x14ac:dyDescent="0.25">
      <c r="B22" s="74" t="s">
        <v>125</v>
      </c>
      <c r="C22" s="233">
        <v>116529060.31409501</v>
      </c>
      <c r="D22" s="233">
        <v>11753751.399993001</v>
      </c>
      <c r="E22" s="233">
        <v>229119464.33992499</v>
      </c>
      <c r="F22" s="233">
        <v>357402276.05401301</v>
      </c>
      <c r="H22" s="116"/>
      <c r="I22" s="116"/>
      <c r="J22" s="116"/>
    </row>
    <row r="23" spans="2:14" x14ac:dyDescent="0.25">
      <c r="B23" s="74" t="s">
        <v>126</v>
      </c>
      <c r="C23" s="233">
        <v>151005357.65505001</v>
      </c>
      <c r="D23" s="233">
        <v>25905297.459943999</v>
      </c>
      <c r="E23" s="233">
        <v>110549099.60981899</v>
      </c>
      <c r="F23" s="233">
        <v>287459754.72481298</v>
      </c>
      <c r="H23" s="116"/>
      <c r="I23" s="116"/>
      <c r="J23" s="116"/>
    </row>
    <row r="24" spans="2:14" x14ac:dyDescent="0.25">
      <c r="B24" s="74" t="s">
        <v>127</v>
      </c>
      <c r="C24" s="233">
        <v>182708597.57564199</v>
      </c>
      <c r="D24" s="233">
        <v>14226518.02</v>
      </c>
      <c r="E24" s="233">
        <v>167531532.20981801</v>
      </c>
      <c r="F24" s="233">
        <v>364466647.80545998</v>
      </c>
      <c r="H24" s="116"/>
      <c r="I24" s="116"/>
      <c r="J24" s="116"/>
    </row>
    <row r="25" spans="2:14" x14ac:dyDescent="0.25">
      <c r="B25" s="74" t="s">
        <v>185</v>
      </c>
      <c r="C25" s="233">
        <v>57800444.461966</v>
      </c>
      <c r="D25" s="233">
        <v>1487973</v>
      </c>
      <c r="E25" s="233">
        <v>17827026.800000001</v>
      </c>
      <c r="F25" s="233">
        <v>77115444.261966005</v>
      </c>
      <c r="H25" s="116"/>
      <c r="I25" s="116"/>
      <c r="J25" s="116"/>
    </row>
    <row r="26" spans="2:14" x14ac:dyDescent="0.25">
      <c r="B26" s="74" t="s">
        <v>186</v>
      </c>
      <c r="C26" s="233">
        <v>29659014.354676999</v>
      </c>
      <c r="D26" s="233">
        <v>27136245.949930001</v>
      </c>
      <c r="E26" s="233">
        <v>0</v>
      </c>
      <c r="F26" s="233">
        <v>56795260.304606996</v>
      </c>
      <c r="H26" s="116"/>
      <c r="I26" s="116"/>
      <c r="J26" s="116"/>
    </row>
    <row r="27" spans="2:14" x14ac:dyDescent="0.25">
      <c r="B27" s="74" t="s">
        <v>128</v>
      </c>
      <c r="C27" s="233">
        <v>173325503.972112</v>
      </c>
      <c r="D27" s="233">
        <v>95916215.024739996</v>
      </c>
      <c r="E27" s="233">
        <v>2770810.8769999999</v>
      </c>
      <c r="F27" s="233">
        <v>272012529.87385201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33">
        <v>48522869.569750004</v>
      </c>
      <c r="G32" s="116"/>
      <c r="H32" s="116"/>
      <c r="I32" s="116"/>
    </row>
    <row r="33" spans="2:19" x14ac:dyDescent="0.25">
      <c r="B33" s="84" t="s">
        <v>133</v>
      </c>
      <c r="C33" s="233">
        <v>120407724.18646701</v>
      </c>
      <c r="G33" s="116"/>
      <c r="H33" s="116"/>
      <c r="I33" s="116"/>
    </row>
    <row r="34" spans="2:19" x14ac:dyDescent="0.25">
      <c r="B34" s="84" t="s">
        <v>134</v>
      </c>
      <c r="C34" s="181">
        <v>44487347.420690998</v>
      </c>
      <c r="G34" s="116"/>
      <c r="H34" s="116"/>
      <c r="I34" s="116"/>
    </row>
    <row r="35" spans="2:19" x14ac:dyDescent="0.25">
      <c r="B35" s="84" t="s">
        <v>135</v>
      </c>
      <c r="C35" s="233">
        <v>223192496.43942401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52" t="s">
        <v>192</v>
      </c>
      <c r="C41" s="253"/>
      <c r="D41" s="254"/>
      <c r="E41" s="67" t="s">
        <v>138</v>
      </c>
      <c r="F41" s="185">
        <f ca="1">IF(MONTH(TODAY())=8,DAY(TODAY())/DAY(EOMONTH(TODAY(),0)),IF(MONTH(TODAY())&gt;8,1,0))</f>
        <v>0.22580645161290322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8143809244.1995802</v>
      </c>
      <c r="E43" s="46">
        <f>G65</f>
        <v>1943439766.8133378</v>
      </c>
      <c r="F43" s="187">
        <f>IFERROR(E43/D43,0)</f>
        <v>0.23864013860559796</v>
      </c>
      <c r="G43" s="197">
        <f>D43*$H$41-E43</f>
        <v>5385988552.9662838</v>
      </c>
      <c r="H43" s="197">
        <f ca="1">IFERROR(G43/$C$3,0)</f>
        <v>256475645.37934685</v>
      </c>
      <c r="I43" s="218">
        <f>D43*$J$41-E43</f>
        <v>5793179015.1762638</v>
      </c>
      <c r="J43" s="218">
        <f ca="1">IFERROR(I43/$C$3,0)</f>
        <v>275865667.38934588</v>
      </c>
      <c r="K43" s="198">
        <f>D43*$L$41-E43</f>
        <v>6200369477.3862419</v>
      </c>
      <c r="L43" s="198">
        <f ca="1">IFERROR(K43/$C$3,0)</f>
        <v>295255689.39934486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1294442997.4659395</v>
      </c>
      <c r="E44" s="46">
        <f>N8+N9+N10+N11+N12+N13+N14+N15+N16+N17+N18+N19</f>
        <v>309139498.31518698</v>
      </c>
      <c r="F44" s="187">
        <f>IFERROR(E44/D44,0)</f>
        <v>0.2388204802531842</v>
      </c>
      <c r="G44" s="197">
        <f>D44*$H$41-E44</f>
        <v>855859199.40415859</v>
      </c>
      <c r="H44" s="197">
        <f ca="1">IFERROR(G44/$C$3,0)</f>
        <v>40755199.971626602</v>
      </c>
      <c r="I44" s="218">
        <f>D44*$J$41-E44</f>
        <v>920581349.27745557</v>
      </c>
      <c r="J44" s="218">
        <f ca="1">IFERROR(I44/$C$3,0)</f>
        <v>43837207.108450264</v>
      </c>
      <c r="K44" s="198">
        <f>D44*$L$41-E44</f>
        <v>985303499.15075254</v>
      </c>
      <c r="L44" s="198">
        <f ca="1">IFERROR(K44/$C$3,0)</f>
        <v>46919214.245273933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1865957446.8085108</v>
      </c>
      <c r="E45" s="46">
        <f>IFERROR(C32,0)+IFERROR(C33,0)+M21+F9</f>
        <v>436610437.61633199</v>
      </c>
      <c r="F45" s="187">
        <f>IFERROR(E45/D45,0)</f>
        <v>0.23398734969176285</v>
      </c>
      <c r="G45" s="197">
        <f>D45*$H$41-E45</f>
        <v>1242751264.5113277</v>
      </c>
      <c r="H45" s="197">
        <f ca="1">IFERROR(G45/$C$3,0)</f>
        <v>59178631.643396556</v>
      </c>
      <c r="I45" s="218">
        <f>D45*$J$41-E45</f>
        <v>1336049136.851753</v>
      </c>
      <c r="J45" s="218">
        <f ca="1">IFERROR(I45/$C$3,0)</f>
        <v>63621387.469131097</v>
      </c>
      <c r="K45" s="198">
        <f>D45*$L$41-E45</f>
        <v>1429347009.1921787</v>
      </c>
      <c r="L45" s="198">
        <f ca="1">IFERROR(K45/$C$3,0)</f>
        <v>68064143.294865653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11304209688.47403</v>
      </c>
      <c r="E46" s="47">
        <f>E43+E44+E45</f>
        <v>2689189702.7448568</v>
      </c>
      <c r="F46" s="188">
        <f>IFERROR(E46/D46,0)</f>
        <v>0.23789276533739478</v>
      </c>
      <c r="G46" s="194">
        <f>G43+G44+G45</f>
        <v>7484599016.8817701</v>
      </c>
      <c r="H46" s="194">
        <f ca="1">IFERROR(G46/$C$3,0)</f>
        <v>356409476.99436998</v>
      </c>
      <c r="I46" s="199">
        <f>I43+I44+I45</f>
        <v>8049809501.3054724</v>
      </c>
      <c r="J46" s="199">
        <f ca="1">IFERROR(I46/$C$3,0)</f>
        <v>383324261.96692723</v>
      </c>
      <c r="K46" s="199">
        <f>K43+K44+K45</f>
        <v>8615019985.7291737</v>
      </c>
      <c r="L46" s="199">
        <f ca="1">IFERROR(K46/$C$3,0)</f>
        <v>410239046.93948448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TARGETS!R5</f>
        <v>505234708.40059847</v>
      </c>
      <c r="E51" s="123">
        <f>TARGETS!S5</f>
        <v>60640123.605248079</v>
      </c>
      <c r="F51" s="123">
        <f t="shared" ref="F51:F64" si="0">D51+E51</f>
        <v>565874832.0058465</v>
      </c>
      <c r="G51" s="119">
        <f>M8</f>
        <v>116529060.31409501</v>
      </c>
      <c r="H51" s="119">
        <f>N8</f>
        <v>11753751.399993001</v>
      </c>
      <c r="I51" s="119">
        <f t="shared" ref="I51:I64" si="1">G51+H51</f>
        <v>128282811.71408801</v>
      </c>
      <c r="J51" s="200">
        <f t="shared" ref="J51:J64" si="2">IFERROR(I51/F51,0)</f>
        <v>0.22669821037872667</v>
      </c>
      <c r="K51" s="197">
        <f t="shared" ref="K51:K64" si="3">F51*$H$41-I51</f>
        <v>381004537.09117383</v>
      </c>
      <c r="L51" s="197">
        <f t="shared" ref="L51:L65" ca="1" si="4">IFERROR(K51/$C$3,0)</f>
        <v>18143073.1948178</v>
      </c>
      <c r="M51" s="193">
        <f t="shared" ref="M51:M64" si="5">F51*$J$41-I51</f>
        <v>409298278.69146615</v>
      </c>
      <c r="N51" s="193">
        <f t="shared" ref="N51:N65" ca="1" si="6">IFERROR(M51/$C$3,0)</f>
        <v>19490394.223403148</v>
      </c>
      <c r="O51" s="198">
        <f t="shared" ref="O51:O64" si="7">F51*$L$41-I51</f>
        <v>437592020.29175848</v>
      </c>
      <c r="P51" s="198">
        <f t="shared" ref="P51:P65" ca="1" si="8">IFERROR(O51/$C$3,0)</f>
        <v>20837715.2519885</v>
      </c>
    </row>
    <row r="52" spans="2:16" x14ac:dyDescent="0.25">
      <c r="B52" s="53" t="s">
        <v>69</v>
      </c>
      <c r="C52" s="56" t="s">
        <v>70</v>
      </c>
      <c r="D52" s="124">
        <f>TARGETS!R6</f>
        <v>671454691.1268847</v>
      </c>
      <c r="E52" s="124">
        <f>TARGETS!S6</f>
        <v>165576502.41228893</v>
      </c>
      <c r="F52" s="124">
        <f t="shared" si="0"/>
        <v>837031193.5391736</v>
      </c>
      <c r="G52" s="119">
        <f>M9</f>
        <v>168201892.280334</v>
      </c>
      <c r="H52" s="119">
        <f>N9</f>
        <v>29339342.939920999</v>
      </c>
      <c r="I52" s="119">
        <f t="shared" si="1"/>
        <v>197541235.22025499</v>
      </c>
      <c r="J52" s="200">
        <f t="shared" si="2"/>
        <v>0.23600223832161152</v>
      </c>
      <c r="K52" s="197">
        <f t="shared" si="3"/>
        <v>555786838.96500123</v>
      </c>
      <c r="L52" s="197">
        <f t="shared" ca="1" si="4"/>
        <v>26466039.950714342</v>
      </c>
      <c r="M52" s="193">
        <f t="shared" si="5"/>
        <v>597638398.64195991</v>
      </c>
      <c r="N52" s="193">
        <f t="shared" ca="1" si="6"/>
        <v>28458971.363902852</v>
      </c>
      <c r="O52" s="198">
        <f t="shared" si="7"/>
        <v>639489958.31891859</v>
      </c>
      <c r="P52" s="198">
        <f t="shared" ca="1" si="8"/>
        <v>30451902.777091362</v>
      </c>
    </row>
    <row r="53" spans="2:16" x14ac:dyDescent="0.25">
      <c r="B53" s="145" t="s">
        <v>174</v>
      </c>
      <c r="C53" s="146" t="s">
        <v>175</v>
      </c>
      <c r="D53" s="147">
        <f>TARGETS!R7</f>
        <v>262953105.06301075</v>
      </c>
      <c r="E53" s="147">
        <f>TARGETS!S7</f>
        <v>0</v>
      </c>
      <c r="F53" s="147">
        <f>D53+E53</f>
        <v>262953105.06301075</v>
      </c>
      <c r="G53" s="119">
        <f>C20</f>
        <v>26874206.399999999</v>
      </c>
      <c r="H53" s="119">
        <f>IF(D20="",0,D20)</f>
        <v>0</v>
      </c>
      <c r="I53" s="119">
        <f>G53+H53</f>
        <v>26874206.399999999</v>
      </c>
      <c r="J53" s="200">
        <f>IFERROR(I53/F53,0)</f>
        <v>0.1022015176187412</v>
      </c>
      <c r="K53" s="197">
        <f t="shared" si="3"/>
        <v>209783588.15670967</v>
      </c>
      <c r="L53" s="197">
        <f t="shared" ca="1" si="4"/>
        <v>9989694.6741290316</v>
      </c>
      <c r="M53" s="193">
        <f t="shared" si="5"/>
        <v>222931243.40986019</v>
      </c>
      <c r="N53" s="193">
        <f t="shared" ca="1" si="6"/>
        <v>10615773.495707627</v>
      </c>
      <c r="O53" s="198">
        <f t="shared" si="7"/>
        <v>236078898.66301075</v>
      </c>
      <c r="P53" s="198">
        <f t="shared" ca="1" si="8"/>
        <v>11241852.317286227</v>
      </c>
    </row>
    <row r="54" spans="2:16" x14ac:dyDescent="0.25">
      <c r="B54" s="53" t="s">
        <v>71</v>
      </c>
      <c r="C54" s="56" t="s">
        <v>72</v>
      </c>
      <c r="D54" s="124">
        <f>TARGETS!R8</f>
        <v>742384808.84903777</v>
      </c>
      <c r="E54" s="124">
        <f>TARGETS!S8</f>
        <v>35794312.055859983</v>
      </c>
      <c r="F54" s="124">
        <f t="shared" si="0"/>
        <v>778179120.90489769</v>
      </c>
      <c r="G54" s="119">
        <f>M10</f>
        <v>314284986.05941999</v>
      </c>
      <c r="H54" s="119">
        <f t="shared" ref="H54:H58" si="9">N10</f>
        <v>10789873.799939999</v>
      </c>
      <c r="I54" s="119">
        <f t="shared" si="1"/>
        <v>325074859.85935998</v>
      </c>
      <c r="J54" s="200">
        <f t="shared" si="2"/>
        <v>0.41773783326562397</v>
      </c>
      <c r="K54" s="197">
        <f t="shared" si="3"/>
        <v>375286348.95504797</v>
      </c>
      <c r="L54" s="197">
        <f t="shared" ca="1" si="4"/>
        <v>17870778.521668952</v>
      </c>
      <c r="M54" s="193">
        <f t="shared" si="5"/>
        <v>414195305.00029278</v>
      </c>
      <c r="N54" s="193">
        <f t="shared" ca="1" si="6"/>
        <v>19723585.952394895</v>
      </c>
      <c r="O54" s="198">
        <f t="shared" si="7"/>
        <v>453104261.04553771</v>
      </c>
      <c r="P54" s="198">
        <f t="shared" ca="1" si="8"/>
        <v>21576393.383120842</v>
      </c>
    </row>
    <row r="55" spans="2:16" x14ac:dyDescent="0.25">
      <c r="B55" s="50" t="s">
        <v>73</v>
      </c>
      <c r="C55" s="55" t="s">
        <v>183</v>
      </c>
      <c r="D55" s="123">
        <f>TARGETS!R9</f>
        <v>496309709.75250041</v>
      </c>
      <c r="E55" s="123">
        <f>TARGETS!S9</f>
        <v>54597557.63085559</v>
      </c>
      <c r="F55" s="123">
        <f t="shared" si="0"/>
        <v>550907267.38335598</v>
      </c>
      <c r="G55" s="119">
        <f>M11</f>
        <v>63091892.199749999</v>
      </c>
      <c r="H55" s="119">
        <f t="shared" si="9"/>
        <v>2448696</v>
      </c>
      <c r="I55" s="119">
        <f t="shared" si="1"/>
        <v>65540588.199749999</v>
      </c>
      <c r="J55" s="200">
        <f t="shared" si="2"/>
        <v>0.11896845817817599</v>
      </c>
      <c r="K55" s="197">
        <f t="shared" si="3"/>
        <v>430275952.44527036</v>
      </c>
      <c r="L55" s="197">
        <f t="shared" ca="1" si="4"/>
        <v>20489331.068822399</v>
      </c>
      <c r="M55" s="193">
        <f t="shared" si="5"/>
        <v>457821315.81443816</v>
      </c>
      <c r="N55" s="193">
        <f t="shared" ca="1" si="6"/>
        <v>21801015.038782768</v>
      </c>
      <c r="O55" s="198">
        <f t="shared" si="7"/>
        <v>485366679.18360597</v>
      </c>
      <c r="P55" s="198">
        <f t="shared" ca="1" si="8"/>
        <v>23112699.008743141</v>
      </c>
    </row>
    <row r="56" spans="2:16" x14ac:dyDescent="0.25">
      <c r="B56" s="53" t="s">
        <v>75</v>
      </c>
      <c r="C56" s="56" t="s">
        <v>99</v>
      </c>
      <c r="D56" s="124">
        <f>TARGETS!R10</f>
        <v>519189534.27822161</v>
      </c>
      <c r="E56" s="124">
        <f>TARGETS!S10</f>
        <v>107263766.34102874</v>
      </c>
      <c r="F56" s="124">
        <f t="shared" si="0"/>
        <v>626453300.6192503</v>
      </c>
      <c r="G56" s="119">
        <f>M12</f>
        <v>87459458.816643</v>
      </c>
      <c r="H56" s="119">
        <f t="shared" si="9"/>
        <v>28624218.949930001</v>
      </c>
      <c r="I56" s="119">
        <f t="shared" si="1"/>
        <v>116083677.766573</v>
      </c>
      <c r="J56" s="200">
        <f t="shared" si="2"/>
        <v>0.18530300287639007</v>
      </c>
      <c r="K56" s="197">
        <f t="shared" si="3"/>
        <v>447724292.79075223</v>
      </c>
      <c r="L56" s="197">
        <f t="shared" ca="1" si="4"/>
        <v>21320204.41860725</v>
      </c>
      <c r="M56" s="193">
        <f t="shared" si="5"/>
        <v>479046957.8217147</v>
      </c>
      <c r="N56" s="193">
        <f t="shared" ca="1" si="6"/>
        <v>22811759.89627213</v>
      </c>
      <c r="O56" s="198">
        <f t="shared" si="7"/>
        <v>510369622.85267729</v>
      </c>
      <c r="P56" s="198">
        <f t="shared" ca="1" si="8"/>
        <v>24303315.373937014</v>
      </c>
    </row>
    <row r="57" spans="2:16" x14ac:dyDescent="0.25">
      <c r="B57" s="50" t="s">
        <v>76</v>
      </c>
      <c r="C57" s="55" t="s">
        <v>77</v>
      </c>
      <c r="D57" s="123">
        <f>TARGETS!R11</f>
        <v>1075242934.3238537</v>
      </c>
      <c r="E57" s="123">
        <f>TARGETS!S11</f>
        <v>85448443.319925025</v>
      </c>
      <c r="F57" s="123">
        <f t="shared" si="0"/>
        <v>1160691377.6437788</v>
      </c>
      <c r="G57" s="119">
        <f>M13</f>
        <v>305152026.26780897</v>
      </c>
      <c r="H57" s="119">
        <f t="shared" si="9"/>
        <v>17852135.069986999</v>
      </c>
      <c r="I57" s="119">
        <f t="shared" si="1"/>
        <v>323004161.33779597</v>
      </c>
      <c r="J57" s="200">
        <f t="shared" si="2"/>
        <v>0.27828600053314717</v>
      </c>
      <c r="K57" s="197">
        <f t="shared" si="3"/>
        <v>721618078.541605</v>
      </c>
      <c r="L57" s="197">
        <f t="shared" ca="1" si="4"/>
        <v>34362765.644838333</v>
      </c>
      <c r="M57" s="193">
        <f t="shared" si="5"/>
        <v>779652647.42379379</v>
      </c>
      <c r="N57" s="193">
        <f t="shared" ca="1" si="6"/>
        <v>37126316.54399018</v>
      </c>
      <c r="O57" s="198">
        <f t="shared" si="7"/>
        <v>837687216.30598283</v>
      </c>
      <c r="P57" s="198">
        <f t="shared" ca="1" si="8"/>
        <v>39889867.443142042</v>
      </c>
    </row>
    <row r="58" spans="2:16" x14ac:dyDescent="0.25">
      <c r="B58" s="53" t="s">
        <v>78</v>
      </c>
      <c r="C58" s="56" t="s">
        <v>79</v>
      </c>
      <c r="D58" s="124">
        <f>TARGETS!R12</f>
        <v>577111702.00922382</v>
      </c>
      <c r="E58" s="124">
        <f>TARGETS!S12</f>
        <v>88976480.286837116</v>
      </c>
      <c r="F58" s="124">
        <f t="shared" si="0"/>
        <v>666088182.29606092</v>
      </c>
      <c r="G58" s="119">
        <f>M14</f>
        <v>151005357.65505001</v>
      </c>
      <c r="H58" s="119">
        <f t="shared" si="9"/>
        <v>25905297.459943999</v>
      </c>
      <c r="I58" s="119">
        <f>G58+H58</f>
        <v>176910655.11499402</v>
      </c>
      <c r="J58" s="200">
        <f>IFERROR(I58/F58,0)</f>
        <v>0.26559644776337032</v>
      </c>
      <c r="K58" s="197">
        <f t="shared" si="3"/>
        <v>422568708.95146084</v>
      </c>
      <c r="L58" s="197">
        <f t="shared" ca="1" si="4"/>
        <v>20122319.473879088</v>
      </c>
      <c r="M58" s="193">
        <f t="shared" si="5"/>
        <v>455873118.06626379</v>
      </c>
      <c r="N58" s="193">
        <f t="shared" ca="1" si="6"/>
        <v>21708243.717441134</v>
      </c>
      <c r="O58" s="198">
        <f t="shared" si="7"/>
        <v>489177527.18106687</v>
      </c>
      <c r="P58" s="198">
        <f t="shared" ca="1" si="8"/>
        <v>23294167.961003184</v>
      </c>
    </row>
    <row r="59" spans="2:16" x14ac:dyDescent="0.25">
      <c r="B59" s="145" t="s">
        <v>174</v>
      </c>
      <c r="C59" s="146" t="s">
        <v>176</v>
      </c>
      <c r="D59" s="147">
        <f>TARGETS!R13</f>
        <v>443846715.57642001</v>
      </c>
      <c r="E59" s="147">
        <f>TARGETS!S13</f>
        <v>0</v>
      </c>
      <c r="F59" s="147">
        <f>D59+E59</f>
        <v>443846715.57642001</v>
      </c>
      <c r="G59" s="119">
        <f>C21</f>
        <v>83468237.540000007</v>
      </c>
      <c r="H59" s="119">
        <f>IF(D21="",0,D21)</f>
        <v>0</v>
      </c>
      <c r="I59" s="119">
        <f>G59+H59</f>
        <v>83468237.540000007</v>
      </c>
      <c r="J59" s="200">
        <f>IFERROR(I59/F59,0)</f>
        <v>0.18805644969480173</v>
      </c>
      <c r="K59" s="197">
        <f t="shared" si="3"/>
        <v>315993806.478778</v>
      </c>
      <c r="L59" s="197">
        <f t="shared" ca="1" si="4"/>
        <v>15047324.118037049</v>
      </c>
      <c r="M59" s="193">
        <f t="shared" si="5"/>
        <v>338186142.257599</v>
      </c>
      <c r="N59" s="193">
        <f t="shared" ca="1" si="6"/>
        <v>16104102.012266619</v>
      </c>
      <c r="O59" s="198">
        <f t="shared" si="7"/>
        <v>360378478.03641999</v>
      </c>
      <c r="P59" s="198">
        <f t="shared" ca="1" si="8"/>
        <v>17160879.90649619</v>
      </c>
    </row>
    <row r="60" spans="2:16" x14ac:dyDescent="0.25">
      <c r="B60" s="53" t="s">
        <v>80</v>
      </c>
      <c r="C60" s="56" t="s">
        <v>81</v>
      </c>
      <c r="D60" s="124">
        <f>TARGETS!R14</f>
        <v>528718642.70198309</v>
      </c>
      <c r="E60" s="124">
        <f>TARGETS!S14</f>
        <v>101974877.61343271</v>
      </c>
      <c r="F60" s="124">
        <f t="shared" si="0"/>
        <v>630693520.31541586</v>
      </c>
      <c r="G60" s="119">
        <f>M15</f>
        <v>106359090.559789</v>
      </c>
      <c r="H60" s="119">
        <f t="shared" ref="H60:H64" si="10">N15</f>
        <v>18782842.819901001</v>
      </c>
      <c r="I60" s="119">
        <f t="shared" si="1"/>
        <v>125141933.37969001</v>
      </c>
      <c r="J60" s="200">
        <f t="shared" si="2"/>
        <v>0.19841956409684586</v>
      </c>
      <c r="K60" s="197">
        <f t="shared" si="3"/>
        <v>442482234.90418428</v>
      </c>
      <c r="L60" s="197">
        <f t="shared" ca="1" si="4"/>
        <v>21070582.614484966</v>
      </c>
      <c r="M60" s="193">
        <f t="shared" si="5"/>
        <v>474016910.91995507</v>
      </c>
      <c r="N60" s="193">
        <f t="shared" ca="1" si="6"/>
        <v>22572233.853331193</v>
      </c>
      <c r="O60" s="198">
        <f t="shared" si="7"/>
        <v>505551586.93572587</v>
      </c>
      <c r="P60" s="198">
        <f t="shared" ca="1" si="8"/>
        <v>24073885.092177421</v>
      </c>
    </row>
    <row r="61" spans="2:16" x14ac:dyDescent="0.25">
      <c r="B61" s="50" t="s">
        <v>82</v>
      </c>
      <c r="C61" s="55" t="s">
        <v>83</v>
      </c>
      <c r="D61" s="123">
        <f>TARGETS!R15</f>
        <v>712842707.51473606</v>
      </c>
      <c r="E61" s="123">
        <f>TARGETS!S15</f>
        <v>55257406.157477453</v>
      </c>
      <c r="F61" s="123">
        <f t="shared" si="0"/>
        <v>768100113.67221355</v>
      </c>
      <c r="G61" s="119">
        <f>M16</f>
        <v>182708597.57564199</v>
      </c>
      <c r="H61" s="119">
        <f t="shared" si="10"/>
        <v>14226518.02</v>
      </c>
      <c r="I61" s="119">
        <f t="shared" si="1"/>
        <v>196935115.595642</v>
      </c>
      <c r="J61" s="200">
        <f t="shared" si="2"/>
        <v>0.25639250937500052</v>
      </c>
      <c r="K61" s="197">
        <f t="shared" si="3"/>
        <v>494354986.70935023</v>
      </c>
      <c r="L61" s="197">
        <f t="shared" ca="1" si="4"/>
        <v>23540713.652826201</v>
      </c>
      <c r="M61" s="193">
        <f t="shared" si="5"/>
        <v>532759992.39296091</v>
      </c>
      <c r="N61" s="193">
        <f t="shared" ca="1" si="6"/>
        <v>25369523.447283853</v>
      </c>
      <c r="O61" s="198">
        <f t="shared" si="7"/>
        <v>571164998.07657158</v>
      </c>
      <c r="P61" s="198">
        <f t="shared" ca="1" si="8"/>
        <v>27198333.241741505</v>
      </c>
    </row>
    <row r="62" spans="2:16" x14ac:dyDescent="0.25">
      <c r="B62" s="53" t="s">
        <v>84</v>
      </c>
      <c r="C62" s="56" t="s">
        <v>85</v>
      </c>
      <c r="D62" s="124">
        <f>TARGETS!R16</f>
        <v>495867895.49250114</v>
      </c>
      <c r="E62" s="124">
        <f>TARGETS!S16</f>
        <v>32662674.187332422</v>
      </c>
      <c r="F62" s="124">
        <f t="shared" si="0"/>
        <v>528530569.67983353</v>
      </c>
      <c r="G62" s="119">
        <f>M17</f>
        <v>97088283.763137996</v>
      </c>
      <c r="H62" s="119">
        <f t="shared" si="10"/>
        <v>13380048.379194001</v>
      </c>
      <c r="I62" s="119">
        <f t="shared" si="1"/>
        <v>110468332.142332</v>
      </c>
      <c r="J62" s="200">
        <f t="shared" si="2"/>
        <v>0.20901029851357528</v>
      </c>
      <c r="K62" s="197">
        <f t="shared" si="3"/>
        <v>365209180.56951815</v>
      </c>
      <c r="L62" s="197">
        <f t="shared" ca="1" si="4"/>
        <v>17390913.360453244</v>
      </c>
      <c r="M62" s="193">
        <f t="shared" si="5"/>
        <v>391635709.05350983</v>
      </c>
      <c r="N62" s="193">
        <f t="shared" ca="1" si="6"/>
        <v>18649319.478738565</v>
      </c>
      <c r="O62" s="198">
        <f t="shared" si="7"/>
        <v>418062237.53750151</v>
      </c>
      <c r="P62" s="198">
        <f t="shared" ca="1" si="8"/>
        <v>19907725.597023882</v>
      </c>
    </row>
    <row r="63" spans="2:16" x14ac:dyDescent="0.25">
      <c r="B63" s="50" t="s">
        <v>86</v>
      </c>
      <c r="C63" s="55" t="s">
        <v>87</v>
      </c>
      <c r="D63" s="123">
        <f>TARGETS!R17</f>
        <v>720052460.26793551</v>
      </c>
      <c r="E63" s="123">
        <f>TARGETS!S17</f>
        <v>310428849.14490294</v>
      </c>
      <c r="F63" s="123">
        <f t="shared" si="0"/>
        <v>1030481309.4128385</v>
      </c>
      <c r="G63" s="119">
        <f>M18</f>
        <v>173325503.972112</v>
      </c>
      <c r="H63" s="119">
        <f t="shared" si="10"/>
        <v>95916215.024739996</v>
      </c>
      <c r="I63" s="119">
        <f t="shared" si="1"/>
        <v>269241718.99685198</v>
      </c>
      <c r="J63" s="200">
        <f t="shared" si="2"/>
        <v>0.26127763457472525</v>
      </c>
      <c r="K63" s="197">
        <f t="shared" si="3"/>
        <v>658191459.4747026</v>
      </c>
      <c r="L63" s="197">
        <f t="shared" ca="1" si="4"/>
        <v>31342450.451176316</v>
      </c>
      <c r="M63" s="193">
        <f t="shared" si="5"/>
        <v>709715524.94534445</v>
      </c>
      <c r="N63" s="193">
        <f t="shared" ca="1" si="6"/>
        <v>33795977.378349736</v>
      </c>
      <c r="O63" s="198">
        <f t="shared" si="7"/>
        <v>761239590.41598654</v>
      </c>
      <c r="P63" s="198">
        <f t="shared" ca="1" si="8"/>
        <v>36249504.305523172</v>
      </c>
    </row>
    <row r="64" spans="2:16" x14ac:dyDescent="0.25">
      <c r="B64" s="53" t="s">
        <v>88</v>
      </c>
      <c r="C64" s="56" t="s">
        <v>89</v>
      </c>
      <c r="D64" s="124">
        <f>TARGETS!R18</f>
        <v>392599628.84267223</v>
      </c>
      <c r="E64" s="124">
        <f>TARGETS!S18</f>
        <v>195822004.71075061</v>
      </c>
      <c r="F64" s="124">
        <f t="shared" si="0"/>
        <v>588421633.55342281</v>
      </c>
      <c r="G64" s="119">
        <f>M19</f>
        <v>67891173.409556001</v>
      </c>
      <c r="H64" s="119">
        <f t="shared" si="10"/>
        <v>40120558.451637</v>
      </c>
      <c r="I64" s="119">
        <f t="shared" si="1"/>
        <v>108011731.861193</v>
      </c>
      <c r="J64" s="200">
        <f t="shared" si="2"/>
        <v>0.18356179600148337</v>
      </c>
      <c r="K64" s="197">
        <f t="shared" si="3"/>
        <v>421567738.33688754</v>
      </c>
      <c r="L64" s="197">
        <f t="shared" ca="1" si="4"/>
        <v>20074654.206518453</v>
      </c>
      <c r="M64" s="193">
        <f t="shared" si="5"/>
        <v>450988820.01455861</v>
      </c>
      <c r="N64" s="193">
        <f t="shared" ca="1" si="6"/>
        <v>21475658.095931362</v>
      </c>
      <c r="O64" s="198">
        <f t="shared" si="7"/>
        <v>480409901.69222981</v>
      </c>
      <c r="P64" s="198">
        <f t="shared" ca="1" si="8"/>
        <v>22876661.985344276</v>
      </c>
    </row>
    <row r="65" spans="2:16" x14ac:dyDescent="0.25">
      <c r="B65" s="57" t="s">
        <v>152</v>
      </c>
      <c r="C65" s="58"/>
      <c r="D65" s="143">
        <f>SUM(D51:D64)</f>
        <v>8143809244.1995802</v>
      </c>
      <c r="E65" s="143">
        <f t="shared" ref="E65" si="11">SUM(E51:E52,E54:E58,E60:E64)</f>
        <v>1294442997.4659395</v>
      </c>
      <c r="F65" s="143">
        <f>SUM(F51:F64)</f>
        <v>9438252241.6655178</v>
      </c>
      <c r="G65" s="144">
        <f>SUM(G51:G64)</f>
        <v>1943439766.8133378</v>
      </c>
      <c r="H65" s="144">
        <f>SUM(H51:H64)</f>
        <v>309139498.31518698</v>
      </c>
      <c r="I65" s="144">
        <f>SUM(I51:I64)</f>
        <v>2252579265.1285248</v>
      </c>
      <c r="J65" s="203">
        <f>IFERROR(I65/F65,0)</f>
        <v>0.23866487220848256</v>
      </c>
      <c r="K65" s="194">
        <f>SUM(K51:K64)</f>
        <v>6241847752.3704414</v>
      </c>
      <c r="L65" s="194">
        <f t="shared" ca="1" si="4"/>
        <v>297230845.35097343</v>
      </c>
      <c r="M65" s="194">
        <f>SUM(M51:M64)</f>
        <v>6713760364.4537163</v>
      </c>
      <c r="N65" s="194">
        <f t="shared" ca="1" si="6"/>
        <v>319702874.497796</v>
      </c>
      <c r="O65" s="199">
        <f>SUM(O51:O64)</f>
        <v>7185672976.5369949</v>
      </c>
      <c r="P65" s="199">
        <f t="shared" ca="1" si="8"/>
        <v>342174903.64461881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298101474.90070933</v>
      </c>
      <c r="E69" s="119">
        <f>IFERROR(C32,0)</f>
        <v>48522869.569750004</v>
      </c>
      <c r="F69" s="200">
        <f t="shared" ref="F69:F74" si="12">IFERROR(E69/D69,0)</f>
        <v>0.16277299394748665</v>
      </c>
      <c r="G69" s="197">
        <f>D69*$H$41-E69</f>
        <v>219768457.84088838</v>
      </c>
      <c r="H69" s="197">
        <f t="shared" ref="H69:H74" ca="1" si="13">IFERROR(G69/$C$3,0)</f>
        <v>10465164.659089923</v>
      </c>
      <c r="I69" s="218">
        <f>D69*$J$41-E69</f>
        <v>234673531.58592385</v>
      </c>
      <c r="J69" s="218">
        <f t="shared" ref="J69:J74" ca="1" si="14">IFERROR(I69/$C$3,0)</f>
        <v>11174930.075520184</v>
      </c>
      <c r="K69" s="198">
        <f>D69*$L$41-E69</f>
        <v>249578605.33095932</v>
      </c>
      <c r="L69" s="198">
        <f t="shared" ref="L69:L74" ca="1" si="15">IFERROR(K69/$C$3,0)</f>
        <v>11884695.491950443</v>
      </c>
    </row>
    <row r="70" spans="2:16" x14ac:dyDescent="0.25">
      <c r="B70" s="53" t="s">
        <v>94</v>
      </c>
      <c r="C70" s="56" t="s">
        <v>95</v>
      </c>
      <c r="D70" s="122">
        <f>TARGETS!K23</f>
        <v>441402383.90070933</v>
      </c>
      <c r="E70" s="119">
        <f>IFERROR(C33,0)</f>
        <v>120407724.18646701</v>
      </c>
      <c r="F70" s="200">
        <f t="shared" si="12"/>
        <v>0.2727844900211322</v>
      </c>
      <c r="G70" s="197">
        <f>D70*$H$41-E70</f>
        <v>276854421.32417142</v>
      </c>
      <c r="H70" s="197">
        <f t="shared" ca="1" si="13"/>
        <v>13183543.872579591</v>
      </c>
      <c r="I70" s="218">
        <f>D70*$J$41-E70</f>
        <v>298924540.51920688</v>
      </c>
      <c r="J70" s="218">
        <f t="shared" ca="1" si="14"/>
        <v>14234501.929486042</v>
      </c>
      <c r="K70" s="198">
        <f>D70*$L$41-E70</f>
        <v>320994659.71424234</v>
      </c>
      <c r="L70" s="198">
        <f t="shared" ca="1" si="15"/>
        <v>15285459.986392492</v>
      </c>
    </row>
    <row r="71" spans="2:16" x14ac:dyDescent="0.25">
      <c r="B71" s="50" t="s">
        <v>96</v>
      </c>
      <c r="C71" s="55" t="s">
        <v>97</v>
      </c>
      <c r="D71" s="121">
        <f>TARGETS!K24</f>
        <v>1126453588.0070922</v>
      </c>
      <c r="E71" s="119">
        <f>M21+M7</f>
        <v>267679843.86011499</v>
      </c>
      <c r="F71" s="200">
        <f t="shared" si="12"/>
        <v>0.23763060165993244</v>
      </c>
      <c r="G71" s="197">
        <f>D71*$H$41-E71</f>
        <v>746128385.34626794</v>
      </c>
      <c r="H71" s="197">
        <f t="shared" ca="1" si="13"/>
        <v>35529923.111727044</v>
      </c>
      <c r="I71" s="218">
        <f>D71*$J$41-E71</f>
        <v>802451064.74662256</v>
      </c>
      <c r="J71" s="218">
        <f t="shared" ca="1" si="14"/>
        <v>38211955.464124881</v>
      </c>
      <c r="K71" s="198">
        <f>D71*$L$41-E71</f>
        <v>858773744.14697719</v>
      </c>
      <c r="L71" s="198">
        <f t="shared" ca="1" si="15"/>
        <v>40893987.816522725</v>
      </c>
    </row>
    <row r="72" spans="2:16" hidden="1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idden="1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1865957446.8085108</v>
      </c>
      <c r="E74" s="120">
        <f>SUM(E69:E73)</f>
        <v>436610437.61633199</v>
      </c>
      <c r="F74" s="188">
        <f t="shared" si="12"/>
        <v>0.23398734969176285</v>
      </c>
      <c r="G74" s="194">
        <f>SUM(G69:G73)</f>
        <v>1242751264.5113277</v>
      </c>
      <c r="H74" s="194">
        <f t="shared" ca="1" si="13"/>
        <v>59178631.643396556</v>
      </c>
      <c r="I74" s="199">
        <f>SUM(I69:I73)</f>
        <v>1336049136.8517532</v>
      </c>
      <c r="J74" s="199">
        <f t="shared" ca="1" si="14"/>
        <v>63621387.469131105</v>
      </c>
      <c r="K74" s="199">
        <f>SUM(K69:K73)</f>
        <v>1429347009.1921787</v>
      </c>
      <c r="L74" s="199">
        <f t="shared" ca="1" si="15"/>
        <v>68064143.294865653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229119464.33992499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45133129.879999995</v>
      </c>
    </row>
    <row r="82" spans="2:4" x14ac:dyDescent="0.25">
      <c r="B82" s="53" t="s">
        <v>174</v>
      </c>
      <c r="C82" s="56" t="s">
        <v>175</v>
      </c>
      <c r="D82" s="141">
        <f>IF(E20="",0,E20)</f>
        <v>2882882.8</v>
      </c>
    </row>
    <row r="83" spans="2:4" x14ac:dyDescent="0.25">
      <c r="B83" s="50" t="s">
        <v>71</v>
      </c>
      <c r="C83" s="55" t="s">
        <v>72</v>
      </c>
      <c r="D83" s="140">
        <f>IF(E15="",0,E15)</f>
        <v>93353964.199965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17827026.800000001</v>
      </c>
    </row>
    <row r="86" spans="2:4" x14ac:dyDescent="0.25">
      <c r="B86" s="53" t="s">
        <v>76</v>
      </c>
      <c r="C86" s="56" t="s">
        <v>77</v>
      </c>
      <c r="D86" s="141">
        <f>IF(E17="",0,E17)</f>
        <v>341879095.849971</v>
      </c>
    </row>
    <row r="87" spans="2:4" x14ac:dyDescent="0.25">
      <c r="B87" s="50" t="s">
        <v>78</v>
      </c>
      <c r="C87" s="55" t="s">
        <v>79</v>
      </c>
      <c r="D87" s="140">
        <f>IF(E23="",0,E23)</f>
        <v>110549099.60981899</v>
      </c>
    </row>
    <row r="88" spans="2:4" x14ac:dyDescent="0.25">
      <c r="B88" s="53" t="s">
        <v>174</v>
      </c>
      <c r="C88" s="56" t="s">
        <v>176</v>
      </c>
      <c r="D88" s="141">
        <f>IF(E21="",0,E21)</f>
        <v>3783783.68</v>
      </c>
    </row>
    <row r="89" spans="2:4" x14ac:dyDescent="0.25">
      <c r="B89" s="53" t="s">
        <v>80</v>
      </c>
      <c r="C89" s="56" t="s">
        <v>81</v>
      </c>
      <c r="D89" s="141">
        <f>IF(E11="",0,E11)</f>
        <v>16021621.9</v>
      </c>
    </row>
    <row r="90" spans="2:4" x14ac:dyDescent="0.25">
      <c r="B90" s="50" t="s">
        <v>82</v>
      </c>
      <c r="C90" s="55" t="s">
        <v>83</v>
      </c>
      <c r="D90" s="140">
        <f>IF(E24="",0,E24)</f>
        <v>167531532.20981801</v>
      </c>
    </row>
    <row r="91" spans="2:4" x14ac:dyDescent="0.25">
      <c r="B91" s="53" t="s">
        <v>84</v>
      </c>
      <c r="C91" s="56" t="s">
        <v>85</v>
      </c>
      <c r="D91" s="141">
        <f>IF(E10="",0,E10)</f>
        <v>45574593.170000002</v>
      </c>
    </row>
    <row r="92" spans="2:4" x14ac:dyDescent="0.25">
      <c r="B92" s="50" t="s">
        <v>86</v>
      </c>
      <c r="C92" s="55" t="s">
        <v>87</v>
      </c>
      <c r="D92" s="140">
        <f>IF(E27="",0,E27)</f>
        <v>2770810.8769999999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34389189.859999999</v>
      </c>
    </row>
    <row r="94" spans="2:4" x14ac:dyDescent="0.25">
      <c r="B94" s="57" t="s">
        <v>152</v>
      </c>
      <c r="C94" s="58"/>
      <c r="D94" s="125">
        <f>SUM(D80:D93)</f>
        <v>1110816195.1764979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52" t="s">
        <v>163</v>
      </c>
      <c r="C41" s="253"/>
      <c r="D41" s="254"/>
      <c r="E41" s="67" t="s">
        <v>138</v>
      </c>
      <c r="F41" s="185">
        <f ca="1">IF(MONTH(TODAY())=9,DAY(TODAY())/DAY(EOMONTH(TODAY(),0)),IF(MONTH(TODAY())&gt;9,1,0))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165</v>
      </c>
      <c r="C41" s="253"/>
      <c r="D41" s="254"/>
      <c r="E41" s="67" t="s">
        <v>138</v>
      </c>
      <c r="F41" s="185">
        <f ca="1">IF(MONTH(TODAY())=10,DAY(TODAY())/DAY(EOMONTH(TODAY(),0)),IF(MONTH(TODAY())&gt;10,1,0))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177</v>
      </c>
      <c r="C41" s="253"/>
      <c r="D41" s="254"/>
      <c r="E41" s="67" t="s">
        <v>138</v>
      </c>
      <c r="F41" s="185">
        <f ca="1">IF(MONTH(TODAY())=11,DAY(TODAY())/DAY(EOMONTH(TODAY(),0)),IF(MONTH(TODAY())&gt;11,1,0))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179</v>
      </c>
      <c r="C41" s="253"/>
      <c r="D41" s="254"/>
      <c r="E41" s="67" t="s">
        <v>138</v>
      </c>
      <c r="F41" s="185">
        <f ca="1">IF(MONTH(TODAY())=12,DAY(TODAY())/DAY(EOMONTH(TODAY(),0)),IF(MONTH(TODAY())&gt;12,1,0))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2026-07-31T05:40:55Z</cp:lastPrinted>
  <dcterms:created xsi:type="dcterms:W3CDTF">2026-03-24T08:59:20Z</dcterms:created>
  <dcterms:modified xsi:type="dcterms:W3CDTF">2026-08-07T00:54:06Z</dcterms:modified>
  <dc:language>en-US</dc:language>
</cp:coreProperties>
</file>