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4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<sst xmlns="http://schemas.openxmlformats.org/spreadsheetml/2006/main" count="2112" uniqueCount="226">
  <si>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</si>
  <si>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</si>
  <si>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</si>
  <si>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</si>
  <si>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</si>
  <si>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</si>
  <si>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</si>
  <si>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</si>
  <si>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</si>
  <si>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</si>
  <si>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</si>
  <si>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</si>
  <si>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</si>
  <si>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</si>
  <si>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</si>
  <si>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</si>
  <si>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</si>
  <si>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</si>
  <si>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</si>
  <si>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</si>
  <si>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</si>
  <si>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</si>
  <si>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</si>
  <si>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</si>
  <si>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</si>
  <si>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</si>
  <si>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</si>
  <si>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</si>
  <si>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</si>
  <si>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</si>
  <si>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</si>
  <si>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</si>
  <si>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</si>
  <si>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</si>
  <si>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</si>
  <si>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</si>
  <si>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</si>
  <si>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</si>
  <si>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</si>
  <si>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</si>
  <si>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</si>
  <si>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</si>
  <si>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</si>
  <si>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</si>
  <si>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</si>
  <si>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</si>
  <si>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</si>
  <si>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</si>
  <si>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</si>
  <si>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</si>
  <si>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</si>
  <si>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</si>
  <si>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</si>
  <si>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</si>
  <si>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</si>
  <si>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</si>
  <si>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</si>
  <si>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</si>
  <si>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</si>
  <si>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</si>
  <si>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</si>
  <si>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</si>
  <si>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</si>
  <si>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</si>
  <si>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</si>
  <si>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</si>
  <si>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</si>
  <si>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</si>
  <si>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</si>
  <si>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</si>
  <si>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</si>
  <si>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</si>
  <si>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</si>
  <si>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</si>
  <si>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</si>
  <si>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</si>
  <si>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</si>
  <si>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</si>
  <si>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</si>
  <si>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</si>
  <si>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</si>
  <si>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</si>
  <si>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</si>
  <si>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</si>
  <si>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</si>
  <si>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</si>
  <si>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</si>
  <si>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</si>
  <si>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</si>
  <si>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</si>
  <si>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</si>
  <si>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</si>
  <si>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</si>
  <si>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</si>
  <si>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</si>
  <si>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</si>
  <si>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</si>
  <si>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</si>
  <si>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</si>
  <si>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</si>
  <si>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</si>
  <si>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</si>
  <si>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</si>
  <si>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</si>
  <si>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</si>
  <si>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</si>
  <si>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</si>
  <si>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</si>
  <si>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</si>
  <si>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</si>
  <si>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</si>
  <si>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</si>
  <si>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</si>
  <si>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</si>
  <si>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</si>
  <si>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</si>
  <si>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</si>
  <si>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</si>
  <si>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</si>
  <si>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</si>
  <si>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</si>
  <si>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</si>
  <si>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</si>
  <si>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</si>
  <si>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</si>
  <si>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</si>
  <si>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</si>
  <si>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</si>
  <si>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</si>
  <si>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</si>
  <si>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</si>
  <si>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</si>
  <si>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</si>
  <si>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</si>
  <si>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</si>
  <si>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</si>
  <si>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</si>
  <si>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</si>
  <si>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</si>
  <si>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</si>
  <si>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</si>
  <si>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</si>
  <si>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</si>
  <si>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</si>
  <si>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</si>
  <si>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</si>
  <si>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</si>
  <si>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</si>
  <si>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</si>
  <si>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</si>
  <si>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</si>
  <si>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</si>
  <si>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</si>
  <si>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</si>
  <si>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</si>
  <si>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</si>
  <si>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</si>
  <si>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</si>
  <si>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</si>
  <si>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</si>
  <si>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</si>
  <si>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</si>
  <si>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</si>
  <si>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</si>
  <si>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</si>
  <si>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</si>
  <si>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</si>
  <si>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</si>
  <si>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</si>
  <si>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</si>
  <si>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</si>
  <si>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</si>
  <si>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</si>
  <si>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</si>
  <si>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</si>
  <si>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</si>
  <si>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</si>
  <si>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</si>
  <si>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</si>
  <si>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</si>
  <si>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</si>
  <si>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</si>
  <si>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</si>
  <si>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</si>
  <si>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</si>
  <si>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</si>
  <si>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</si>
  <si>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</si>
  <si>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</si>
  <si>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</si>
  <si>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</si>
  <si>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</si>
  <si>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</si>
  <si>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</si>
  <si>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</si>
  <si>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</si>
  <si>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</si>
  <si>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</si>
  <si>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</si>
  <si>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</si>
  <si>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</si>
  <si>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</si>
  <si>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</si>
  <si>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</si>
  <si>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</si>
  <si>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</si>
  <si>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</si>
  <si>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</si>
  <si>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</si>
  <si>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</si>
  <si>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</si>
  <si>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</si>
  <si>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</si>
  <si>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</si>
  <si>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</si>
  <si>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</si>
  <si>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</si>
  <si>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</si>
  <si>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</si>
  <si>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</si>
  <si>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</si>
  <si>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</si>
  <si>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</si>
  <si>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</si>
  <si>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</si>
  <si>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DATA PENCAPAIAN — GLOBAL — 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</si>
</sst>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4" zoomScale="73" zoomScaleNormal="73" workbookViewId="0">
      <selection activeCell="B77" sqref="B77:D77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20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51372601.039508998</v>
      </c>
      <c r="D10" s="234">
        <v>13663456.24</v>
      </c>
      <c r="E10" s="234">
        <v>65491342.523934998</v>
      </c>
      <c r="F10" s="234">
        <v>48091216.589983001</v>
      </c>
      <c r="G10" s="234">
        <v>178618616.39342701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5443932</v>
      </c>
      <c r="E11" s="234">
        <v>59684684.999750003</v>
      </c>
      <c r="F11" s="234">
        <v>0</v>
      </c>
      <c r="G11" s="234">
        <v>67378616.999750003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62165086.866255999</v>
      </c>
      <c r="D12" s="234">
        <v>41615627.771495</v>
      </c>
      <c r="E12" s="234">
        <v>50356857.089823</v>
      </c>
      <c r="F12" s="234">
        <v>7691986.7999999998</v>
      </c>
      <c r="G12" s="234">
        <v>161829558.527574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13154342.593313999</v>
      </c>
      <c r="D13" s="234">
        <v>9070876.6499920003</v>
      </c>
      <c r="E13" s="234">
        <v>63203018.549872003</v>
      </c>
      <c r="F13" s="234">
        <v>13045946.27</v>
      </c>
      <c r="G13" s="234">
        <v>98474184.063178003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151358704.34775501</v>
      </c>
      <c r="D14" s="234">
        <v>17131982.395939</v>
      </c>
      <c r="E14" s="234">
        <v>50240121.719948001</v>
      </c>
      <c r="F14" s="234">
        <v>130915588.27990501</v>
      </c>
      <c r="G14" s="234">
        <v>349646396.74354702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296588413.82115197</v>
      </c>
      <c r="D15" s="234">
        <v>1398276.0079969999</v>
      </c>
      <c r="E15" s="234">
        <v>11128922.219970001</v>
      </c>
      <c r="F15" s="234">
        <v>8021621.8499999996</v>
      </c>
      <c r="G15" s="234">
        <v>317137233.89911902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133723844.15376601</v>
      </c>
      <c r="D16" s="234">
        <v>20922535.869982999</v>
      </c>
      <c r="E16" s="234">
        <v>91046937.039853007</v>
      </c>
      <c r="F16" s="234">
        <v>393234051.34998202</v>
      </c>
      <c r="G16" s="234">
        <v>638927368.41358399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41344669.417727999</v>
      </c>
      <c r="D17" s="234">
        <v>9978337.7908999994</v>
      </c>
      <c r="E17" s="234">
        <v>34299477.669459999</v>
      </c>
      <c r="F17" s="234">
        <v>11675676</v>
      </c>
      <c r="G17" s="234">
        <v>97298160.878087997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5700850</v>
      </c>
      <c r="D18" s="234">
        <v>53719989.935419001</v>
      </c>
      <c r="E18" s="234">
        <v>23473471</v>
      </c>
      <c r="F18" s="234">
        <v>43664865.700000003</v>
      </c>
      <c r="G18" s="234">
        <v>126559176.635419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7237958.96</v>
      </c>
      <c r="D19" s="234">
        <v>0</v>
      </c>
      <c r="E19" s="234">
        <v>0</v>
      </c>
      <c r="F19" s="234">
        <v>2198198.14</v>
      </c>
      <c r="G19" s="234">
        <v>9436157.0999999996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97060815.540000007</v>
      </c>
      <c r="D20" s="234">
        <v>0</v>
      </c>
      <c r="E20" s="234">
        <v>0</v>
      </c>
      <c r="F20" s="234">
        <v>2804774.7</v>
      </c>
      <c r="G20" s="234">
        <v>99865590.239999995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90396264.023671001</v>
      </c>
      <c r="D21" s="234">
        <v>17837682.219978001</v>
      </c>
      <c r="E21" s="234">
        <v>36784603.689958997</v>
      </c>
      <c r="F21" s="234">
        <v>116475087.07998</v>
      </c>
      <c r="G21" s="234">
        <v>261493637.01358801</v>
      </c>
      <c r="H21" s="111"/>
      <c r="I21" s="111"/>
      <c r="J21" s="111"/>
      <c r="M21" s="14">
        <f>SUM(C33,C34)+M20</f>
        <v>236156752.71614498</v>
      </c>
      <c r="N21" s="10" t="s">
        <v>224</v>
      </c>
    </row>
    <row r="22" spans="2:15" ht="15" customHeight="1" x14ac:dyDescent="0.25">
      <c r="B22" s="72" t="s">
        <v>125</v>
      </c>
      <c r="C22" s="234">
        <v>66439552.353255004</v>
      </c>
      <c r="D22" s="234">
        <v>19338271.229998</v>
      </c>
      <c r="E22" s="234">
        <v>58480451.053874999</v>
      </c>
      <c r="F22" s="234">
        <v>98088831.329789996</v>
      </c>
      <c r="G22" s="234">
        <v>242347105.96691799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154314687.48579299</v>
      </c>
      <c r="D23" s="234">
        <v>19983004.539992001</v>
      </c>
      <c r="E23" s="234">
        <v>76555361.099921003</v>
      </c>
      <c r="F23" s="234">
        <v>206005858.729803</v>
      </c>
      <c r="G23" s="234">
        <v>456858911.85550898</v>
      </c>
      <c r="H23" s="111"/>
      <c r="I23" s="111"/>
      <c r="J23" s="111"/>
    </row>
    <row r="24" spans="2:15" ht="15" customHeight="1" x14ac:dyDescent="0.25">
      <c r="B24" s="72" t="s">
        <v>183</v>
      </c>
      <c r="C24" s="234">
        <v>69684275.071097001</v>
      </c>
      <c r="D24" s="234">
        <v>18550994.529987998</v>
      </c>
      <c r="E24" s="234">
        <v>58633056.648356996</v>
      </c>
      <c r="F24" s="234">
        <v>16126125.949999999</v>
      </c>
      <c r="G24" s="234">
        <v>162994452.199442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78180307.809403002</v>
      </c>
      <c r="D25" s="234">
        <v>37615863.251791</v>
      </c>
      <c r="E25" s="234">
        <v>32245063.301878002</v>
      </c>
      <c r="F25" s="234">
        <v>18234234.640000001</v>
      </c>
      <c r="G25" s="234">
        <v>166275469.00307199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137953482.798628</v>
      </c>
      <c r="D26" s="234">
        <v>119332419.20853999</v>
      </c>
      <c r="E26" s="234">
        <v>108505775.08831</v>
      </c>
      <c r="F26" s="234">
        <v>1415675.7150000001</v>
      </c>
      <c r="G26" s="234">
        <v>367207352.81047797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69268674.669623002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57252628.709862001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54221212.522147998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181935540.193997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225</v>
      </c>
      <c r="C40" s="270"/>
      <c r="D40" s="271"/>
      <c r="E40" s="66" t="s">
        <v>137</v>
      </c>
      <c r="F40" s="174">
        <f ca="1">IF(MONTH(TODAY())=9,DAY(TODAY())/DAY(EOMONTH(TODAY(),0)),IF(MONTH(TODAY())&gt;9,1,0))</f>
        <v>0.26666666666666666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1162337442.460175</v>
      </c>
      <c r="F42" s="176">
        <f>IFERROR(E42/D42,0)</f>
        <v>0.25762246564408275</v>
      </c>
      <c r="G42" s="184">
        <f>D42*$H$40-E42</f>
        <v>3349448591.2392211</v>
      </c>
      <c r="H42" s="184">
        <f ca="1">IFERROR(G42/$C$3,0)</f>
        <v>167472429.56196105</v>
      </c>
      <c r="I42" s="204">
        <f>D42*$J$40-E42</f>
        <v>3349448591.2392211</v>
      </c>
      <c r="J42" s="204">
        <f ca="1">IFERROR(I42/$C$3,0)</f>
        <v>167472429.56196105</v>
      </c>
      <c r="K42" s="185">
        <f>D42*$L$40-E42</f>
        <v>3349448591.2392211</v>
      </c>
      <c r="L42" s="185">
        <f ca="1">IFERROR(K42/$C$3,0)</f>
        <v>167472429.56196105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404204973.63401502</v>
      </c>
      <c r="F43" s="176">
        <f>IFERROR(E43/D43,0)</f>
        <v>0.28843654870074564</v>
      </c>
      <c r="G43" s="184">
        <f>D43*$H$40-E43</f>
        <v>997160336.88139987</v>
      </c>
      <c r="H43" s="184">
        <f ca="1">IFERROR(G43/$C$3,0)</f>
        <v>49858016.844069995</v>
      </c>
      <c r="I43" s="204">
        <f>D43*$J$40-E43</f>
        <v>997160336.88139987</v>
      </c>
      <c r="J43" s="204">
        <f ca="1">IFERROR(I43/$C$3,0)</f>
        <v>49858016.844069995</v>
      </c>
      <c r="K43" s="185">
        <f>D43*$L$40-E43</f>
        <v>997160336.88139987</v>
      </c>
      <c r="L43" s="185">
        <f ca="1">IFERROR(K43/$C$3,0)</f>
        <v>49858016.844069995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809000221.47494078</v>
      </c>
      <c r="F44" s="176">
        <f>IFERROR(E44/D44,0)</f>
        <v>0.27472029389274388</v>
      </c>
      <c r="G44" s="184">
        <f>IF(D44=0,0,D44*$H$40-E44)</f>
        <v>2135813974.8537445</v>
      </c>
      <c r="H44" s="184">
        <f ca="1">IFERROR(G44/$C$3,0)</f>
        <v>106790698.74268723</v>
      </c>
      <c r="I44" s="204">
        <f>IF(D44=0,0,D44*$J$40-E44)</f>
        <v>2135813974.8537445</v>
      </c>
      <c r="J44" s="204">
        <f ca="1">IFERROR(I44/$C$3,0)</f>
        <v>106790698.74268723</v>
      </c>
      <c r="K44" s="185">
        <f>IF(D44=0,0,D44*$L$40-E44)</f>
        <v>2135813974.8537445</v>
      </c>
      <c r="L44" s="185">
        <f ca="1">IFERROR(K44/$C$3,0)</f>
        <v>106790698.74268723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362678056.09562999</v>
      </c>
      <c r="F45" s="176">
        <f>IFERROR(E45/D45,0)</f>
        <v>0.2083847021576358</v>
      </c>
      <c r="G45" s="184">
        <f>D45*$H$40-E45</f>
        <v>1377747475.8192637</v>
      </c>
      <c r="H45" s="184">
        <f ca="1">IFERROR(G45/$C$3,0)</f>
        <v>68887373.790963188</v>
      </c>
      <c r="I45" s="204">
        <f>D45*$J$40-E45</f>
        <v>1377747475.8192637</v>
      </c>
      <c r="J45" s="204">
        <f ca="1">IFERROR(I45/$C$3,0)</f>
        <v>68887373.790963188</v>
      </c>
      <c r="K45" s="185">
        <f>D45*$L$40-E45</f>
        <v>1377747475.8192637</v>
      </c>
      <c r="L45" s="185">
        <f ca="1">IFERROR(K45/$C$3,0)</f>
        <v>68887373.790963188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2738220693.6647611</v>
      </c>
      <c r="F46" s="177">
        <f>IFERROR(E46/D46,0)</f>
        <v>0.25836192257336721</v>
      </c>
      <c r="G46" s="181">
        <f>SUM(G42:G45)</f>
        <v>7860170378.7936287</v>
      </c>
      <c r="H46" s="181">
        <f ca="1">IFERROR(G46/$C$3,0)</f>
        <v>393008518.93968141</v>
      </c>
      <c r="I46" s="186">
        <f>SUM(I42:I45)</f>
        <v>7860170378.7936287</v>
      </c>
      <c r="J46" s="186">
        <f ca="1">IFERROR(I46/$C$3,0)</f>
        <v>393008518.93968141</v>
      </c>
      <c r="K46" s="186">
        <f>SUM(K42:K45)</f>
        <v>7860170378.7936287</v>
      </c>
      <c r="L46" s="186">
        <f ca="1">IFERROR(K46/$C$3,0)</f>
        <v>393008518.93968141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90396264.023671001</v>
      </c>
      <c r="I51" s="114">
        <f t="shared" ref="I51:I64" si="1">SUMIF($B$10:$B$26,$T51,D$10:D$26)+SUMIF($B$10:$B$26,$U51,D$10:D$26)</f>
        <v>17837682.219978001</v>
      </c>
      <c r="J51" s="114">
        <f t="shared" ref="J51:J64" si="2">SUMIF($B$10:$B$26,$T51,E$10:E$26)+SUMIF($B$10:$B$26,$U51,E$10:E$26)</f>
        <v>36784603.689958997</v>
      </c>
      <c r="K51" s="114">
        <f t="shared" ref="K51:K64" si="3">SUM(H51:J51)</f>
        <v>145018549.933608</v>
      </c>
      <c r="L51" s="187">
        <f t="shared" ref="L51:L65" si="4">IFERROR(K51/G51,0)</f>
        <v>0.28193566725503777</v>
      </c>
      <c r="M51" s="184">
        <f t="shared" ref="M51:M64" si="5">G51*$H$40-K51</f>
        <v>369348969.9532066</v>
      </c>
      <c r="N51" s="184">
        <f t="shared" ref="N51:N65" ca="1" si="6">IFERROR(M51/$C$3,0)</f>
        <v>18467448.497660331</v>
      </c>
      <c r="O51" s="180">
        <f t="shared" ref="O51:O64" si="7">G51*$J$40-K51</f>
        <v>369348969.9532066</v>
      </c>
      <c r="P51" s="180">
        <f t="shared" ref="P51:P65" ca="1" si="8">IFERROR(O51/$C$3,0)</f>
        <v>18467448.497660331</v>
      </c>
      <c r="Q51" s="185">
        <f t="shared" ref="Q51:Q64" si="9">G51*$L$40-K51</f>
        <v>369348969.9532066</v>
      </c>
      <c r="R51" s="185">
        <f t="shared" ref="R51:R65" ca="1" si="10">IFERROR(Q51/$C$3,0)</f>
        <v>18467448.497660331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75319429.459569991</v>
      </c>
      <c r="I52" s="114">
        <f t="shared" si="1"/>
        <v>50686504.421487004</v>
      </c>
      <c r="J52" s="114">
        <f t="shared" si="2"/>
        <v>113559875.639695</v>
      </c>
      <c r="K52" s="114">
        <f t="shared" si="3"/>
        <v>239565809.52075201</v>
      </c>
      <c r="L52" s="187">
        <f t="shared" si="4"/>
        <v>0.30497584502159647</v>
      </c>
      <c r="M52" s="184">
        <f t="shared" si="5"/>
        <v>545958071.89938951</v>
      </c>
      <c r="N52" s="184">
        <f t="shared" ca="1" si="6"/>
        <v>27297903.594969474</v>
      </c>
      <c r="O52" s="180">
        <f t="shared" si="7"/>
        <v>545958071.89938951</v>
      </c>
      <c r="P52" s="180">
        <f t="shared" ca="1" si="8"/>
        <v>27297903.594969474</v>
      </c>
      <c r="Q52" s="185">
        <f t="shared" si="9"/>
        <v>545958071.89938951</v>
      </c>
      <c r="R52" s="185">
        <f t="shared" ca="1" si="10"/>
        <v>27297903.594969474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7237958.96</v>
      </c>
      <c r="I53" s="114">
        <f t="shared" si="1"/>
        <v>0</v>
      </c>
      <c r="J53" s="114">
        <f t="shared" si="2"/>
        <v>0</v>
      </c>
      <c r="K53" s="114">
        <f t="shared" si="3"/>
        <v>7237958.96</v>
      </c>
      <c r="L53" s="187">
        <f t="shared" si="4"/>
        <v>2.7525664541080765E-2</v>
      </c>
      <c r="M53" s="184">
        <f t="shared" si="5"/>
        <v>255715146.10301074</v>
      </c>
      <c r="N53" s="184">
        <f t="shared" ca="1" si="6"/>
        <v>12785757.305150537</v>
      </c>
      <c r="O53" s="180">
        <f t="shared" si="7"/>
        <v>255715146.10301074</v>
      </c>
      <c r="P53" s="180">
        <f t="shared" ca="1" si="8"/>
        <v>12785757.305150537</v>
      </c>
      <c r="Q53" s="185">
        <f t="shared" si="9"/>
        <v>255715146.10301074</v>
      </c>
      <c r="R53" s="185">
        <f t="shared" ca="1" si="10"/>
        <v>12785757.305150537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151358704.34775501</v>
      </c>
      <c r="I54" s="114">
        <f t="shared" si="1"/>
        <v>17131982.395939</v>
      </c>
      <c r="J54" s="114">
        <f t="shared" si="2"/>
        <v>50240121.719948001</v>
      </c>
      <c r="K54" s="114">
        <f t="shared" si="3"/>
        <v>218730808.463642</v>
      </c>
      <c r="L54" s="187">
        <f t="shared" si="4"/>
        <v>0.30100356972578968</v>
      </c>
      <c r="M54" s="184">
        <f t="shared" si="5"/>
        <v>507941000.32222354</v>
      </c>
      <c r="N54" s="184">
        <f t="shared" ca="1" si="6"/>
        <v>25397050.016111176</v>
      </c>
      <c r="O54" s="180">
        <f t="shared" si="7"/>
        <v>507941000.32222354</v>
      </c>
      <c r="P54" s="180">
        <f t="shared" ca="1" si="8"/>
        <v>25397050.016111176</v>
      </c>
      <c r="Q54" s="185">
        <f t="shared" si="9"/>
        <v>507941000.32222354</v>
      </c>
      <c r="R54" s="185">
        <f t="shared" ca="1" si="10"/>
        <v>25397050.016111176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5443932</v>
      </c>
      <c r="J55" s="114">
        <f t="shared" si="2"/>
        <v>59684684.999750003</v>
      </c>
      <c r="K55" s="114">
        <f t="shared" si="3"/>
        <v>67378616.999750003</v>
      </c>
      <c r="L55" s="187">
        <f t="shared" si="4"/>
        <v>0.12542533810174758</v>
      </c>
      <c r="M55" s="184">
        <f t="shared" si="5"/>
        <v>469822382.57093561</v>
      </c>
      <c r="N55" s="184">
        <f t="shared" ca="1" si="6"/>
        <v>23491119.128546782</v>
      </c>
      <c r="O55" s="180">
        <f t="shared" si="7"/>
        <v>469822382.57093561</v>
      </c>
      <c r="P55" s="180">
        <f t="shared" ca="1" si="8"/>
        <v>23491119.128546782</v>
      </c>
      <c r="Q55" s="185">
        <f t="shared" si="9"/>
        <v>469822382.57093561</v>
      </c>
      <c r="R55" s="185">
        <f t="shared" ca="1" si="10"/>
        <v>23491119.128546782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69684275.071097001</v>
      </c>
      <c r="I56" s="114">
        <f t="shared" si="1"/>
        <v>18550994.529987998</v>
      </c>
      <c r="J56" s="114">
        <f t="shared" si="2"/>
        <v>58633056.648356996</v>
      </c>
      <c r="K56" s="114">
        <f t="shared" si="3"/>
        <v>146868326.24944201</v>
      </c>
      <c r="L56" s="187">
        <f t="shared" si="4"/>
        <v>0.25544717101611053</v>
      </c>
      <c r="M56" s="184">
        <f t="shared" si="5"/>
        <v>428077662.25077641</v>
      </c>
      <c r="N56" s="184">
        <f t="shared" ca="1" si="6"/>
        <v>21403883.112538822</v>
      </c>
      <c r="O56" s="180">
        <f t="shared" si="7"/>
        <v>428077662.25077641</v>
      </c>
      <c r="P56" s="180">
        <f t="shared" ca="1" si="8"/>
        <v>21403883.112538822</v>
      </c>
      <c r="Q56" s="185">
        <f t="shared" si="9"/>
        <v>428077662.25077641</v>
      </c>
      <c r="R56" s="185">
        <f t="shared" ca="1" si="10"/>
        <v>21403883.112538822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133723844.15376601</v>
      </c>
      <c r="I57" s="114">
        <f t="shared" si="1"/>
        <v>20922535.869982999</v>
      </c>
      <c r="J57" s="114">
        <f t="shared" si="2"/>
        <v>91046937.039853007</v>
      </c>
      <c r="K57" s="114">
        <f t="shared" si="3"/>
        <v>245693317.063602</v>
      </c>
      <c r="L57" s="187">
        <f t="shared" si="4"/>
        <v>0.22150815604023877</v>
      </c>
      <c r="M57" s="184">
        <f t="shared" si="5"/>
        <v>863490748.46114469</v>
      </c>
      <c r="N57" s="184">
        <f t="shared" ca="1" si="6"/>
        <v>43174537.423057236</v>
      </c>
      <c r="O57" s="180">
        <f t="shared" si="7"/>
        <v>863490748.46114469</v>
      </c>
      <c r="P57" s="180">
        <f t="shared" ca="1" si="8"/>
        <v>43174537.423057236</v>
      </c>
      <c r="Q57" s="185">
        <f t="shared" si="9"/>
        <v>863490748.46114469</v>
      </c>
      <c r="R57" s="185">
        <f t="shared" ca="1" si="10"/>
        <v>43174537.423057236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66439552.353255004</v>
      </c>
      <c r="I58" s="114">
        <f t="shared" si="1"/>
        <v>19338271.229998</v>
      </c>
      <c r="J58" s="114">
        <f t="shared" si="2"/>
        <v>58480451.053874999</v>
      </c>
      <c r="K58" s="114">
        <f t="shared" si="3"/>
        <v>144258274.637128</v>
      </c>
      <c r="L58" s="187">
        <f t="shared" si="4"/>
        <v>0.23472626897022464</v>
      </c>
      <c r="M58" s="184">
        <f t="shared" si="5"/>
        <v>470322595.5399009</v>
      </c>
      <c r="N58" s="184">
        <f t="shared" ca="1" si="6"/>
        <v>23516129.776995044</v>
      </c>
      <c r="O58" s="180">
        <f t="shared" si="7"/>
        <v>470322595.5399009</v>
      </c>
      <c r="P58" s="180">
        <f t="shared" ca="1" si="8"/>
        <v>23516129.776995044</v>
      </c>
      <c r="Q58" s="185">
        <f t="shared" si="9"/>
        <v>470322595.5399009</v>
      </c>
      <c r="R58" s="185">
        <f t="shared" ca="1" si="10"/>
        <v>23516129.776995044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97060815.540000007</v>
      </c>
      <c r="I59" s="114">
        <f t="shared" si="1"/>
        <v>0</v>
      </c>
      <c r="J59" s="114">
        <f t="shared" si="2"/>
        <v>0</v>
      </c>
      <c r="K59" s="114">
        <f t="shared" si="3"/>
        <v>97060815.540000007</v>
      </c>
      <c r="L59" s="187">
        <f t="shared" si="4"/>
        <v>0.21868093675977288</v>
      </c>
      <c r="M59" s="184">
        <f t="shared" si="5"/>
        <v>346785900.03641999</v>
      </c>
      <c r="N59" s="184">
        <f t="shared" ca="1" si="6"/>
        <v>17339295.001821</v>
      </c>
      <c r="O59" s="180">
        <f t="shared" si="7"/>
        <v>346785900.03641999</v>
      </c>
      <c r="P59" s="180">
        <f t="shared" ca="1" si="8"/>
        <v>17339295.001821</v>
      </c>
      <c r="Q59" s="185">
        <f t="shared" si="9"/>
        <v>346785900.03641999</v>
      </c>
      <c r="R59" s="185">
        <f t="shared" ca="1" si="10"/>
        <v>17339295.001821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78180307.809403002</v>
      </c>
      <c r="I60" s="114">
        <f t="shared" si="1"/>
        <v>37615863.251791</v>
      </c>
      <c r="J60" s="114">
        <f t="shared" si="2"/>
        <v>32245063.301878002</v>
      </c>
      <c r="K60" s="114">
        <f t="shared" si="3"/>
        <v>148041234.36307201</v>
      </c>
      <c r="L60" s="187">
        <f t="shared" si="4"/>
        <v>0.25560214015468391</v>
      </c>
      <c r="M60" s="184">
        <f t="shared" si="5"/>
        <v>431144973.83331168</v>
      </c>
      <c r="N60" s="184">
        <f t="shared" ca="1" si="6"/>
        <v>21557248.691665582</v>
      </c>
      <c r="O60" s="180">
        <f t="shared" si="7"/>
        <v>431144973.83331168</v>
      </c>
      <c r="P60" s="180">
        <f t="shared" ca="1" si="8"/>
        <v>21557248.691665582</v>
      </c>
      <c r="Q60" s="185">
        <f t="shared" si="9"/>
        <v>431144973.83331168</v>
      </c>
      <c r="R60" s="185">
        <f t="shared" ca="1" si="10"/>
        <v>21557248.691665582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154314687.48579299</v>
      </c>
      <c r="I61" s="114">
        <f t="shared" si="1"/>
        <v>19983004.539992001</v>
      </c>
      <c r="J61" s="114">
        <f t="shared" si="2"/>
        <v>76555361.099921003</v>
      </c>
      <c r="K61" s="114">
        <f t="shared" si="3"/>
        <v>250853053.12570602</v>
      </c>
      <c r="L61" s="187">
        <f t="shared" si="4"/>
        <v>0.35006359620413952</v>
      </c>
      <c r="M61" s="184">
        <f t="shared" si="5"/>
        <v>465739748.42747551</v>
      </c>
      <c r="N61" s="184">
        <f t="shared" ca="1" si="6"/>
        <v>23286987.421373777</v>
      </c>
      <c r="O61" s="180">
        <f t="shared" si="7"/>
        <v>465739748.42747551</v>
      </c>
      <c r="P61" s="180">
        <f t="shared" ca="1" si="8"/>
        <v>23286987.421373777</v>
      </c>
      <c r="Q61" s="185">
        <f t="shared" si="9"/>
        <v>465739748.42747551</v>
      </c>
      <c r="R61" s="185">
        <f t="shared" ca="1" si="10"/>
        <v>23286987.421373777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51372601.039508998</v>
      </c>
      <c r="I62" s="114">
        <f t="shared" si="1"/>
        <v>13663456.24</v>
      </c>
      <c r="J62" s="114">
        <f t="shared" si="2"/>
        <v>65491342.523934998</v>
      </c>
      <c r="K62" s="114">
        <f t="shared" si="3"/>
        <v>130527399.803444</v>
      </c>
      <c r="L62" s="187">
        <f t="shared" si="4"/>
        <v>0.27362900599622636</v>
      </c>
      <c r="M62" s="184">
        <f t="shared" si="5"/>
        <v>346495857.75735748</v>
      </c>
      <c r="N62" s="184">
        <f t="shared" ca="1" si="6"/>
        <v>17324792.887867875</v>
      </c>
      <c r="O62" s="180">
        <f t="shared" si="7"/>
        <v>346495857.75735748</v>
      </c>
      <c r="P62" s="180">
        <f t="shared" ca="1" si="8"/>
        <v>17324792.887867875</v>
      </c>
      <c r="Q62" s="185">
        <f t="shared" si="9"/>
        <v>346495857.75735748</v>
      </c>
      <c r="R62" s="185">
        <f t="shared" ca="1" si="10"/>
        <v>17324792.887867875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137953482.798628</v>
      </c>
      <c r="I63" s="114">
        <f t="shared" si="1"/>
        <v>119332419.20853999</v>
      </c>
      <c r="J63" s="114">
        <f t="shared" si="2"/>
        <v>108505775.08831</v>
      </c>
      <c r="K63" s="114">
        <f t="shared" si="3"/>
        <v>365791677.095478</v>
      </c>
      <c r="L63" s="187">
        <f t="shared" si="4"/>
        <v>0.37364800097514517</v>
      </c>
      <c r="M63" s="184">
        <f t="shared" si="5"/>
        <v>613182320.1983285</v>
      </c>
      <c r="N63" s="184">
        <f t="shared" ca="1" si="6"/>
        <v>30659116.009916425</v>
      </c>
      <c r="O63" s="180">
        <f t="shared" si="7"/>
        <v>613182320.1983285</v>
      </c>
      <c r="P63" s="180">
        <f t="shared" ca="1" si="8"/>
        <v>30659116.009916425</v>
      </c>
      <c r="Q63" s="185">
        <f t="shared" si="9"/>
        <v>613182320.1983285</v>
      </c>
      <c r="R63" s="185">
        <f t="shared" ca="1" si="10"/>
        <v>30659116.009916425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47045519.417727999</v>
      </c>
      <c r="I64" s="114">
        <f t="shared" si="1"/>
        <v>63698327.726319</v>
      </c>
      <c r="J64" s="114">
        <f t="shared" si="2"/>
        <v>57772948.669459999</v>
      </c>
      <c r="K64" s="114">
        <f t="shared" si="3"/>
        <v>168516795.81350699</v>
      </c>
      <c r="L64" s="187">
        <f t="shared" si="4"/>
        <v>0.31386161457438272</v>
      </c>
      <c r="M64" s="184">
        <f t="shared" si="5"/>
        <v>368397525.62088382</v>
      </c>
      <c r="N64" s="184">
        <f t="shared" ca="1" si="6"/>
        <v>18419876.281044193</v>
      </c>
      <c r="O64" s="180">
        <f t="shared" si="7"/>
        <v>368397525.62088382</v>
      </c>
      <c r="P64" s="180">
        <f t="shared" ca="1" si="8"/>
        <v>18419876.281044193</v>
      </c>
      <c r="Q64" s="185">
        <f t="shared" si="9"/>
        <v>368397525.62088382</v>
      </c>
      <c r="R64" s="185">
        <f t="shared" ca="1" si="10"/>
        <v>18419876.281044193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1162337442.460175</v>
      </c>
      <c r="I65" s="135">
        <f t="shared" si="12"/>
        <v>404204973.63401502</v>
      </c>
      <c r="J65" s="135">
        <f t="shared" si="12"/>
        <v>809000221.47494078</v>
      </c>
      <c r="K65" s="135">
        <f t="shared" si="12"/>
        <v>2375542637.5691304</v>
      </c>
      <c r="L65" s="189">
        <f t="shared" si="4"/>
        <v>0.26818151715493976</v>
      </c>
      <c r="M65" s="181">
        <f>SUM(M51:M64)</f>
        <v>6482422902.9743652</v>
      </c>
      <c r="N65" s="181">
        <f t="shared" ca="1" si="6"/>
        <v>324121145.14871824</v>
      </c>
      <c r="O65" s="181">
        <f>SUM(O51:O64)</f>
        <v>6482422902.9743652</v>
      </c>
      <c r="P65" s="181">
        <f t="shared" ca="1" si="8"/>
        <v>324121145.14871824</v>
      </c>
      <c r="Q65" s="186">
        <f>SUM(Q51:Q64)</f>
        <v>6482422902.9743652</v>
      </c>
      <c r="R65" s="186">
        <f t="shared" ca="1" si="10"/>
        <v>324121145.14871824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69268674.669623002</v>
      </c>
      <c r="F69" s="187">
        <f t="shared" ref="F69:F74" si="13">IFERROR(E69/D69,0)</f>
        <v>0.27030886423328787</v>
      </c>
      <c r="G69" s="184">
        <f>D69*$H$40-E69</f>
        <v>186988828.63534164</v>
      </c>
      <c r="H69" s="184">
        <f t="shared" ref="H69:H74" ca="1" si="14">IFERROR(G69/$C$3,0)</f>
        <v>9349441.4317670818</v>
      </c>
      <c r="I69" s="204">
        <f>D69*$J$40-E69</f>
        <v>186988828.63534164</v>
      </c>
      <c r="J69" s="204">
        <f t="shared" ref="J69:J74" ca="1" si="15">IFERROR(I69/$C$3,0)</f>
        <v>9349441.4317670818</v>
      </c>
      <c r="K69" s="185">
        <f>D69*$L$40-E69</f>
        <v>186988828.63534164</v>
      </c>
      <c r="L69" s="185">
        <f t="shared" ref="L69:L74" ca="1" si="16">IFERROR(K69/$C$3,0)</f>
        <v>9349441.4317670818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57252628.709862001</v>
      </c>
      <c r="F70" s="187">
        <f t="shared" si="13"/>
        <v>0.14328975926094054</v>
      </c>
      <c r="G70" s="184">
        <f>D70*$H$40-E70</f>
        <v>342305783.59510261</v>
      </c>
      <c r="H70" s="184">
        <f t="shared" ca="1" si="14"/>
        <v>17115289.179755129</v>
      </c>
      <c r="I70" s="204">
        <f>D70*$J$40-E70</f>
        <v>342305783.59510261</v>
      </c>
      <c r="J70" s="204">
        <f t="shared" ca="1" si="15"/>
        <v>17115289.179755129</v>
      </c>
      <c r="K70" s="185">
        <f>D70*$L$40-E70</f>
        <v>342305783.59510261</v>
      </c>
      <c r="L70" s="185">
        <f t="shared" ca="1" si="16"/>
        <v>17115289.179755129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236156752.71614498</v>
      </c>
      <c r="F71" s="187">
        <f t="shared" si="13"/>
        <v>0.21773433423970651</v>
      </c>
      <c r="G71" s="184">
        <f>D71*$H$40-E71</f>
        <v>848452863.5888195</v>
      </c>
      <c r="H71" s="184">
        <f t="shared" ca="1" si="14"/>
        <v>42422643.179440975</v>
      </c>
      <c r="I71" s="204">
        <f>D71*$J$40-E71</f>
        <v>848452863.5888195</v>
      </c>
      <c r="J71" s="204">
        <f t="shared" ca="1" si="15"/>
        <v>42422643.179440975</v>
      </c>
      <c r="K71" s="185">
        <f>D71*$L$40-E71</f>
        <v>848452863.5888195</v>
      </c>
      <c r="L71" s="185">
        <f t="shared" ca="1" si="16"/>
        <v>42422643.179440975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362678056.09562999</v>
      </c>
      <c r="F74" s="177">
        <f t="shared" si="13"/>
        <v>0.2083847021576358</v>
      </c>
      <c r="G74" s="181">
        <f>SUM(G69:G73)</f>
        <v>1377747475.8192637</v>
      </c>
      <c r="H74" s="181">
        <f t="shared" ca="1" si="14"/>
        <v>68887373.790963188</v>
      </c>
      <c r="I74" s="186">
        <f>SUM(I69:I73)</f>
        <v>1377747475.8192637</v>
      </c>
      <c r="J74" s="186">
        <f t="shared" ca="1" si="15"/>
        <v>68887373.790963188</v>
      </c>
      <c r="K74" s="186">
        <f>SUM(K69:K73)</f>
        <v>1377747475.8192637</v>
      </c>
      <c r="L74" s="186">
        <f t="shared" ca="1" si="16"/>
        <v>68887373.790963188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116475087.07998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20737933.07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130915588.27990501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16126125.949999999</v>
      </c>
      <c r="T85" t="str">
        <f t="shared" si="17"/>
        <v>Vacant Hotel Kuta Seminyak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393234051.34998202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98088831.329789996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2804774.7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18234234.640000001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206005858.729803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48091216.589983001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1415675.7150000001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55340541.700000003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1109668117.2744431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2026-09-08T01:01:43Z</dcterms:modified>
  <dc:language>en-US</dc:language>
</cp:coreProperties>
</file>