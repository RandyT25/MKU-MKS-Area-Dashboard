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definedNames>
    <definedName name="_xlnm._FilterDatabase" localSheetId="11" hidden="1">OKT!$B$42:$L$47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14" l="1"/>
  <c r="U93" i="14"/>
  <c r="T93" i="14"/>
  <c r="D93" i="14"/>
  <c r="U92" i="14"/>
  <c r="T92" i="14"/>
  <c r="D92" i="14" s="1"/>
  <c r="U91" i="14"/>
  <c r="T91" i="14"/>
  <c r="D91" i="14" s="1"/>
  <c r="U90" i="14"/>
  <c r="T90" i="14"/>
  <c r="D90" i="14"/>
  <c r="U89" i="14"/>
  <c r="T89" i="14"/>
  <c r="D89" i="14" s="1"/>
  <c r="U88" i="14"/>
  <c r="D88" i="14" s="1"/>
  <c r="T88" i="14"/>
  <c r="U87" i="14"/>
  <c r="T87" i="14"/>
  <c r="D87" i="14" s="1"/>
  <c r="U86" i="14"/>
  <c r="T86" i="14"/>
  <c r="D86" i="14"/>
  <c r="U85" i="14"/>
  <c r="T85" i="14"/>
  <c r="D85" i="14"/>
  <c r="U84" i="14"/>
  <c r="T84" i="14"/>
  <c r="D84" i="14" s="1"/>
  <c r="U83" i="14"/>
  <c r="T83" i="14"/>
  <c r="D83" i="14" s="1"/>
  <c r="U82" i="14"/>
  <c r="T82" i="14"/>
  <c r="D82" i="14"/>
  <c r="U81" i="14"/>
  <c r="T81" i="14"/>
  <c r="D81" i="14" s="1"/>
  <c r="U80" i="14"/>
  <c r="D80" i="14" s="1"/>
  <c r="T80" i="14"/>
  <c r="D94" i="13"/>
  <c r="U93" i="13"/>
  <c r="T93" i="13"/>
  <c r="D93" i="13"/>
  <c r="U92" i="13"/>
  <c r="T92" i="13"/>
  <c r="D92" i="13" s="1"/>
  <c r="U91" i="13"/>
  <c r="T91" i="13"/>
  <c r="D91" i="13" s="1"/>
  <c r="U90" i="13"/>
  <c r="T90" i="13"/>
  <c r="D90" i="13"/>
  <c r="U89" i="13"/>
  <c r="T89" i="13"/>
  <c r="D89" i="13" s="1"/>
  <c r="U88" i="13"/>
  <c r="T88" i="13"/>
  <c r="D88" i="13"/>
  <c r="U87" i="13"/>
  <c r="T87" i="13"/>
  <c r="D87" i="13" s="1"/>
  <c r="U86" i="13"/>
  <c r="D86" i="13" s="1"/>
  <c r="T86" i="13"/>
  <c r="U85" i="13"/>
  <c r="T85" i="13"/>
  <c r="D85" i="13"/>
  <c r="U84" i="13"/>
  <c r="T84" i="13"/>
  <c r="D84" i="13" s="1"/>
  <c r="U83" i="13"/>
  <c r="T83" i="13"/>
  <c r="D83" i="13"/>
  <c r="U82" i="13"/>
  <c r="T82" i="13"/>
  <c r="D82" i="13"/>
  <c r="U81" i="13"/>
  <c r="T81" i="13"/>
  <c r="D81" i="13" s="1"/>
  <c r="U80" i="13"/>
  <c r="T80" i="13"/>
  <c r="D80" i="13"/>
  <c r="D95" i="12"/>
  <c r="E69" i="14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D95" i="14" l="1"/>
  <c r="D95" i="13"/>
  <c r="J64" i="1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D73" i="14" l="1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U88" i="12"/>
  <c r="T88" i="12"/>
  <c r="U87" i="12"/>
  <c r="T87" i="12"/>
  <c r="D87" i="12" s="1"/>
  <c r="U86" i="12"/>
  <c r="T86" i="12"/>
  <c r="U85" i="12"/>
  <c r="T85" i="12"/>
  <c r="U84" i="12"/>
  <c r="T84" i="12"/>
  <c r="U83" i="12"/>
  <c r="T83" i="12"/>
  <c r="D83" i="12" s="1"/>
  <c r="U82" i="12"/>
  <c r="T82" i="12"/>
  <c r="U81" i="12"/>
  <c r="T81" i="12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F52" i="4" l="1"/>
  <c r="F56" i="4"/>
  <c r="F60" i="4"/>
  <c r="F54" i="6"/>
  <c r="F58" i="6"/>
  <c r="F61" i="6"/>
  <c r="I56" i="7"/>
  <c r="I61" i="7"/>
  <c r="J61" i="7" s="1"/>
  <c r="F54" i="7"/>
  <c r="F58" i="7"/>
  <c r="F61" i="7"/>
  <c r="I53" i="8"/>
  <c r="F57" i="8"/>
  <c r="F60" i="8"/>
  <c r="F64" i="8"/>
  <c r="F69" i="8"/>
  <c r="I52" i="9"/>
  <c r="I57" i="9"/>
  <c r="D81" i="12"/>
  <c r="D85" i="12"/>
  <c r="D89" i="12"/>
  <c r="I62" i="9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K72" i="7"/>
  <c r="F52" i="8"/>
  <c r="F55" i="8"/>
  <c r="F59" i="8"/>
  <c r="F62" i="8"/>
  <c r="I55" i="9"/>
  <c r="I60" i="9"/>
  <c r="I64" i="9"/>
  <c r="M64" i="9" s="1"/>
  <c r="N64" i="9" s="1"/>
  <c r="L53" i="4"/>
  <c r="L57" i="4"/>
  <c r="I55" i="6"/>
  <c r="I60" i="6"/>
  <c r="I53" i="6"/>
  <c r="F57" i="6"/>
  <c r="F60" i="6"/>
  <c r="F64" i="6"/>
  <c r="I55" i="7"/>
  <c r="I60" i="7"/>
  <c r="I64" i="7"/>
  <c r="M64" i="7" s="1"/>
  <c r="N64" i="7" s="1"/>
  <c r="I53" i="7"/>
  <c r="F57" i="7"/>
  <c r="F60" i="7"/>
  <c r="F64" i="7"/>
  <c r="F69" i="7"/>
  <c r="F53" i="8"/>
  <c r="F56" i="8"/>
  <c r="I59" i="8"/>
  <c r="M59" i="8" s="1"/>
  <c r="N59" i="8" s="1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F53" i="6"/>
  <c r="F56" i="6"/>
  <c r="I59" i="6"/>
  <c r="F63" i="6"/>
  <c r="I54" i="7"/>
  <c r="M54" i="7" s="1"/>
  <c r="N54" i="7" s="1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J54" i="8" s="1"/>
  <c r="I58" i="8"/>
  <c r="I63" i="8"/>
  <c r="I53" i="9"/>
  <c r="F57" i="9"/>
  <c r="J57" i="9" s="1"/>
  <c r="F60" i="9"/>
  <c r="O60" i="9" s="1"/>
  <c r="P60" i="9" s="1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O59" i="9" s="1"/>
  <c r="P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F59" i="6"/>
  <c r="M59" i="6" s="1"/>
  <c r="N59" i="6" s="1"/>
  <c r="F62" i="6"/>
  <c r="I57" i="7"/>
  <c r="I62" i="7"/>
  <c r="F52" i="7"/>
  <c r="F55" i="7"/>
  <c r="F59" i="7"/>
  <c r="J59" i="7" s="1"/>
  <c r="F62" i="7"/>
  <c r="H65" i="8"/>
  <c r="D46" i="8"/>
  <c r="F54" i="8"/>
  <c r="K54" i="8" s="1"/>
  <c r="L54" i="8" s="1"/>
  <c r="F58" i="8"/>
  <c r="O58" i="8" s="1"/>
  <c r="P58" i="8" s="1"/>
  <c r="F61" i="8"/>
  <c r="I54" i="9"/>
  <c r="I58" i="9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E65" i="10"/>
  <c r="G56" i="12"/>
  <c r="D65" i="14"/>
  <c r="I51" i="4"/>
  <c r="L53" i="5"/>
  <c r="G44" i="13"/>
  <c r="D74" i="11"/>
  <c r="K62" i="11"/>
  <c r="K56" i="12"/>
  <c r="K61" i="11"/>
  <c r="K64" i="12"/>
  <c r="K63" i="10"/>
  <c r="K62" i="12"/>
  <c r="I55" i="4"/>
  <c r="G65" i="4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I61" i="8"/>
  <c r="M61" i="8" s="1"/>
  <c r="N61" i="8" s="1"/>
  <c r="F70" i="9"/>
  <c r="D65" i="10"/>
  <c r="G57" i="10"/>
  <c r="K72" i="10"/>
  <c r="L72" i="10" s="1"/>
  <c r="E66" i="12"/>
  <c r="K53" i="12"/>
  <c r="M53" i="12" s="1"/>
  <c r="N53" i="12" s="1"/>
  <c r="G63" i="12"/>
  <c r="F70" i="12"/>
  <c r="F65" i="13"/>
  <c r="G54" i="13"/>
  <c r="K57" i="13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M57" i="14" s="1"/>
  <c r="N57" i="14" s="1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G63" i="13"/>
  <c r="O63" i="13" s="1"/>
  <c r="P63" i="13" s="1"/>
  <c r="F65" i="14"/>
  <c r="K63" i="12"/>
  <c r="L63" i="12" s="1"/>
  <c r="J65" i="13"/>
  <c r="E44" i="13" s="1"/>
  <c r="F44" i="13" s="1"/>
  <c r="K54" i="13"/>
  <c r="M54" i="13" s="1"/>
  <c r="N54" i="13" s="1"/>
  <c r="G58" i="13"/>
  <c r="K64" i="13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M57" i="4" s="1"/>
  <c r="N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G61" i="12"/>
  <c r="K73" i="12"/>
  <c r="L73" i="12" s="1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9" i="12"/>
  <c r="E65" i="13"/>
  <c r="K52" i="13"/>
  <c r="M52" i="13" s="1"/>
  <c r="N52" i="13" s="1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L52" i="5"/>
  <c r="L56" i="5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F53" i="7"/>
  <c r="J53" i="7" s="1"/>
  <c r="O53" i="8"/>
  <c r="P53" i="8" s="1"/>
  <c r="M53" i="8"/>
  <c r="N53" i="8" s="1"/>
  <c r="K53" i="8"/>
  <c r="L53" i="8" s="1"/>
  <c r="J53" i="8"/>
  <c r="M54" i="8"/>
  <c r="N54" i="8" s="1"/>
  <c r="M56" i="8"/>
  <c r="N56" i="8" s="1"/>
  <c r="O57" i="8"/>
  <c r="P57" i="8" s="1"/>
  <c r="M57" i="8"/>
  <c r="N57" i="8" s="1"/>
  <c r="M58" i="8"/>
  <c r="N58" i="8" s="1"/>
  <c r="K58" i="8"/>
  <c r="L58" i="8" s="1"/>
  <c r="O59" i="8"/>
  <c r="P59" i="8" s="1"/>
  <c r="K59" i="8"/>
  <c r="L59" i="8" s="1"/>
  <c r="J59" i="8"/>
  <c r="O61" i="8"/>
  <c r="P61" i="8" s="1"/>
  <c r="O63" i="8"/>
  <c r="P63" i="8" s="1"/>
  <c r="K63" i="8"/>
  <c r="L63" i="8" s="1"/>
  <c r="O64" i="8"/>
  <c r="P64" i="8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2" i="12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5" i="12"/>
  <c r="R55" i="12" s="1"/>
  <c r="Q58" i="12"/>
  <c r="R58" i="12" s="1"/>
  <c r="M58" i="12"/>
  <c r="N58" i="12" s="1"/>
  <c r="M60" i="12"/>
  <c r="N60" i="12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M57" i="12"/>
  <c r="N57" i="12" s="1"/>
  <c r="Q65" i="12"/>
  <c r="R65" i="12" s="1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Q55" i="14"/>
  <c r="R55" i="14" s="1"/>
  <c r="O55" i="14"/>
  <c r="P55" i="14" s="1"/>
  <c r="L56" i="14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4" i="12" l="1"/>
  <c r="P54" i="12" s="1"/>
  <c r="D96" i="12"/>
  <c r="O57" i="14"/>
  <c r="P57" i="14" s="1"/>
  <c r="O65" i="12"/>
  <c r="P65" i="12" s="1"/>
  <c r="Q52" i="13"/>
  <c r="R52" i="13" s="1"/>
  <c r="O54" i="7"/>
  <c r="P54" i="7" s="1"/>
  <c r="J55" i="4"/>
  <c r="M58" i="5"/>
  <c r="N58" i="5" s="1"/>
  <c r="K43" i="6"/>
  <c r="J58" i="8"/>
  <c r="Q56" i="14"/>
  <c r="R56" i="14" s="1"/>
  <c r="M54" i="14"/>
  <c r="N54" i="14" s="1"/>
  <c r="O57" i="12"/>
  <c r="P57" i="12" s="1"/>
  <c r="O58" i="12"/>
  <c r="P58" i="12" s="1"/>
  <c r="E74" i="9"/>
  <c r="L59" i="14"/>
  <c r="J56" i="8"/>
  <c r="M51" i="4"/>
  <c r="N51" i="4" s="1"/>
  <c r="Q64" i="12"/>
  <c r="R64" i="12" s="1"/>
  <c r="M51" i="5"/>
  <c r="N51" i="5" s="1"/>
  <c r="M61" i="12"/>
  <c r="N61" i="12" s="1"/>
  <c r="K62" i="7"/>
  <c r="L62" i="7" s="1"/>
  <c r="J55" i="6"/>
  <c r="O60" i="6"/>
  <c r="P60" i="6" s="1"/>
  <c r="L57" i="14"/>
  <c r="Q52" i="10"/>
  <c r="R52" i="10" s="1"/>
  <c r="K43" i="7"/>
  <c r="L54" i="12"/>
  <c r="Q60" i="13"/>
  <c r="R60" i="13" s="1"/>
  <c r="J59" i="9"/>
  <c r="J58" i="9"/>
  <c r="K53" i="9"/>
  <c r="L53" i="9" s="1"/>
  <c r="K60" i="7"/>
  <c r="L60" i="7" s="1"/>
  <c r="K57" i="6"/>
  <c r="L57" i="6" s="1"/>
  <c r="Q58" i="14"/>
  <c r="R58" i="14" s="1"/>
  <c r="M64" i="11"/>
  <c r="N64" i="11" s="1"/>
  <c r="M60" i="9"/>
  <c r="N60" i="9" s="1"/>
  <c r="K54" i="7"/>
  <c r="L54" i="7" s="1"/>
  <c r="L55" i="14"/>
  <c r="M65" i="12"/>
  <c r="N65" i="12" s="1"/>
  <c r="K64" i="8"/>
  <c r="L64" i="8" s="1"/>
  <c r="G43" i="7"/>
  <c r="J64" i="6"/>
  <c r="J52" i="5"/>
  <c r="J56" i="3"/>
  <c r="G43" i="12"/>
  <c r="H43" i="12" s="1"/>
  <c r="J55" i="8"/>
  <c r="L64" i="13"/>
  <c r="O57" i="13"/>
  <c r="P57" i="13" s="1"/>
  <c r="Q54" i="10"/>
  <c r="R54" i="10" s="1"/>
  <c r="J54" i="9"/>
  <c r="L59" i="12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74" i="7" l="1"/>
  <c r="J74" i="7" s="1"/>
  <c r="F46" i="12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<sst xmlns="http://schemas.openxmlformats.org/spreadsheetml/2006/main" count="2130" uniqueCount="231">
  <si>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</si>
  <si>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</si>
  <si>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</si>
  <si>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</si>
  <si>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</si>
  <si>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</si>
  <si>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</si>
  <si>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</si>
  <si>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</si>
  <si>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</si>
  <si>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</si>
  <si>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</si>
  <si>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</si>
  <si>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</si>
  <si>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</si>
  <si>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</si>
  <si>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</si>
  <si>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</si>
  <si>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</si>
  <si>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</si>
  <si>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</si>
  <si>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</si>
  <si>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</si>
  <si>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</si>
  <si>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</si>
  <si>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</si>
  <si>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</si>
  <si>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</si>
  <si>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</si>
  <si>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</si>
  <si>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</si>
  <si>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</si>
  <si>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</si>
  <si>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</si>
  <si>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</si>
  <si>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</si>
  <si>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</si>
  <si>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</si>
  <si>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</si>
  <si>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</si>
  <si>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</si>
  <si>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</si>
  <si>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</si>
  <si>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</si>
  <si>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</si>
  <si>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</si>
  <si>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</si>
  <si>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</si>
  <si>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</si>
  <si>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</si>
  <si>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</si>
  <si>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</si>
  <si>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</si>
  <si>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</si>
  <si>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</si>
  <si>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</si>
  <si>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</si>
  <si>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</si>
  <si>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</si>
  <si>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</si>
  <si>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</si>
  <si>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</si>
  <si>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</si>
  <si>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</si>
  <si>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</si>
  <si>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</si>
  <si>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</si>
  <si>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</si>
  <si>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</si>
  <si>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</si>
  <si>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</si>
  <si>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</si>
  <si>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</si>
  <si>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</si>
  <si>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</si>
  <si>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</si>
  <si>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</si>
  <si>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</si>
  <si>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</si>
  <si>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</si>
  <si>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</si>
  <si>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</si>
  <si>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</si>
  <si>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</si>
  <si>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</si>
  <si>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</si>
  <si>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</si>
  <si>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</si>
  <si>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</si>
  <si>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</si>
  <si>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</si>
  <si>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</si>
  <si>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</si>
  <si>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</si>
  <si>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</si>
  <si>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</si>
  <si>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</si>
  <si>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</si>
  <si>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</si>
  <si>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</si>
  <si>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</si>
  <si>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</si>
  <si>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</si>
  <si>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</si>
  <si>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</si>
  <si>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</si>
  <si>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</si>
  <si>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</si>
  <si>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</si>
  <si>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</si>
  <si>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</si>
  <si>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</si>
  <si>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</si>
  <si>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</si>
  <si>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</si>
  <si>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</si>
  <si>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</si>
  <si>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</si>
  <si>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</si>
  <si>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</si>
  <si>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</si>
  <si>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</si>
  <si>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</si>
  <si>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</si>
  <si>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</si>
  <si>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</si>
  <si>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</si>
  <si>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</si>
  <si>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</si>
  <si>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</si>
  <si>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</si>
  <si>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</si>
  <si>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</si>
  <si>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</si>
  <si>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</si>
  <si>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</si>
  <si>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</si>
  <si>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</si>
  <si>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</si>
  <si>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</si>
  <si>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</si>
  <si>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</si>
  <si>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</si>
  <si>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</si>
  <si>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</si>
  <si>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</si>
  <si>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</si>
  <si>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</si>
  <si>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</si>
  <si>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</si>
  <si>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</si>
  <si>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</si>
  <si>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</si>
  <si>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</si>
  <si>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</si>
  <si>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</si>
  <si>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</si>
  <si>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</si>
  <si>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</si>
  <si>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</si>
  <si>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</si>
  <si>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</si>
  <si>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</si>
  <si>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</si>
  <si>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</si>
  <si>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</si>
  <si>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</si>
  <si>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</si>
  <si>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</si>
  <si>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</si>
  <si>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</si>
  <si>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</si>
  <si>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</si>
  <si>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</si>
  <si>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</si>
  <si>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</si>
  <si>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</si>
  <si>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</si>
  <si>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</si>
  <si>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</si>
  <si>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</si>
  <si>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</si>
  <si>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</si>
  <si>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</si>
  <si>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</si>
  <si>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</si>
  <si>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</si>
  <si>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</si>
  <si>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</si>
  <si>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</si>
  <si>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</si>
  <si>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</si>
  <si>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</si>
  <si>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</si>
  <si>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</si>
  <si>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</si>
  <si>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</si>
  <si>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</si>
  <si>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</si>
  <si>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</si>
  <si>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</si>
  <si>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</si>
  <si>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</si>
  <si>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</si>
  <si>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</si>
  <si>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</si>
  <si>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</si>
  <si>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</si>
  <si>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</si>
  <si>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</si>
  <si>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</si>
  <si>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</si>
  <si>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</si>
  <si>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</si>
  <si>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</si>
  <si>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</si>
  <si>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</si>
  <si>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</si>
  <si>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</si>
  <si>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</si>
  <si>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</si>
  <si>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</si>
  <si>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</si>
  <si>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</si>
  <si>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</si>
  <si>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</si>
  <si>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</si>
  <si>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</si>
  <si>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</si>
  <si>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BALIAN ALL AREA</t>
  </si>
  <si>
    <t>DATA PENCAPAIAN — GLOBAL —  24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</si>
</sst>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4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0" t="s">
        <v>0</v>
      </c>
      <c r="C1" s="240"/>
    </row>
    <row r="3" spans="2:3" x14ac:dyDescent="0.25">
      <c r="B3" s="241" t="s">
        <v>1</v>
      </c>
      <c r="C3" s="241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2" t="s">
        <v>14</v>
      </c>
      <c r="C11" s="242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1" t="s">
        <v>28</v>
      </c>
      <c r="C3" s="241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3" t="s">
        <v>102</v>
      </c>
      <c r="C29" s="243"/>
      <c r="D29" s="243"/>
      <c r="E29" s="243"/>
      <c r="F29" s="243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8" t="s">
        <v>145</v>
      </c>
      <c r="C44" s="249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0" t="s">
        <v>41</v>
      </c>
      <c r="C47" s="250" t="s">
        <v>42</v>
      </c>
      <c r="D47" s="251" t="s">
        <v>137</v>
      </c>
      <c r="E47" s="252"/>
      <c r="F47" s="253"/>
      <c r="G47" s="98" t="s">
        <v>138</v>
      </c>
      <c r="H47" s="98"/>
      <c r="I47" s="98"/>
      <c r="J47" s="250" t="s">
        <v>139</v>
      </c>
      <c r="K47" s="99" t="s">
        <v>147</v>
      </c>
      <c r="L47" s="99"/>
      <c r="M47" s="99"/>
      <c r="N47" s="247" t="s">
        <v>148</v>
      </c>
    </row>
    <row r="48" spans="2:14" ht="15.75" x14ac:dyDescent="0.25">
      <c r="B48" s="250"/>
      <c r="C48" s="250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0"/>
      <c r="K48" s="101" t="s">
        <v>142</v>
      </c>
      <c r="L48" s="101" t="s">
        <v>110</v>
      </c>
      <c r="M48" s="101" t="s">
        <v>145</v>
      </c>
      <c r="N48" s="247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4" t="s">
        <v>144</v>
      </c>
      <c r="C63" s="245"/>
      <c r="D63" s="245"/>
      <c r="E63" s="245"/>
      <c r="F63" s="245"/>
      <c r="G63" s="245"/>
      <c r="H63" s="246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8" t="s">
        <v>145</v>
      </c>
      <c r="C44" s="249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0" t="s">
        <v>41</v>
      </c>
      <c r="C47" s="250" t="s">
        <v>42</v>
      </c>
      <c r="D47" s="251" t="s">
        <v>137</v>
      </c>
      <c r="E47" s="252"/>
      <c r="F47" s="253"/>
      <c r="G47" s="98" t="s">
        <v>138</v>
      </c>
      <c r="H47" s="98"/>
      <c r="I47" s="98"/>
      <c r="J47" s="250" t="s">
        <v>139</v>
      </c>
      <c r="K47" s="99" t="s">
        <v>147</v>
      </c>
      <c r="L47" s="99"/>
      <c r="M47" s="99"/>
      <c r="N47" s="247" t="s">
        <v>148</v>
      </c>
    </row>
    <row r="48" spans="2:14" ht="15.75" x14ac:dyDescent="0.25">
      <c r="B48" s="250"/>
      <c r="C48" s="250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0"/>
      <c r="K48" s="101" t="s">
        <v>142</v>
      </c>
      <c r="L48" s="101" t="s">
        <v>110</v>
      </c>
      <c r="M48" s="101" t="s">
        <v>145</v>
      </c>
      <c r="N48" s="247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4" t="s">
        <v>144</v>
      </c>
      <c r="C63" s="245"/>
      <c r="D63" s="245"/>
      <c r="E63" s="245"/>
      <c r="F63" s="245"/>
      <c r="G63" s="245"/>
      <c r="H63" s="246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1" t="s">
        <v>145</v>
      </c>
      <c r="C44" s="26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3" t="s">
        <v>41</v>
      </c>
      <c r="C47" s="263" t="s">
        <v>42</v>
      </c>
      <c r="D47" s="258" t="s">
        <v>137</v>
      </c>
      <c r="E47" s="259"/>
      <c r="F47" s="260"/>
      <c r="G47" s="69" t="s">
        <v>138</v>
      </c>
      <c r="H47" s="69"/>
      <c r="I47" s="69"/>
      <c r="J47" s="263" t="s">
        <v>139</v>
      </c>
      <c r="K47" s="35" t="s">
        <v>147</v>
      </c>
      <c r="L47" s="35"/>
      <c r="M47" s="35"/>
      <c r="N47" s="257" t="s">
        <v>148</v>
      </c>
    </row>
    <row r="48" spans="2:17" ht="15.75" x14ac:dyDescent="0.25">
      <c r="B48" s="263"/>
      <c r="C48" s="263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3"/>
      <c r="K48" s="34" t="s">
        <v>142</v>
      </c>
      <c r="L48" s="34" t="s">
        <v>110</v>
      </c>
      <c r="M48" s="34" t="s">
        <v>145</v>
      </c>
      <c r="N48" s="257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4" t="s">
        <v>144</v>
      </c>
      <c r="C63" s="255"/>
      <c r="D63" s="255"/>
      <c r="E63" s="255"/>
      <c r="F63" s="255"/>
      <c r="G63" s="255"/>
      <c r="H63" s="256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4" t="s">
        <v>177</v>
      </c>
      <c r="C41" s="265"/>
      <c r="D41" s="266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1" t="s">
        <v>145</v>
      </c>
      <c r="C46" s="262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7" t="s">
        <v>146</v>
      </c>
      <c r="C48" s="268"/>
      <c r="D48" s="268"/>
      <c r="E48" s="268"/>
      <c r="F48" s="268"/>
      <c r="G48" s="268"/>
      <c r="H48" s="268"/>
      <c r="I48" s="268"/>
      <c r="J48" s="268"/>
      <c r="K48" s="274" t="s">
        <v>185</v>
      </c>
      <c r="L48" s="275"/>
      <c r="M48" s="275"/>
      <c r="N48" s="275"/>
      <c r="O48" s="275"/>
      <c r="P48" s="276"/>
      <c r="Q48"/>
      <c r="R48"/>
    </row>
    <row r="49" spans="2:18" s="139" customFormat="1" ht="33.950000000000003" customHeight="1" x14ac:dyDescent="0.25">
      <c r="B49" s="272" t="s">
        <v>41</v>
      </c>
      <c r="C49" s="272" t="s">
        <v>42</v>
      </c>
      <c r="D49" s="269" t="s">
        <v>137</v>
      </c>
      <c r="E49" s="270"/>
      <c r="F49" s="271"/>
      <c r="G49" s="140" t="s">
        <v>138</v>
      </c>
      <c r="H49" s="140"/>
      <c r="I49" s="140"/>
      <c r="J49" s="269" t="s">
        <v>139</v>
      </c>
      <c r="K49" s="277" t="str">
        <f>"SELISIH"&amp;CHAR(10)&amp;TEXT($H$41,"0%")</f>
        <v>SELISIH
90%</v>
      </c>
      <c r="L49" s="277" t="str">
        <f>"PER HARI"&amp;CHAR(10)&amp;TEXT($H$41,"0%")</f>
        <v>PER HARI
90%</v>
      </c>
      <c r="M49" s="279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81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2"/>
      <c r="C50" s="272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9"/>
      <c r="K50" s="278"/>
      <c r="L50" s="278"/>
      <c r="M50" s="280"/>
      <c r="N50" s="188"/>
      <c r="O50" s="183"/>
      <c r="P50" s="282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4" t="s">
        <v>170</v>
      </c>
      <c r="C77" s="255"/>
      <c r="D77" s="256"/>
      <c r="G77"/>
      <c r="H77"/>
      <c r="I77"/>
    </row>
    <row r="78" spans="1:19" ht="20.100000000000001" customHeight="1" x14ac:dyDescent="0.25">
      <c r="B78" s="273" t="s">
        <v>41</v>
      </c>
      <c r="C78" s="273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3"/>
      <c r="C79" s="263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3" t="s">
        <v>178</v>
      </c>
      <c r="C41" s="284"/>
      <c r="D41" s="285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1" t="s">
        <v>145</v>
      </c>
      <c r="C46" s="262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7" t="s">
        <v>146</v>
      </c>
      <c r="C48" s="268"/>
      <c r="D48" s="268"/>
      <c r="E48" s="268"/>
      <c r="F48" s="268"/>
      <c r="G48" s="268"/>
      <c r="H48" s="268"/>
      <c r="I48" s="268"/>
      <c r="J48" s="268"/>
      <c r="K48" s="274" t="s">
        <v>185</v>
      </c>
      <c r="L48" s="275"/>
      <c r="M48" s="275"/>
      <c r="N48" s="275"/>
      <c r="O48" s="275"/>
      <c r="P48" s="276"/>
    </row>
    <row r="49" spans="2:16" ht="33.950000000000003" customHeight="1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77" t="str">
        <f>"SELISIH"&amp;CHAR(10)&amp;TEXT($H$41,"0%")</f>
        <v>SELISIH
90%</v>
      </c>
      <c r="L49" s="277" t="str">
        <f>"PER HARI"&amp;CHAR(10)&amp;TEXT($H$41,"0%")</f>
        <v>PER HARI
90%</v>
      </c>
      <c r="M49" s="279" t="str">
        <f>"SELISIH"&amp;CHAR(10)&amp;TEXT($J$41,"0%")</f>
        <v>SELISIH
95%</v>
      </c>
      <c r="N49" s="279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22.5" customHeight="1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78"/>
      <c r="L50" s="278"/>
      <c r="M50" s="280"/>
      <c r="N50" s="280"/>
      <c r="O50" s="282"/>
      <c r="P50" s="282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8.75" customHeight="1" x14ac:dyDescent="0.25">
      <c r="B78" s="273" t="s">
        <v>41</v>
      </c>
      <c r="C78" s="273" t="s">
        <v>42</v>
      </c>
      <c r="D78" s="231" t="s">
        <v>138</v>
      </c>
    </row>
    <row r="79" spans="2:16" ht="18" customHeight="1" x14ac:dyDescent="0.25">
      <c r="B79" s="263"/>
      <c r="C79" s="263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4" t="s">
        <v>179</v>
      </c>
      <c r="C41" s="265"/>
      <c r="D41" s="266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1" t="s">
        <v>145</v>
      </c>
      <c r="C46" s="262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7" t="s">
        <v>146</v>
      </c>
      <c r="C48" s="268"/>
      <c r="D48" s="268"/>
      <c r="E48" s="268"/>
      <c r="F48" s="268"/>
      <c r="G48" s="268"/>
      <c r="H48" s="268"/>
      <c r="I48" s="268"/>
      <c r="J48" s="268"/>
      <c r="K48" s="274" t="s">
        <v>185</v>
      </c>
      <c r="L48" s="275"/>
      <c r="M48" s="275"/>
      <c r="N48" s="275"/>
      <c r="O48" s="275"/>
      <c r="P48" s="276"/>
    </row>
    <row r="49" spans="2:16" ht="33.950000000000003" customHeight="1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77" t="str">
        <f>"SELISIH"&amp;CHAR(10)&amp;TEXT($H$41,"0%")</f>
        <v>SELISIH
90%</v>
      </c>
      <c r="L49" s="277" t="str">
        <f>"PER HARI"&amp;CHAR(10)&amp;TEXT($H$41,"0%")</f>
        <v>PER HARI
90%</v>
      </c>
      <c r="M49" s="279" t="str">
        <f>"SELISIH"&amp;CHAR(10)&amp;TEXT($J$41,"0%")</f>
        <v>SELISIH
95%</v>
      </c>
      <c r="N49" s="279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9.5" customHeight="1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78"/>
      <c r="L50" s="278"/>
      <c r="M50" s="280"/>
      <c r="N50" s="280"/>
      <c r="O50" s="282"/>
      <c r="P50" s="282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5.75" x14ac:dyDescent="0.25">
      <c r="B78" s="273" t="s">
        <v>41</v>
      </c>
      <c r="C78" s="273" t="s">
        <v>42</v>
      </c>
      <c r="D78" s="231" t="s">
        <v>138</v>
      </c>
    </row>
    <row r="79" spans="2:16" ht="15.75" x14ac:dyDescent="0.25">
      <c r="B79" s="263"/>
      <c r="C79" s="263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4" t="s">
        <v>188</v>
      </c>
      <c r="C41" s="265"/>
      <c r="D41" s="266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1" t="s">
        <v>145</v>
      </c>
      <c r="C46" s="262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7" t="s">
        <v>146</v>
      </c>
      <c r="C48" s="268"/>
      <c r="D48" s="268"/>
      <c r="E48" s="268"/>
      <c r="F48" s="268"/>
      <c r="G48" s="268"/>
      <c r="H48" s="268"/>
      <c r="I48" s="268"/>
      <c r="J48" s="268"/>
      <c r="K48" s="274" t="s">
        <v>185</v>
      </c>
      <c r="L48" s="275"/>
      <c r="M48" s="275"/>
      <c r="N48" s="275"/>
      <c r="O48" s="275"/>
      <c r="P48" s="276"/>
    </row>
    <row r="49" spans="2:16" ht="15.75" x14ac:dyDescent="0.25">
      <c r="B49" s="263" t="s">
        <v>41</v>
      </c>
      <c r="C49" s="263" t="s">
        <v>42</v>
      </c>
      <c r="D49" s="258" t="s">
        <v>137</v>
      </c>
      <c r="E49" s="259"/>
      <c r="F49" s="260"/>
      <c r="G49" s="112" t="s">
        <v>138</v>
      </c>
      <c r="H49" s="112"/>
      <c r="I49" s="112"/>
      <c r="J49" s="258" t="s">
        <v>139</v>
      </c>
      <c r="K49" s="277" t="str">
        <f>"SELISIH"&amp;CHAR(10)&amp;TEXT($H$41,"0%")</f>
        <v>SELISIH
90%</v>
      </c>
      <c r="L49" s="277" t="str">
        <f>"PER HARI"&amp;CHAR(10)&amp;TEXT($H$41,"0%")</f>
        <v>PER HARI
90%</v>
      </c>
      <c r="M49" s="279" t="str">
        <f>"SELISIH"&amp;CHAR(10)&amp;TEXT($J$41,"0%")</f>
        <v>SELISIH
95%</v>
      </c>
      <c r="N49" s="279" t="str">
        <f>"PER HARI"&amp;CHAR(10)&amp;TEXT($J$41,"0%")</f>
        <v>PER HARI
95%</v>
      </c>
      <c r="O49" s="286" t="str">
        <f>"SELISIH"&amp;CHAR(10)&amp;TEXT($L$41,"0%")</f>
        <v>SELISIH
100%</v>
      </c>
      <c r="P49" s="286" t="str">
        <f>"PER HARI"&amp;CHAR(10)&amp;TEXT($L$41,"0%")</f>
        <v>PER HARI
100%</v>
      </c>
    </row>
    <row r="50" spans="2:16" ht="15.75" x14ac:dyDescent="0.25">
      <c r="B50" s="263"/>
      <c r="C50" s="263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8"/>
      <c r="K50" s="278"/>
      <c r="L50" s="278"/>
      <c r="M50" s="280"/>
      <c r="N50" s="280"/>
      <c r="O50" s="287"/>
      <c r="P50" s="287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4" t="s">
        <v>144</v>
      </c>
      <c r="C67" s="255"/>
      <c r="D67" s="255"/>
      <c r="E67" s="255"/>
      <c r="F67" s="255"/>
      <c r="G67" s="255"/>
      <c r="H67" s="255"/>
      <c r="I67" s="255"/>
      <c r="J67" s="255"/>
      <c r="K67" s="255"/>
      <c r="L67" s="256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4" t="s">
        <v>170</v>
      </c>
      <c r="C77" s="255"/>
      <c r="D77" s="256"/>
    </row>
    <row r="78" spans="2:16" ht="15.75" x14ac:dyDescent="0.25">
      <c r="B78" s="273" t="s">
        <v>41</v>
      </c>
      <c r="C78" s="273" t="s">
        <v>42</v>
      </c>
      <c r="D78" s="231" t="s">
        <v>138</v>
      </c>
    </row>
    <row r="79" spans="2:16" ht="15.75" x14ac:dyDescent="0.25">
      <c r="B79" s="263"/>
      <c r="C79" s="263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4" t="s">
        <v>218</v>
      </c>
      <c r="C40" s="265"/>
      <c r="D40" s="266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1" t="s">
        <v>145</v>
      </c>
      <c r="C46" s="262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7" t="s">
        <v>212</v>
      </c>
      <c r="C48" s="268"/>
      <c r="D48" s="268"/>
      <c r="E48" s="268"/>
      <c r="F48" s="268"/>
      <c r="G48" s="268"/>
      <c r="H48" s="268"/>
      <c r="I48" s="268"/>
      <c r="J48" s="268"/>
      <c r="K48" s="268"/>
      <c r="L48" s="291"/>
      <c r="M48" s="274" t="s">
        <v>185</v>
      </c>
      <c r="N48" s="275"/>
      <c r="O48" s="275"/>
      <c r="P48" s="275"/>
      <c r="Q48" s="275"/>
      <c r="R48" s="276"/>
    </row>
    <row r="49" spans="2:21" ht="17.100000000000001" customHeight="1" x14ac:dyDescent="0.25">
      <c r="B49" s="292" t="s">
        <v>41</v>
      </c>
      <c r="C49" s="292" t="s">
        <v>42</v>
      </c>
      <c r="D49" s="258" t="s">
        <v>137</v>
      </c>
      <c r="E49" s="259"/>
      <c r="F49" s="259"/>
      <c r="G49" s="260"/>
      <c r="H49" s="293" t="s">
        <v>138</v>
      </c>
      <c r="I49" s="294"/>
      <c r="J49" s="294"/>
      <c r="K49" s="295"/>
      <c r="L49" s="296" t="s">
        <v>139</v>
      </c>
      <c r="M49" s="277" t="str">
        <f>"SELISIH"&amp;CHAR(10)&amp;TEXT($H$40,"0%")</f>
        <v>SELISIH
90%</v>
      </c>
      <c r="N49" s="277" t="str">
        <f>"PER HARI"&amp;CHAR(10)&amp;TEXT($H$40,"0%")</f>
        <v>PER HARI
90%</v>
      </c>
      <c r="O49" s="279" t="str">
        <f>"SELISIH"&amp;CHAR(10)&amp;TEXT($J$40,"0%")</f>
        <v>SELISIH
95%</v>
      </c>
      <c r="P49" s="279" t="str">
        <f>"PER HARI"&amp;CHAR(10)&amp;TEXT($J$40,"0%")</f>
        <v>PER HARI
95%</v>
      </c>
      <c r="Q49" s="281" t="str">
        <f>"SELISIH"&amp;CHAR(10)&amp;TEXT($L$40,"0%")</f>
        <v>SELISIH
100%</v>
      </c>
      <c r="R49" s="281" t="str">
        <f>"PER HARI"&amp;CHAR(10)&amp;TEXT($L$40,"0%")</f>
        <v>PER HARI
100%</v>
      </c>
    </row>
    <row r="50" spans="2:21" ht="15.75" x14ac:dyDescent="0.25">
      <c r="B50" s="273"/>
      <c r="C50" s="273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7"/>
      <c r="M50" s="278"/>
      <c r="N50" s="278"/>
      <c r="O50" s="280"/>
      <c r="P50" s="280"/>
      <c r="Q50" s="282"/>
      <c r="R50" s="282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8" t="s">
        <v>144</v>
      </c>
      <c r="C67" s="289"/>
      <c r="D67" s="289"/>
      <c r="E67" s="289"/>
      <c r="F67" s="290"/>
      <c r="G67" s="274" t="s">
        <v>185</v>
      </c>
      <c r="H67" s="275"/>
      <c r="I67" s="275"/>
      <c r="J67" s="275"/>
      <c r="K67" s="275"/>
      <c r="L67" s="276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4" t="s">
        <v>170</v>
      </c>
      <c r="C77" s="255"/>
      <c r="D77" s="256"/>
    </row>
    <row r="78" spans="2:21" ht="15.75" x14ac:dyDescent="0.25">
      <c r="B78" s="273" t="s">
        <v>41</v>
      </c>
      <c r="C78" s="273" t="s">
        <v>42</v>
      </c>
      <c r="D78" s="231" t="s">
        <v>138</v>
      </c>
    </row>
    <row r="79" spans="2:21" ht="15.75" x14ac:dyDescent="0.25">
      <c r="B79" s="263"/>
      <c r="C79" s="263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4" t="s">
        <v>226</v>
      </c>
      <c r="C40" s="265"/>
      <c r="D40" s="266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7" t="s">
        <v>212</v>
      </c>
      <c r="C48" s="268"/>
      <c r="D48" s="268"/>
      <c r="E48" s="268"/>
      <c r="F48" s="268"/>
      <c r="G48" s="268"/>
      <c r="H48" s="268"/>
      <c r="I48" s="268"/>
      <c r="J48" s="268"/>
      <c r="K48" s="268"/>
      <c r="L48" s="291"/>
      <c r="M48" s="274" t="s">
        <v>185</v>
      </c>
      <c r="N48" s="275"/>
      <c r="O48" s="275"/>
      <c r="P48" s="275"/>
      <c r="Q48" s="275"/>
      <c r="R48" s="276"/>
    </row>
    <row r="49" spans="2:21" ht="17.100000000000001" customHeight="1" x14ac:dyDescent="0.25">
      <c r="B49" s="292" t="s">
        <v>41</v>
      </c>
      <c r="C49" s="292" t="s">
        <v>42</v>
      </c>
      <c r="D49" s="258" t="s">
        <v>137</v>
      </c>
      <c r="E49" s="259"/>
      <c r="F49" s="259"/>
      <c r="G49" s="260"/>
      <c r="H49" s="293" t="s">
        <v>138</v>
      </c>
      <c r="I49" s="294"/>
      <c r="J49" s="294"/>
      <c r="K49" s="295"/>
      <c r="L49" s="296" t="s">
        <v>139</v>
      </c>
      <c r="M49" s="277" t="str">
        <f>"SELISIH"&amp;CHAR(10)&amp;TEXT($H$40,"0%")</f>
        <v>SELISIH
95%</v>
      </c>
      <c r="N49" s="277" t="str">
        <f>"PER HARI"&amp;CHAR(10)&amp;TEXT($H$40,"0%")</f>
        <v>PER HARI
95%</v>
      </c>
      <c r="O49" s="279" t="str">
        <f>"SELISIH"&amp;CHAR(10)&amp;TEXT($J$40,"0%")</f>
        <v>SELISIH
100%</v>
      </c>
      <c r="P49" s="279" t="str">
        <f>"PER HARI"&amp;CHAR(10)&amp;TEXT($J$40,"0%")</f>
        <v>PER HARI
100%</v>
      </c>
      <c r="Q49" s="281" t="str">
        <f>"SELISIH"&amp;CHAR(10)&amp;TEXT($L$40,"0%")</f>
        <v>SELISIH
100%</v>
      </c>
      <c r="R49" s="281" t="str">
        <f>"PER HARI"&amp;CHAR(10)&amp;TEXT($L$40,"0%")</f>
        <v>PER HARI
100%</v>
      </c>
    </row>
    <row r="50" spans="2:21" ht="17.100000000000001" customHeight="1" x14ac:dyDescent="0.25">
      <c r="B50" s="273"/>
      <c r="C50" s="273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7"/>
      <c r="M50" s="278"/>
      <c r="N50" s="278"/>
      <c r="O50" s="280"/>
      <c r="P50" s="280"/>
      <c r="Q50" s="282"/>
      <c r="R50" s="282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8" t="s">
        <v>144</v>
      </c>
      <c r="C67" s="289"/>
      <c r="D67" s="289"/>
      <c r="E67" s="289"/>
      <c r="F67" s="298"/>
      <c r="G67" s="274" t="s">
        <v>185</v>
      </c>
      <c r="H67" s="275"/>
      <c r="I67" s="275"/>
      <c r="J67" s="275"/>
      <c r="K67" s="275"/>
      <c r="L67" s="276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73" t="s">
        <v>41</v>
      </c>
      <c r="C78" s="273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topLeftCell="B54" zoomScale="80" zoomScaleNormal="80" workbookViewId="0">
      <selection activeCell="F71" sqref="F71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6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1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9">
        <v>147612590.32019499</v>
      </c>
      <c r="D10" s="239">
        <v>35669776.132996</v>
      </c>
      <c r="E10" s="239">
        <v>157829582.71601701</v>
      </c>
      <c r="F10" s="239">
        <v>137661262.009927</v>
      </c>
      <c r="G10" s="239">
        <v>481104711.17913502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9">
        <v>3670270.2599940002</v>
      </c>
      <c r="D11" s="239">
        <v>30803064</v>
      </c>
      <c r="E11" s="239">
        <v>303576583.15999299</v>
      </c>
      <c r="F11" s="239">
        <v>0</v>
      </c>
      <c r="G11" s="239">
        <v>338049917.41998702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9">
        <v>156869550.96037301</v>
      </c>
      <c r="D12" s="239">
        <v>51224752.025890999</v>
      </c>
      <c r="E12" s="239">
        <v>139149315.939659</v>
      </c>
      <c r="F12" s="239">
        <v>97001800.930000007</v>
      </c>
      <c r="G12" s="239">
        <v>456015919.855923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9">
        <v>20881221.308014002</v>
      </c>
      <c r="D13" s="239">
        <v>42267407.219784997</v>
      </c>
      <c r="E13" s="239">
        <v>207066075.299326</v>
      </c>
      <c r="F13" s="239">
        <v>69109912.439999998</v>
      </c>
      <c r="G13" s="239">
        <v>340764616.26712501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9">
        <v>382520552.959773</v>
      </c>
      <c r="D14" s="239">
        <v>30076374.803908002</v>
      </c>
      <c r="E14" s="239">
        <v>129006195.443555</v>
      </c>
      <c r="F14" s="239">
        <v>278601448.74972498</v>
      </c>
      <c r="G14" s="239">
        <v>825878571.95696104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9">
        <v>1050399661.8013639</v>
      </c>
      <c r="D15" s="239">
        <v>6986180.3199990001</v>
      </c>
      <c r="E15" s="239">
        <v>27599227.899907999</v>
      </c>
      <c r="F15" s="239">
        <v>12781621.876</v>
      </c>
      <c r="G15" s="239">
        <v>1097766691.8972709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9">
        <v>443895916.79426301</v>
      </c>
      <c r="D16" s="239">
        <v>59268861.779744998</v>
      </c>
      <c r="E16" s="239">
        <v>288618380.39946401</v>
      </c>
      <c r="F16" s="239">
        <v>965429726.35975003</v>
      </c>
      <c r="G16" s="239">
        <v>1916212885.3332219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9">
        <v>128760020.558613</v>
      </c>
      <c r="D17" s="239">
        <v>22741585.966366</v>
      </c>
      <c r="E17" s="239">
        <v>82631042.518916994</v>
      </c>
      <c r="F17" s="239">
        <v>32257298.094999999</v>
      </c>
      <c r="G17" s="239">
        <v>266389947.13889599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9">
        <v>16053685.95999</v>
      </c>
      <c r="D18" s="239">
        <v>80177590.089671001</v>
      </c>
      <c r="E18" s="239">
        <v>44843525</v>
      </c>
      <c r="F18" s="239">
        <v>121156759.34</v>
      </c>
      <c r="G18" s="239">
        <v>262231560.38966101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9">
        <v>19430536.16</v>
      </c>
      <c r="D19" s="239">
        <v>0</v>
      </c>
      <c r="E19" s="239">
        <v>0</v>
      </c>
      <c r="F19" s="239">
        <v>11063062.76</v>
      </c>
      <c r="G19" s="239">
        <v>33693598.920000002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9">
        <v>141277908.08000001</v>
      </c>
      <c r="D20" s="239">
        <v>0</v>
      </c>
      <c r="E20" s="239">
        <v>0</v>
      </c>
      <c r="F20" s="239">
        <v>11405405.1</v>
      </c>
      <c r="G20" s="239">
        <v>152683313.18000001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39">
        <v>237148035.93897399</v>
      </c>
      <c r="D21" s="239">
        <v>36430357.618449003</v>
      </c>
      <c r="E21" s="239">
        <v>121970186.709757</v>
      </c>
      <c r="F21" s="239">
        <v>357621266.38985002</v>
      </c>
      <c r="G21" s="239">
        <v>813323846.65702999</v>
      </c>
      <c r="H21" s="111"/>
      <c r="I21" s="111"/>
      <c r="J21" s="111"/>
      <c r="M21" s="14">
        <f>SUM(C34,C35)+M20</f>
        <v>610716172.33274794</v>
      </c>
      <c r="N21" s="10" t="s">
        <v>223</v>
      </c>
    </row>
    <row r="22" spans="2:15" ht="15" customHeight="1" x14ac:dyDescent="0.25">
      <c r="B22" s="72" t="s">
        <v>224</v>
      </c>
      <c r="C22" s="239">
        <v>169001496.12785199</v>
      </c>
      <c r="D22" s="239">
        <v>50941048.349590003</v>
      </c>
      <c r="E22" s="239">
        <v>111300289.21991999</v>
      </c>
      <c r="F22" s="239">
        <v>91558018.549978003</v>
      </c>
      <c r="G22" s="239">
        <v>438780852.24734002</v>
      </c>
      <c r="H22" s="111"/>
      <c r="I22" s="111"/>
      <c r="J22" s="111"/>
    </row>
    <row r="23" spans="2:15" ht="15" customHeight="1" x14ac:dyDescent="0.25">
      <c r="B23" s="72" t="s">
        <v>125</v>
      </c>
      <c r="C23" s="239">
        <v>259923845.03888401</v>
      </c>
      <c r="D23" s="239">
        <v>54503129.929926001</v>
      </c>
      <c r="E23" s="239">
        <v>142890526.27022201</v>
      </c>
      <c r="F23" s="239">
        <v>257163970.459526</v>
      </c>
      <c r="G23" s="239">
        <v>718915971.69855797</v>
      </c>
      <c r="H23" s="111"/>
      <c r="I23" s="111"/>
      <c r="J23" s="111"/>
    </row>
    <row r="24" spans="2:15" ht="15" customHeight="1" x14ac:dyDescent="0.25">
      <c r="B24" s="72" t="s">
        <v>126</v>
      </c>
      <c r="C24" s="239">
        <v>383092727.56712502</v>
      </c>
      <c r="D24" s="239">
        <v>55349896.384860002</v>
      </c>
      <c r="E24" s="239">
        <v>182229758.21991599</v>
      </c>
      <c r="F24" s="239">
        <v>577583794.68933403</v>
      </c>
      <c r="G24" s="239">
        <v>1224165176.8612349</v>
      </c>
      <c r="H24" s="111"/>
      <c r="I24" s="111"/>
      <c r="J24" s="111"/>
    </row>
    <row r="25" spans="2:15" ht="15" customHeight="1" x14ac:dyDescent="0.25">
      <c r="B25" s="72" t="s">
        <v>219</v>
      </c>
      <c r="C25" s="239">
        <v>256419461.02474999</v>
      </c>
      <c r="D25" s="239">
        <v>77693194.463043004</v>
      </c>
      <c r="E25" s="239">
        <v>89026798.969540998</v>
      </c>
      <c r="F25" s="239">
        <v>56089891.289999999</v>
      </c>
      <c r="G25" s="239">
        <v>480589345.747334</v>
      </c>
      <c r="H25" s="111"/>
      <c r="I25" s="111"/>
      <c r="J25" s="111"/>
    </row>
    <row r="26" spans="2:15" ht="15" customHeight="1" x14ac:dyDescent="0.25">
      <c r="B26" s="237" t="s">
        <v>127</v>
      </c>
      <c r="C26" s="239">
        <v>414518938.97676003</v>
      </c>
      <c r="D26" s="239">
        <v>157965203.756598</v>
      </c>
      <c r="E26" s="239">
        <v>202437830.837313</v>
      </c>
      <c r="F26" s="239">
        <v>16690378.705800001</v>
      </c>
      <c r="G26" s="239">
        <v>791612352.27647102</v>
      </c>
      <c r="H26" s="111"/>
      <c r="I26" s="111"/>
      <c r="J26" s="111"/>
    </row>
    <row r="27" spans="2:15" ht="15" customHeight="1" x14ac:dyDescent="0.25">
      <c r="B27" s="238" t="s">
        <v>228</v>
      </c>
      <c r="C27" s="239">
        <v>0</v>
      </c>
      <c r="D27" s="239">
        <v>0</v>
      </c>
      <c r="E27" s="239">
        <v>0</v>
      </c>
      <c r="F27" s="239">
        <v>1297297.3500000001</v>
      </c>
      <c r="G27" s="239">
        <v>1797297.35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5"/>
      <c r="G31" s="111"/>
      <c r="H31" s="111"/>
      <c r="I31" s="111"/>
    </row>
    <row r="32" spans="2:15" ht="15" customHeight="1" x14ac:dyDescent="0.25">
      <c r="B32" s="81" t="s">
        <v>131</v>
      </c>
      <c r="C32" s="171">
        <v>187964946.47910801</v>
      </c>
      <c r="G32" s="111"/>
      <c r="H32" s="111"/>
      <c r="I32" s="111"/>
    </row>
    <row r="33" spans="2:19" ht="15" customHeight="1" x14ac:dyDescent="0.25">
      <c r="B33" s="81" t="s">
        <v>132</v>
      </c>
      <c r="C33" s="239">
        <v>377295988.94367301</v>
      </c>
      <c r="G33" s="111"/>
      <c r="H33" s="111"/>
      <c r="I33" s="111"/>
    </row>
    <row r="34" spans="2:19" ht="15" customHeight="1" x14ac:dyDescent="0.25">
      <c r="B34" s="81" t="s">
        <v>133</v>
      </c>
      <c r="C34" s="239">
        <v>124073231.55473</v>
      </c>
      <c r="G34" s="111"/>
      <c r="H34" s="111"/>
      <c r="I34" s="111"/>
    </row>
    <row r="35" spans="2:19" ht="15" customHeight="1" x14ac:dyDescent="0.25">
      <c r="B35" s="81" t="s">
        <v>134</v>
      </c>
      <c r="C35" s="239">
        <v>486642940.778018</v>
      </c>
      <c r="G35" s="111"/>
      <c r="H35" s="111"/>
      <c r="I35" s="111"/>
    </row>
    <row r="36" spans="2:19" ht="15" customHeight="1" x14ac:dyDescent="0.25">
      <c r="B36" s="81" t="s">
        <v>135</v>
      </c>
      <c r="C36" s="236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64" t="s">
        <v>230</v>
      </c>
      <c r="C41" s="265"/>
      <c r="D41" s="266"/>
      <c r="E41" s="66" t="s">
        <v>137</v>
      </c>
      <c r="F41" s="174">
        <f ca="1">IF(MONTH(TODAY())=10,DAY(TODAY())/DAY(EOMONTH(TODAY(),0)),IF(MONTH(TODAY())&gt;10,1,0))</f>
        <v>0.77419354838709675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3181076758.0355597</v>
      </c>
      <c r="F43" s="176">
        <f>IFERROR(E43/D43,0)</f>
        <v>0.71251315740285537</v>
      </c>
      <c r="G43" s="184">
        <f>D43*$H$41-E43</f>
        <v>1283509930.6239691</v>
      </c>
      <c r="H43" s="184">
        <f ca="1">IFERROR(G43/$C$3,0)</f>
        <v>213918321.7706615</v>
      </c>
      <c r="I43" s="204">
        <f>D43*$J$41-E43</f>
        <v>1283509930.6239691</v>
      </c>
      <c r="J43" s="204">
        <f ca="1">IFERROR(I43/$C$3,0)</f>
        <v>213918321.7706615</v>
      </c>
      <c r="K43" s="185">
        <f>D43*$L$41-E43</f>
        <v>1283509930.6239691</v>
      </c>
      <c r="L43" s="185">
        <f ca="1">IFERROR(K43/$C$3,0)</f>
        <v>213918321.7706615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785112242.52082801</v>
      </c>
      <c r="F44" s="176">
        <f>IFERROR(E44/D44,0)</f>
        <v>0.61341299828488127</v>
      </c>
      <c r="G44" s="184">
        <f>D44*$H$41-E44</f>
        <v>494795820.58840227</v>
      </c>
      <c r="H44" s="184">
        <f ca="1">IFERROR(G44/$C$3,0)</f>
        <v>82465970.098067045</v>
      </c>
      <c r="I44" s="204">
        <f>D44*$J$41-E44</f>
        <v>494795820.58840227</v>
      </c>
      <c r="J44" s="204">
        <f ca="1">IFERROR(I44/$C$3,0)</f>
        <v>82465970.098067045</v>
      </c>
      <c r="K44" s="185">
        <f>D44*$L$41-E44</f>
        <v>494795820.58840227</v>
      </c>
      <c r="L44" s="185">
        <f ca="1">IFERROR(K44/$C$3,0)</f>
        <v>82465970.098067045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2202576090.7035999</v>
      </c>
      <c r="F45" s="176">
        <f>IFERROR(E45/D45,0)</f>
        <v>0.7558580765333065</v>
      </c>
      <c r="G45" s="184">
        <f>IF(D45=0,0,D45*$H$41-E45)</f>
        <v>711431391.76661539</v>
      </c>
      <c r="H45" s="184">
        <f ca="1">IFERROR(G45/$C$3,0)</f>
        <v>118571898.62776923</v>
      </c>
      <c r="I45" s="204">
        <f>IF(D45=0,0,D45*$J$41-E45)</f>
        <v>711431391.76661539</v>
      </c>
      <c r="J45" s="204">
        <f ca="1">IFERROR(I45/$C$3,0)</f>
        <v>118571898.62776923</v>
      </c>
      <c r="K45" s="185">
        <f>IF(D45=0,0,D45*$L$41-E45)</f>
        <v>711431391.76661539</v>
      </c>
      <c r="L45" s="185">
        <f ca="1">IFERROR(K45/$C$3,0)</f>
        <v>118571898.62776923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1175977107.7555289</v>
      </c>
      <c r="F46" s="176">
        <f>IFERROR(E46/D46,0)</f>
        <v>0.66074027572635818</v>
      </c>
      <c r="G46" s="184">
        <f>D46*$H$41-E46</f>
        <v>603810126.28702426</v>
      </c>
      <c r="H46" s="184">
        <f ca="1">IFERROR(G46/$C$3,0)</f>
        <v>100635021.04783738</v>
      </c>
      <c r="I46" s="204">
        <f>D46*$J$41-E46</f>
        <v>603810126.28702426</v>
      </c>
      <c r="J46" s="204">
        <f ca="1">IFERROR(I46/$C$3,0)</f>
        <v>100635021.04783738</v>
      </c>
      <c r="K46" s="185">
        <f>D46*$L$41-E46</f>
        <v>603810126.28702426</v>
      </c>
      <c r="L46" s="185">
        <f ca="1">IFERROR(K46/$C$3,0)</f>
        <v>100635021.04783738</v>
      </c>
      <c r="S46" s="173">
        <v>0.95</v>
      </c>
    </row>
    <row r="47" spans="2:19" ht="15" customHeight="1" x14ac:dyDescent="0.25">
      <c r="B47" s="261" t="s">
        <v>145</v>
      </c>
      <c r="C47" s="262"/>
      <c r="D47" s="47">
        <f>SUM(D43:D46)</f>
        <v>10438289468.281527</v>
      </c>
      <c r="E47" s="47">
        <f>SUM(E43:E46)</f>
        <v>7344742199.0155163</v>
      </c>
      <c r="F47" s="177">
        <f>IFERROR(E47/D47,0)</f>
        <v>0.70363465406221326</v>
      </c>
      <c r="G47" s="181">
        <f>SUM(G43:G46)</f>
        <v>3093547269.2660112</v>
      </c>
      <c r="H47" s="181">
        <f ca="1">IFERROR(G47/$C$3,0)</f>
        <v>515591211.54433519</v>
      </c>
      <c r="I47" s="186">
        <f>SUM(I43:I46)</f>
        <v>3093547269.2660112</v>
      </c>
      <c r="J47" s="186">
        <f ca="1">IFERROR(I47/$C$3,0)</f>
        <v>515591211.54433519</v>
      </c>
      <c r="K47" s="186">
        <f>SUM(K43:K46)</f>
        <v>3093547269.2660112</v>
      </c>
      <c r="L47" s="186">
        <f ca="1">IFERROR(K47/$C$3,0)</f>
        <v>515591211.54433519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67" t="s">
        <v>212</v>
      </c>
      <c r="C49" s="268"/>
      <c r="D49" s="268"/>
      <c r="E49" s="268"/>
      <c r="F49" s="268"/>
      <c r="G49" s="268"/>
      <c r="H49" s="268"/>
      <c r="I49" s="268"/>
      <c r="J49" s="268"/>
      <c r="K49" s="268"/>
      <c r="L49" s="291"/>
      <c r="M49" s="274" t="s">
        <v>185</v>
      </c>
      <c r="N49" s="275"/>
      <c r="O49" s="275"/>
      <c r="P49" s="275"/>
      <c r="Q49" s="275"/>
      <c r="R49" s="276"/>
    </row>
    <row r="50" spans="2:21" ht="17.100000000000001" customHeight="1" x14ac:dyDescent="0.25">
      <c r="B50" s="292" t="s">
        <v>41</v>
      </c>
      <c r="C50" s="292" t="s">
        <v>42</v>
      </c>
      <c r="D50" s="258" t="s">
        <v>137</v>
      </c>
      <c r="E50" s="259"/>
      <c r="F50" s="259"/>
      <c r="G50" s="260"/>
      <c r="H50" s="293" t="s">
        <v>138</v>
      </c>
      <c r="I50" s="294"/>
      <c r="J50" s="294"/>
      <c r="K50" s="295"/>
      <c r="L50" s="296" t="s">
        <v>139</v>
      </c>
      <c r="M50" s="277" t="str">
        <f>"SELISIH"&amp;CHAR(10)&amp;TEXT($H$41,"0%")</f>
        <v>SELISIH
100%</v>
      </c>
      <c r="N50" s="277" t="str">
        <f>"PER HARI"&amp;CHAR(10)&amp;TEXT($H$41,"0%")</f>
        <v>PER HARI
100%</v>
      </c>
      <c r="O50" s="279" t="str">
        <f>"SELISIH"&amp;CHAR(10)&amp;TEXT($J$41,"0%")</f>
        <v>SELISIH
100%</v>
      </c>
      <c r="P50" s="279" t="str">
        <f>"PER HARI"&amp;CHAR(10)&amp;TEXT($J$41,"0%")</f>
        <v>PER HARI
100%</v>
      </c>
      <c r="Q50" s="281" t="str">
        <f>"SELISIH"&amp;CHAR(10)&amp;TEXT($L$41,"0%")</f>
        <v>SELISIH
100%</v>
      </c>
      <c r="R50" s="281" t="str">
        <f>"PER HARI"&amp;CHAR(10)&amp;TEXT($L$41,"0%")</f>
        <v>PER HARI
100%</v>
      </c>
    </row>
    <row r="51" spans="2:21" ht="17.100000000000001" customHeight="1" x14ac:dyDescent="0.25">
      <c r="B51" s="273"/>
      <c r="C51" s="273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7"/>
      <c r="M51" s="278"/>
      <c r="N51" s="278"/>
      <c r="O51" s="280"/>
      <c r="P51" s="280"/>
      <c r="Q51" s="282"/>
      <c r="R51" s="282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237148035.93897399</v>
      </c>
      <c r="I52" s="114">
        <f t="shared" ref="I52:I65" si="1">SUMIF($B$10:$B$26,$T52,D$10:D$26)+SUMIF($B$10:$B$26,$U52,D$10:D$26)</f>
        <v>36430357.618449003</v>
      </c>
      <c r="J52" s="114">
        <f t="shared" ref="J52:J65" si="2">SUMIF($B$10:$B$26,$T52,E$10:E$26)+SUMIF($B$10:$B$26,$U52,E$10:E$26)</f>
        <v>121970186.709757</v>
      </c>
      <c r="K52" s="114">
        <f t="shared" ref="K52:K65" si="3">SUM(H52:J52)</f>
        <v>395548580.26717997</v>
      </c>
      <c r="L52" s="187">
        <f t="shared" ref="L52:L66" si="4">IFERROR(K52/G52,0)</f>
        <v>0.79710013433435345</v>
      </c>
      <c r="M52" s="184">
        <f t="shared" ref="M52:M65" si="5">G52*$H$41-K52</f>
        <v>100685911.7737689</v>
      </c>
      <c r="N52" s="184">
        <f t="shared" ref="N52:N66" ca="1" si="6">IFERROR(M52/$C$3,0)</f>
        <v>16780985.295628149</v>
      </c>
      <c r="O52" s="180">
        <f t="shared" ref="O52:O65" si="7">G52*$J$41-K52</f>
        <v>100685911.7737689</v>
      </c>
      <c r="P52" s="180">
        <f t="shared" ref="P52:P66" ca="1" si="8">IFERROR(O52/$C$3,0)</f>
        <v>16780985.295628149</v>
      </c>
      <c r="Q52" s="185">
        <f t="shared" ref="Q52:Q65" si="9">G52*$L$41-K52</f>
        <v>100685911.7737689</v>
      </c>
      <c r="R52" s="185">
        <f t="shared" ref="R52:R66" ca="1" si="10">IFERROR(Q52/$C$3,0)</f>
        <v>16780985.295628149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177750772.26838702</v>
      </c>
      <c r="I53" s="114">
        <f t="shared" si="1"/>
        <v>93492159.245675996</v>
      </c>
      <c r="J53" s="114">
        <f t="shared" si="2"/>
        <v>346215391.238985</v>
      </c>
      <c r="K53" s="114">
        <f t="shared" si="3"/>
        <v>617458322.75304794</v>
      </c>
      <c r="L53" s="187">
        <f t="shared" si="4"/>
        <v>0.80462038331198849</v>
      </c>
      <c r="M53" s="184">
        <f t="shared" si="5"/>
        <v>149932530.82122803</v>
      </c>
      <c r="N53" s="184">
        <f t="shared" ca="1" si="6"/>
        <v>24988755.136871338</v>
      </c>
      <c r="O53" s="180">
        <f t="shared" si="7"/>
        <v>149932530.82122803</v>
      </c>
      <c r="P53" s="180">
        <f t="shared" ca="1" si="8"/>
        <v>24988755.136871338</v>
      </c>
      <c r="Q53" s="185">
        <f t="shared" si="9"/>
        <v>149932530.82122803</v>
      </c>
      <c r="R53" s="185">
        <f t="shared" ca="1" si="10"/>
        <v>24988755.136871338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19430536.16</v>
      </c>
      <c r="I54" s="114">
        <f t="shared" si="1"/>
        <v>0</v>
      </c>
      <c r="J54" s="114">
        <f t="shared" si="2"/>
        <v>0</v>
      </c>
      <c r="K54" s="114">
        <f t="shared" si="3"/>
        <v>19430536.16</v>
      </c>
      <c r="L54" s="187">
        <f t="shared" si="4"/>
        <v>7.3893541418131994E-2</v>
      </c>
      <c r="M54" s="184">
        <f t="shared" si="5"/>
        <v>243522568.90301076</v>
      </c>
      <c r="N54" s="184">
        <f t="shared" ca="1" si="6"/>
        <v>40587094.817168459</v>
      </c>
      <c r="O54" s="180">
        <f t="shared" si="7"/>
        <v>243522568.90301076</v>
      </c>
      <c r="P54" s="180">
        <f t="shared" ca="1" si="8"/>
        <v>40587094.817168459</v>
      </c>
      <c r="Q54" s="185">
        <f t="shared" si="9"/>
        <v>243522568.90301076</v>
      </c>
      <c r="R54" s="185">
        <f t="shared" ca="1" si="10"/>
        <v>40587094.817168459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382520552.959773</v>
      </c>
      <c r="I55" s="114">
        <f t="shared" si="1"/>
        <v>30076374.803908002</v>
      </c>
      <c r="J55" s="114">
        <f t="shared" si="2"/>
        <v>129006195.443555</v>
      </c>
      <c r="K55" s="114">
        <f t="shared" si="3"/>
        <v>541603123.20723605</v>
      </c>
      <c r="L55" s="187">
        <f t="shared" si="4"/>
        <v>0.76439446615569195</v>
      </c>
      <c r="M55" s="184">
        <f t="shared" si="5"/>
        <v>166935657.73276389</v>
      </c>
      <c r="N55" s="184">
        <f t="shared" ca="1" si="6"/>
        <v>27822609.622127313</v>
      </c>
      <c r="O55" s="180">
        <f t="shared" si="7"/>
        <v>166935657.73276389</v>
      </c>
      <c r="P55" s="180">
        <f t="shared" ca="1" si="8"/>
        <v>27822609.622127313</v>
      </c>
      <c r="Q55" s="185">
        <f t="shared" si="9"/>
        <v>166935657.73276389</v>
      </c>
      <c r="R55" s="185">
        <f t="shared" ca="1" si="10"/>
        <v>27822609.622127313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3670270.2599940002</v>
      </c>
      <c r="I56" s="114">
        <f t="shared" si="1"/>
        <v>30803064</v>
      </c>
      <c r="J56" s="114">
        <f t="shared" si="2"/>
        <v>303576583.15999299</v>
      </c>
      <c r="K56" s="114">
        <f t="shared" si="3"/>
        <v>338049917.41998696</v>
      </c>
      <c r="L56" s="187">
        <f t="shared" si="4"/>
        <v>0.62928013479153233</v>
      </c>
      <c r="M56" s="184">
        <f t="shared" si="5"/>
        <v>199151082.15069866</v>
      </c>
      <c r="N56" s="184">
        <f t="shared" ca="1" si="6"/>
        <v>33191847.025116444</v>
      </c>
      <c r="O56" s="180">
        <f t="shared" si="7"/>
        <v>199151082.15069866</v>
      </c>
      <c r="P56" s="180">
        <f t="shared" ca="1" si="8"/>
        <v>33191847.025116444</v>
      </c>
      <c r="Q56" s="185">
        <f t="shared" si="9"/>
        <v>199151082.15069866</v>
      </c>
      <c r="R56" s="185">
        <f t="shared" ca="1" si="10"/>
        <v>33191847.025116444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169001496.12785199</v>
      </c>
      <c r="I57" s="114">
        <f t="shared" si="1"/>
        <v>50941048.349590003</v>
      </c>
      <c r="J57" s="114">
        <f t="shared" si="2"/>
        <v>111300289.21991999</v>
      </c>
      <c r="K57" s="114">
        <f t="shared" si="3"/>
        <v>331242833.69736201</v>
      </c>
      <c r="L57" s="187">
        <f t="shared" si="4"/>
        <v>0.59489066725044204</v>
      </c>
      <c r="M57" s="184">
        <f t="shared" si="5"/>
        <v>225570126.95699066</v>
      </c>
      <c r="N57" s="184">
        <f t="shared" ca="1" si="6"/>
        <v>37595021.159498446</v>
      </c>
      <c r="O57" s="180">
        <f t="shared" si="7"/>
        <v>225570126.95699066</v>
      </c>
      <c r="P57" s="180">
        <f t="shared" ca="1" si="8"/>
        <v>37595021.159498446</v>
      </c>
      <c r="Q57" s="185">
        <f t="shared" si="9"/>
        <v>225570126.95699066</v>
      </c>
      <c r="R57" s="185">
        <f t="shared" ca="1" si="10"/>
        <v>37595021.159498446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443895916.79426301</v>
      </c>
      <c r="I58" s="114">
        <f t="shared" si="1"/>
        <v>59268861.779744998</v>
      </c>
      <c r="J58" s="114">
        <f t="shared" si="2"/>
        <v>288618380.39946401</v>
      </c>
      <c r="K58" s="114">
        <f t="shared" si="3"/>
        <v>791783158.973472</v>
      </c>
      <c r="L58" s="187">
        <f t="shared" si="4"/>
        <v>0.72570680163406831</v>
      </c>
      <c r="M58" s="184">
        <f t="shared" si="5"/>
        <v>299267878.70540893</v>
      </c>
      <c r="N58" s="184">
        <f t="shared" ca="1" si="6"/>
        <v>49877979.784234822</v>
      </c>
      <c r="O58" s="180">
        <f t="shared" si="7"/>
        <v>299267878.70540893</v>
      </c>
      <c r="P58" s="180">
        <f t="shared" ca="1" si="8"/>
        <v>49877979.784234822</v>
      </c>
      <c r="Q58" s="185">
        <f t="shared" si="9"/>
        <v>299267878.70540893</v>
      </c>
      <c r="R58" s="185">
        <f t="shared" ca="1" si="10"/>
        <v>49877979.784234822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259923845.03888401</v>
      </c>
      <c r="I59" s="114">
        <f t="shared" si="1"/>
        <v>54503129.929926001</v>
      </c>
      <c r="J59" s="114">
        <f t="shared" si="2"/>
        <v>142890526.27022201</v>
      </c>
      <c r="K59" s="114">
        <f t="shared" si="3"/>
        <v>457317501.23903203</v>
      </c>
      <c r="L59" s="187">
        <f t="shared" si="4"/>
        <v>0.76673510872576434</v>
      </c>
      <c r="M59" s="184">
        <f t="shared" si="5"/>
        <v>139130341.09213126</v>
      </c>
      <c r="N59" s="184">
        <f t="shared" ca="1" si="6"/>
        <v>23188390.182021875</v>
      </c>
      <c r="O59" s="180">
        <f t="shared" si="7"/>
        <v>139130341.09213126</v>
      </c>
      <c r="P59" s="180">
        <f t="shared" ca="1" si="8"/>
        <v>23188390.182021875</v>
      </c>
      <c r="Q59" s="185">
        <f t="shared" si="9"/>
        <v>139130341.09213126</v>
      </c>
      <c r="R59" s="185">
        <f t="shared" ca="1" si="10"/>
        <v>23188390.182021875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141277908.08000001</v>
      </c>
      <c r="I60" s="114">
        <f t="shared" si="1"/>
        <v>0</v>
      </c>
      <c r="J60" s="114">
        <f t="shared" si="2"/>
        <v>0</v>
      </c>
      <c r="K60" s="114">
        <f t="shared" si="3"/>
        <v>141277908.08000001</v>
      </c>
      <c r="L60" s="187">
        <f t="shared" si="4"/>
        <v>0.31830337619266502</v>
      </c>
      <c r="M60" s="184">
        <f t="shared" si="5"/>
        <v>302568807.49642003</v>
      </c>
      <c r="N60" s="184">
        <f t="shared" ca="1" si="6"/>
        <v>50428134.582736671</v>
      </c>
      <c r="O60" s="180">
        <f t="shared" si="7"/>
        <v>302568807.49642003</v>
      </c>
      <c r="P60" s="180">
        <f t="shared" ca="1" si="8"/>
        <v>50428134.582736671</v>
      </c>
      <c r="Q60" s="185">
        <f t="shared" si="9"/>
        <v>302568807.49642003</v>
      </c>
      <c r="R60" s="185">
        <f t="shared" ca="1" si="10"/>
        <v>50428134.582736671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256419461.02474999</v>
      </c>
      <c r="I61" s="114">
        <f t="shared" si="1"/>
        <v>77693194.463043004</v>
      </c>
      <c r="J61" s="114">
        <f t="shared" si="2"/>
        <v>89026798.969540998</v>
      </c>
      <c r="K61" s="114">
        <f t="shared" si="3"/>
        <v>423139454.45733398</v>
      </c>
      <c r="L61" s="187">
        <f t="shared" si="4"/>
        <v>0.75418778339867465</v>
      </c>
      <c r="M61" s="184">
        <f t="shared" si="5"/>
        <v>137913725.89318401</v>
      </c>
      <c r="N61" s="184">
        <f t="shared" ca="1" si="6"/>
        <v>22985620.982197333</v>
      </c>
      <c r="O61" s="180">
        <f t="shared" si="7"/>
        <v>137913725.89318401</v>
      </c>
      <c r="P61" s="180">
        <f t="shared" ca="1" si="8"/>
        <v>22985620.982197333</v>
      </c>
      <c r="Q61" s="185">
        <f t="shared" si="9"/>
        <v>137913725.89318401</v>
      </c>
      <c r="R61" s="185">
        <f t="shared" ca="1" si="10"/>
        <v>22985620.982197333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383092727.56712502</v>
      </c>
      <c r="I62" s="114">
        <f t="shared" si="1"/>
        <v>55349896.384860002</v>
      </c>
      <c r="J62" s="114">
        <f t="shared" si="2"/>
        <v>182229758.21991599</v>
      </c>
      <c r="K62" s="114">
        <f t="shared" si="3"/>
        <v>620672382.17190099</v>
      </c>
      <c r="L62" s="187">
        <f t="shared" si="4"/>
        <v>0.88863010517766616</v>
      </c>
      <c r="M62" s="184">
        <f t="shared" si="5"/>
        <v>77787391.535414815</v>
      </c>
      <c r="N62" s="184">
        <f t="shared" ca="1" si="6"/>
        <v>12964565.255902469</v>
      </c>
      <c r="O62" s="180">
        <f t="shared" si="7"/>
        <v>77787391.535414815</v>
      </c>
      <c r="P62" s="180">
        <f t="shared" ca="1" si="8"/>
        <v>12964565.255902469</v>
      </c>
      <c r="Q62" s="185">
        <f t="shared" si="9"/>
        <v>77787391.535414815</v>
      </c>
      <c r="R62" s="185">
        <f t="shared" ca="1" si="10"/>
        <v>12964565.255902469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147612590.32019499</v>
      </c>
      <c r="I63" s="114">
        <f t="shared" si="1"/>
        <v>35669776.132996</v>
      </c>
      <c r="J63" s="114">
        <f t="shared" si="2"/>
        <v>157829582.71601701</v>
      </c>
      <c r="K63" s="114">
        <f t="shared" si="3"/>
        <v>341111949.16920799</v>
      </c>
      <c r="L63" s="187">
        <f t="shared" si="4"/>
        <v>0.74334105866910227</v>
      </c>
      <c r="M63" s="184">
        <f t="shared" si="5"/>
        <v>117778280.54572791</v>
      </c>
      <c r="N63" s="184">
        <f t="shared" ca="1" si="6"/>
        <v>19629713.424287986</v>
      </c>
      <c r="O63" s="180">
        <f t="shared" si="7"/>
        <v>117778280.54572791</v>
      </c>
      <c r="P63" s="180">
        <f t="shared" ca="1" si="8"/>
        <v>19629713.424287986</v>
      </c>
      <c r="Q63" s="185">
        <f t="shared" si="9"/>
        <v>117778280.54572791</v>
      </c>
      <c r="R63" s="185">
        <f t="shared" ca="1" si="10"/>
        <v>19629713.424287986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414518938.97676003</v>
      </c>
      <c r="I64" s="114">
        <f t="shared" si="1"/>
        <v>157965203.756598</v>
      </c>
      <c r="J64" s="114">
        <f t="shared" si="2"/>
        <v>202437830.837313</v>
      </c>
      <c r="K64" s="114">
        <f t="shared" si="3"/>
        <v>774921973.57067108</v>
      </c>
      <c r="L64" s="187">
        <f t="shared" si="4"/>
        <v>0.80650388379661719</v>
      </c>
      <c r="M64" s="184">
        <f t="shared" si="5"/>
        <v>185918995.87726974</v>
      </c>
      <c r="N64" s="184">
        <f t="shared" ca="1" si="6"/>
        <v>30986499.312878292</v>
      </c>
      <c r="O64" s="180">
        <f t="shared" si="7"/>
        <v>185918995.87726974</v>
      </c>
      <c r="P64" s="180">
        <f t="shared" ca="1" si="8"/>
        <v>30986499.312878292</v>
      </c>
      <c r="Q64" s="185">
        <f t="shared" si="9"/>
        <v>185918995.87726974</v>
      </c>
      <c r="R64" s="185">
        <f t="shared" ca="1" si="10"/>
        <v>30986499.312878292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144813706.518603</v>
      </c>
      <c r="I65" s="114">
        <f t="shared" si="1"/>
        <v>102919176.05603701</v>
      </c>
      <c r="J65" s="114">
        <f t="shared" si="2"/>
        <v>127474567.51891699</v>
      </c>
      <c r="K65" s="114">
        <f t="shared" si="3"/>
        <v>375207450.093557</v>
      </c>
      <c r="L65" s="187">
        <f t="shared" si="4"/>
        <v>0.72324784014119692</v>
      </c>
      <c r="M65" s="184">
        <f t="shared" si="5"/>
        <v>143573843.49496818</v>
      </c>
      <c r="N65" s="184">
        <f t="shared" ca="1" si="6"/>
        <v>23928973.915828031</v>
      </c>
      <c r="O65" s="180">
        <f t="shared" si="7"/>
        <v>143573843.49496818</v>
      </c>
      <c r="P65" s="180">
        <f t="shared" ca="1" si="8"/>
        <v>23928973.915828031</v>
      </c>
      <c r="Q65" s="185">
        <f t="shared" si="9"/>
        <v>143573843.49496818</v>
      </c>
      <c r="R65" s="185">
        <f t="shared" ca="1" si="10"/>
        <v>23928973.915828031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3181076758.0355597</v>
      </c>
      <c r="I66" s="135">
        <f t="shared" si="12"/>
        <v>785112242.52082801</v>
      </c>
      <c r="J66" s="135">
        <f t="shared" si="12"/>
        <v>2202576090.7035999</v>
      </c>
      <c r="K66" s="135">
        <f t="shared" si="12"/>
        <v>6168765091.2599888</v>
      </c>
      <c r="L66" s="189">
        <f t="shared" si="4"/>
        <v>0.71245175255211834</v>
      </c>
      <c r="M66" s="181">
        <f>SUM(M52:M65)</f>
        <v>2489737142.9789858</v>
      </c>
      <c r="N66" s="181">
        <f t="shared" ca="1" si="6"/>
        <v>414956190.49649763</v>
      </c>
      <c r="O66" s="181">
        <f>SUM(O52:O65)</f>
        <v>2489737142.9789858</v>
      </c>
      <c r="P66" s="181">
        <f t="shared" ca="1" si="8"/>
        <v>414956190.49649763</v>
      </c>
      <c r="Q66" s="186">
        <f>SUM(Q52:Q65)</f>
        <v>2489737142.9789858</v>
      </c>
      <c r="R66" s="186">
        <f t="shared" ca="1" si="10"/>
        <v>414956190.49649763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88" t="s">
        <v>144</v>
      </c>
      <c r="C68" s="289"/>
      <c r="D68" s="289"/>
      <c r="E68" s="289"/>
      <c r="F68" s="298"/>
      <c r="G68" s="274" t="s">
        <v>185</v>
      </c>
      <c r="H68" s="275"/>
      <c r="I68" s="275"/>
      <c r="J68" s="275"/>
      <c r="K68" s="275"/>
      <c r="L68" s="276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187964946.47910801</v>
      </c>
      <c r="F70" s="187">
        <f t="shared" ref="F70:F75" si="13">IFERROR(E70/D70,0)</f>
        <v>0.69777374974892326</v>
      </c>
      <c r="G70" s="184">
        <f>D70*$H$41-E70</f>
        <v>81413124.201743156</v>
      </c>
      <c r="H70" s="184">
        <f t="shared" ref="H70:H75" ca="1" si="14">IFERROR(G70/$C$3,0)</f>
        <v>13568854.033623859</v>
      </c>
      <c r="I70" s="204">
        <f>D70*$J$41-E70</f>
        <v>81413124.201743156</v>
      </c>
      <c r="J70" s="204">
        <f t="shared" ref="J70:J75" ca="1" si="15">IFERROR(I70/$C$3,0)</f>
        <v>13568854.033623859</v>
      </c>
      <c r="K70" s="185">
        <f>D70*$L$41-E70</f>
        <v>81413124.201743156</v>
      </c>
      <c r="L70" s="185">
        <f t="shared" ref="L70:L75" ca="1" si="16">IFERROR(K70/$C$3,0)</f>
        <v>13568854.033623859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377295988.94367301</v>
      </c>
      <c r="F71" s="187">
        <f t="shared" si="13"/>
        <v>0.91426025438818859</v>
      </c>
      <c r="G71" s="184">
        <f>D71*$H$41-E71</f>
        <v>35382990.737178087</v>
      </c>
      <c r="H71" s="184">
        <f t="shared" ca="1" si="14"/>
        <v>5897165.1228630142</v>
      </c>
      <c r="I71" s="204">
        <f>D71*$J$41-E71</f>
        <v>35382990.737178087</v>
      </c>
      <c r="J71" s="204">
        <f t="shared" ca="1" si="15"/>
        <v>5897165.1228630142</v>
      </c>
      <c r="K71" s="185">
        <f>D71*$L$41-E71</f>
        <v>35382990.737178087</v>
      </c>
      <c r="L71" s="185">
        <f t="shared" ca="1" si="16"/>
        <v>5897165.1228630142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610716172.33274794</v>
      </c>
      <c r="F72" s="187">
        <f t="shared" si="13"/>
        <v>0.55634452018521219</v>
      </c>
      <c r="G72" s="184">
        <f>D72*$H$41-E72</f>
        <v>487014011.34810305</v>
      </c>
      <c r="H72" s="184">
        <f t="shared" ca="1" si="14"/>
        <v>81169001.891350508</v>
      </c>
      <c r="I72" s="204">
        <f>D72*$J$41-E72</f>
        <v>487014011.34810305</v>
      </c>
      <c r="J72" s="204">
        <f t="shared" ca="1" si="15"/>
        <v>81169001.891350508</v>
      </c>
      <c r="K72" s="185">
        <f>D72*$L$41-E72</f>
        <v>487014011.34810305</v>
      </c>
      <c r="L72" s="185">
        <f t="shared" ca="1" si="16"/>
        <v>81169001.891350508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1175977107.7555289</v>
      </c>
      <c r="F75" s="177">
        <f t="shared" si="13"/>
        <v>0.66074027572635818</v>
      </c>
      <c r="G75" s="181">
        <f>SUM(G70:G74)</f>
        <v>603810126.28702426</v>
      </c>
      <c r="H75" s="181">
        <f t="shared" ca="1" si="14"/>
        <v>100635021.04783738</v>
      </c>
      <c r="I75" s="186">
        <f>SUM(I70:I74)</f>
        <v>603810126.28702426</v>
      </c>
      <c r="J75" s="186">
        <f t="shared" ca="1" si="15"/>
        <v>100635021.04783738</v>
      </c>
      <c r="K75" s="186">
        <f>SUM(K70:K74)</f>
        <v>603810126.28702426</v>
      </c>
      <c r="L75" s="186">
        <f t="shared" ca="1" si="16"/>
        <v>100635021.04783738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4" t="s">
        <v>170</v>
      </c>
      <c r="C78" s="255"/>
      <c r="D78" s="256"/>
    </row>
    <row r="79" spans="2:21" ht="17.100000000000001" customHeight="1" x14ac:dyDescent="0.25">
      <c r="B79" s="273" t="s">
        <v>41</v>
      </c>
      <c r="C79" s="273" t="s">
        <v>42</v>
      </c>
      <c r="D79" s="231" t="s">
        <v>138</v>
      </c>
    </row>
    <row r="80" spans="2:21" ht="17.100000000000001" customHeight="1" x14ac:dyDescent="0.25">
      <c r="B80" s="263"/>
      <c r="C80" s="263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357621266.38985002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166111713.37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11063062.76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278601448.74972498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91558018.549978003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965429726.35975003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257163970.459526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11405405.1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56089891.289999999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577583794.68933403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137661262.009927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16690378.705800001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153414057.435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 t="s">
        <v>229</v>
      </c>
      <c r="C95" s="56" t="s">
        <v>227</v>
      </c>
      <c r="D95" s="132">
        <f>SUMIF($B$10:$B$27,$T95,$F$10:$F$27)+SUMIF($B$10:$B$27,$U95,$F$10:$F$27)</f>
        <v>1297297.3500000001</v>
      </c>
      <c r="T95" t="s">
        <v>227</v>
      </c>
      <c r="U95" t="s">
        <v>217</v>
      </c>
    </row>
    <row r="96" spans="2:21" ht="15.95" customHeight="1" x14ac:dyDescent="0.25">
      <c r="B96" s="57" t="s">
        <v>151</v>
      </c>
      <c r="C96" s="58"/>
      <c r="D96" s="120">
        <f>SUM(D81:D95)</f>
        <v>3081691293.2188897</v>
      </c>
    </row>
    <row r="97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76" zoomScaleNormal="100" workbookViewId="0">
      <selection activeCell="B77" sqref="B77:V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4" t="s">
        <v>174</v>
      </c>
      <c r="C40" s="265"/>
      <c r="D40" s="266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7" t="s">
        <v>146</v>
      </c>
      <c r="C48" s="268"/>
      <c r="D48" s="268"/>
      <c r="E48" s="268"/>
      <c r="F48" s="268"/>
      <c r="G48" s="268"/>
      <c r="H48" s="268"/>
      <c r="I48" s="268"/>
      <c r="J48" s="268"/>
      <c r="K48" s="268"/>
      <c r="L48" s="291"/>
      <c r="M48" s="274" t="s">
        <v>185</v>
      </c>
      <c r="N48" s="275"/>
      <c r="O48" s="275"/>
      <c r="P48" s="275"/>
      <c r="Q48" s="275"/>
      <c r="R48" s="276"/>
    </row>
    <row r="49" spans="2:21" ht="17.100000000000001" customHeight="1" x14ac:dyDescent="0.25">
      <c r="B49" s="292" t="s">
        <v>41</v>
      </c>
      <c r="C49" s="292" t="s">
        <v>42</v>
      </c>
      <c r="D49" s="258" t="s">
        <v>137</v>
      </c>
      <c r="E49" s="259"/>
      <c r="F49" s="259"/>
      <c r="G49" s="260"/>
      <c r="H49" s="293" t="s">
        <v>138</v>
      </c>
      <c r="I49" s="294"/>
      <c r="J49" s="294"/>
      <c r="K49" s="295"/>
      <c r="L49" s="296" t="s">
        <v>139</v>
      </c>
      <c r="M49" s="277" t="str">
        <f>"SELISIH"&amp;CHAR(10)&amp;TEXT($H$40,"0%")</f>
        <v>SELISIH
90%</v>
      </c>
      <c r="N49" s="277" t="str">
        <f>"PER HARI"&amp;CHAR(10)&amp;TEXT($H$40,"0%")</f>
        <v>PER HARI
90%</v>
      </c>
      <c r="O49" s="279" t="str">
        <f>"SELISIH"&amp;CHAR(10)&amp;TEXT($J$40,"0%")</f>
        <v>SELISIH
95%</v>
      </c>
      <c r="P49" s="279" t="str">
        <f>"PER HARI"&amp;CHAR(10)&amp;TEXT($J$40,"0%")</f>
        <v>PER HARI
95%</v>
      </c>
      <c r="Q49" s="281" t="str">
        <f>"SELISIH"&amp;CHAR(10)&amp;TEXT($L$40,"0%")</f>
        <v>SELISIH
100%</v>
      </c>
      <c r="R49" s="281" t="str">
        <f>"PER HARI"&amp;CHAR(10)&amp;TEXT($L$40,"0%")</f>
        <v>PER HARI
100%</v>
      </c>
    </row>
    <row r="50" spans="2:21" ht="17.100000000000001" customHeight="1" x14ac:dyDescent="0.25">
      <c r="B50" s="273"/>
      <c r="C50" s="273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7"/>
      <c r="M50" s="278"/>
      <c r="N50" s="278"/>
      <c r="O50" s="280"/>
      <c r="P50" s="280"/>
      <c r="Q50" s="282"/>
      <c r="R50" s="282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8" t="s">
        <v>144</v>
      </c>
      <c r="C67" s="289"/>
      <c r="D67" s="289"/>
      <c r="E67" s="289"/>
      <c r="F67" s="298"/>
      <c r="G67" s="274" t="s">
        <v>185</v>
      </c>
      <c r="H67" s="275"/>
      <c r="I67" s="275"/>
      <c r="J67" s="275"/>
      <c r="K67" s="275"/>
      <c r="L67" s="276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73" t="s">
        <v>41</v>
      </c>
      <c r="C78" s="273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H83" sqref="H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4" t="s">
        <v>176</v>
      </c>
      <c r="C40" s="265"/>
      <c r="D40" s="266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1" t="s">
        <v>145</v>
      </c>
      <c r="C46" s="262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7" t="s">
        <v>146</v>
      </c>
      <c r="C48" s="268"/>
      <c r="D48" s="268"/>
      <c r="E48" s="268"/>
      <c r="F48" s="268"/>
      <c r="G48" s="268"/>
      <c r="H48" s="268"/>
      <c r="I48" s="268"/>
      <c r="J48" s="268"/>
      <c r="K48" s="268"/>
      <c r="L48" s="291"/>
      <c r="M48" s="274" t="s">
        <v>185</v>
      </c>
      <c r="N48" s="275"/>
      <c r="O48" s="275"/>
      <c r="P48" s="275"/>
      <c r="Q48" s="275"/>
      <c r="R48" s="276"/>
    </row>
    <row r="49" spans="2:21" ht="17.100000000000001" customHeight="1" x14ac:dyDescent="0.25">
      <c r="B49" s="292" t="s">
        <v>41</v>
      </c>
      <c r="C49" s="292" t="s">
        <v>42</v>
      </c>
      <c r="D49" s="258" t="s">
        <v>137</v>
      </c>
      <c r="E49" s="259"/>
      <c r="F49" s="259"/>
      <c r="G49" s="260"/>
      <c r="H49" s="293" t="s">
        <v>138</v>
      </c>
      <c r="I49" s="294"/>
      <c r="J49" s="294"/>
      <c r="K49" s="295"/>
      <c r="L49" s="296" t="s">
        <v>139</v>
      </c>
      <c r="M49" s="277" t="str">
        <f>"SELISIH"&amp;CHAR(10)&amp;TEXT($H$40,"0%")</f>
        <v>SELISIH
90%</v>
      </c>
      <c r="N49" s="277" t="str">
        <f>"PER HARI"&amp;CHAR(10)&amp;TEXT($H$40,"0%")</f>
        <v>PER HARI
90%</v>
      </c>
      <c r="O49" s="279" t="str">
        <f>"SELISIH"&amp;CHAR(10)&amp;TEXT($J$40,"0%")</f>
        <v>SELISIH
95%</v>
      </c>
      <c r="P49" s="279" t="str">
        <f>"PER HARI"&amp;CHAR(10)&amp;TEXT($J$40,"0%")</f>
        <v>PER HARI
95%</v>
      </c>
      <c r="Q49" s="281" t="str">
        <f>"SELISIH"&amp;CHAR(10)&amp;TEXT($L$40,"0%")</f>
        <v>SELISIH
100%</v>
      </c>
      <c r="R49" s="281" t="str">
        <f>"PER HARI"&amp;CHAR(10)&amp;TEXT($L$40,"0%")</f>
        <v>PER HARI
100%</v>
      </c>
    </row>
    <row r="50" spans="2:21" ht="17.100000000000001" customHeight="1" x14ac:dyDescent="0.25">
      <c r="B50" s="273"/>
      <c r="C50" s="273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7"/>
      <c r="M50" s="278"/>
      <c r="N50" s="278"/>
      <c r="O50" s="280"/>
      <c r="P50" s="280"/>
      <c r="Q50" s="282"/>
      <c r="R50" s="282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8" t="s">
        <v>144</v>
      </c>
      <c r="C67" s="289"/>
      <c r="D67" s="289"/>
      <c r="E67" s="289"/>
      <c r="F67" s="298"/>
      <c r="G67" s="274" t="s">
        <v>185</v>
      </c>
      <c r="H67" s="275"/>
      <c r="I67" s="275"/>
      <c r="J67" s="275"/>
      <c r="K67" s="275"/>
      <c r="L67" s="276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4" t="s">
        <v>170</v>
      </c>
      <c r="C77" s="255"/>
      <c r="D77" s="256"/>
    </row>
    <row r="78" spans="2:21" ht="17.100000000000001" customHeight="1" x14ac:dyDescent="0.25">
      <c r="B78" s="273" t="s">
        <v>41</v>
      </c>
      <c r="C78" s="273" t="s">
        <v>42</v>
      </c>
      <c r="D78" s="231" t="s">
        <v>138</v>
      </c>
    </row>
    <row r="79" spans="2:21" ht="17.100000000000001" customHeight="1" x14ac:dyDescent="0.25">
      <c r="B79" s="263"/>
      <c r="C79" s="263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2026-10-24T00:47:30Z</dcterms:modified>
  <dc:language>en-US</dc:language>
</cp:coreProperties>
</file>