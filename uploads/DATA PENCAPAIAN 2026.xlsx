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6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94" i="12" s="1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K61" i="11"/>
  <c r="K63" i="12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57" i="11" l="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<sst xmlns="http://schemas.openxmlformats.org/spreadsheetml/2006/main" count="2117" uniqueCount="228">
  <si>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</si>
  <si>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</si>
  <si>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</si>
  <si>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</si>
  <si>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</si>
  <si>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</si>
  <si>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</si>
  <si>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</si>
  <si>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</si>
  <si>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</si>
  <si>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</si>
  <si>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</si>
  <si>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</si>
  <si>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</si>
  <si>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</si>
  <si>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</si>
  <si>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</si>
  <si>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</si>
  <si>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</si>
  <si>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</si>
  <si>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</si>
  <si>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</si>
  <si>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</si>
  <si>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</si>
  <si>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</si>
  <si>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</si>
  <si>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</si>
  <si>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</si>
  <si>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</si>
  <si>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</si>
  <si>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</si>
  <si>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</si>
  <si>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</si>
  <si>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</si>
  <si>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</si>
  <si>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</si>
  <si>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</si>
  <si>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</si>
  <si>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</si>
  <si>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</si>
  <si>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</si>
  <si>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</si>
  <si>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</si>
  <si>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</si>
  <si>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</si>
  <si>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</si>
  <si>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</si>
  <si>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</si>
  <si>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</si>
  <si>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</si>
  <si>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</si>
  <si>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</si>
  <si>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</si>
  <si>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</si>
  <si>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</si>
  <si>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</si>
  <si>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</si>
  <si>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</si>
  <si>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</si>
  <si>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</si>
  <si>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</si>
  <si>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</si>
  <si>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</si>
  <si>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</si>
  <si>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</si>
  <si>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</si>
  <si>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</si>
  <si>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</si>
  <si>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</si>
  <si>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</si>
  <si>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</si>
  <si>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</si>
  <si>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</si>
  <si>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</si>
  <si>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</si>
  <si>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</si>
  <si>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</si>
  <si>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</si>
  <si>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</si>
  <si>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</si>
  <si>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</si>
  <si>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</si>
  <si>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</si>
  <si>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</si>
  <si>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</si>
  <si>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</si>
  <si>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</si>
  <si>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</si>
  <si>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</si>
  <si>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</si>
  <si>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</si>
  <si>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</si>
  <si>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</si>
  <si>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</si>
  <si>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</si>
  <si>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</si>
  <si>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</si>
  <si>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</si>
  <si>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</si>
  <si>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</si>
  <si>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</si>
  <si>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</si>
  <si>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</si>
  <si>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</si>
  <si>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</si>
  <si>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</si>
  <si>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</si>
  <si>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</si>
  <si>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</si>
  <si>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</si>
  <si>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</si>
  <si>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</si>
  <si>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</si>
  <si>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</si>
  <si>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</si>
  <si>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</si>
  <si>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</si>
  <si>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</si>
  <si>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</si>
  <si>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</si>
  <si>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</si>
  <si>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</si>
  <si>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</si>
  <si>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</si>
  <si>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</si>
  <si>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</si>
  <si>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</si>
  <si>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</si>
  <si>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</si>
  <si>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</si>
  <si>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</si>
  <si>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</si>
  <si>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</si>
  <si>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</si>
  <si>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</si>
  <si>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</si>
  <si>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</si>
  <si>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</si>
  <si>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</si>
  <si>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</si>
  <si>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</si>
  <si>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</si>
  <si>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</si>
  <si>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</si>
  <si>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</si>
  <si>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</si>
  <si>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</si>
  <si>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</si>
  <si>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</si>
  <si>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</si>
  <si>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</si>
  <si>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</si>
  <si>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</si>
  <si>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</si>
  <si>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</si>
  <si>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</si>
  <si>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</si>
  <si>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</si>
  <si>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</si>
  <si>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</si>
  <si>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</si>
  <si>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</si>
  <si>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</si>
  <si>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</si>
  <si>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</si>
  <si>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</si>
  <si>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</si>
  <si>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</si>
  <si>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</si>
  <si>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</si>
  <si>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</si>
  <si>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</si>
  <si>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</si>
  <si>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</si>
  <si>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</si>
  <si>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</si>
  <si>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</si>
  <si>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</si>
  <si>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</si>
  <si>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</si>
  <si>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</si>
  <si>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</si>
  <si>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</si>
  <si>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</si>
  <si>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</si>
  <si>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</si>
  <si>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</si>
  <si>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</si>
  <si>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</si>
  <si>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</si>
  <si>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</si>
  <si>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</si>
  <si>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</si>
  <si>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</si>
  <si>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</si>
  <si>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</si>
  <si>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</si>
  <si>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</si>
  <si>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</si>
  <si>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</si>
  <si>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</si>
  <si>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</si>
  <si>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</si>
  <si>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</si>
  <si>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</si>
  <si>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</si>
  <si>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</si>
  <si>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</si>
  <si>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</si>
  <si>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</si>
  <si>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</si>
  <si>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</si>
  <si>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</si>
  <si>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</si>
  <si>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</si>
  <si>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</si>
  <si>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</si>
  <si>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</si>
  <si>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</si>
  <si>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</si>
  <si>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</si>
  <si>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</si>
  <si>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</si>
  <si>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</si>
  <si>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</si>
  <si>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</si>
  <si>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</si>
  <si>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29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</si>
</sst>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8" t="s">
        <v>0</v>
      </c>
      <c r="C1" s="238"/>
    </row>
    <row r="3" spans="2:3" x14ac:dyDescent="0.25">
      <c r="B3" s="239" t="s">
        <v>1</v>
      </c>
      <c r="C3" s="23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0" t="s">
        <v>14</v>
      </c>
      <c r="C11" s="24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9" t="s">
        <v>28</v>
      </c>
      <c r="C3" s="239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1" t="s">
        <v>102</v>
      </c>
      <c r="C29" s="241"/>
      <c r="D29" s="241"/>
      <c r="E29" s="241"/>
      <c r="F29" s="241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9" t="s">
        <v>145</v>
      </c>
      <c r="C44" s="26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1" t="s">
        <v>41</v>
      </c>
      <c r="C47" s="261" t="s">
        <v>42</v>
      </c>
      <c r="D47" s="256" t="s">
        <v>137</v>
      </c>
      <c r="E47" s="257"/>
      <c r="F47" s="258"/>
      <c r="G47" s="69" t="s">
        <v>138</v>
      </c>
      <c r="H47" s="69"/>
      <c r="I47" s="69"/>
      <c r="J47" s="261" t="s">
        <v>139</v>
      </c>
      <c r="K47" s="35" t="s">
        <v>147</v>
      </c>
      <c r="L47" s="35"/>
      <c r="M47" s="35"/>
      <c r="N47" s="255" t="s">
        <v>148</v>
      </c>
    </row>
    <row r="48" spans="2:17" ht="15.75" x14ac:dyDescent="0.25">
      <c r="B48" s="261"/>
      <c r="C48" s="261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1"/>
      <c r="K48" s="34" t="s">
        <v>142</v>
      </c>
      <c r="L48" s="34" t="s">
        <v>110</v>
      </c>
      <c r="M48" s="34" t="s">
        <v>145</v>
      </c>
      <c r="N48" s="255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2" t="s">
        <v>144</v>
      </c>
      <c r="C63" s="253"/>
      <c r="D63" s="253"/>
      <c r="E63" s="253"/>
      <c r="F63" s="253"/>
      <c r="G63" s="253"/>
      <c r="H63" s="254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2" t="s">
        <v>178</v>
      </c>
      <c r="C41" s="263"/>
      <c r="D41" s="264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9" t="s">
        <v>145</v>
      </c>
      <c r="C46" s="260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  <c r="Q48"/>
      <c r="R48"/>
    </row>
    <row r="49" spans="2:18" s="139" customFormat="1" ht="33.950000000000003" customHeight="1" x14ac:dyDescent="0.25">
      <c r="B49" s="270" t="s">
        <v>41</v>
      </c>
      <c r="C49" s="270" t="s">
        <v>42</v>
      </c>
      <c r="D49" s="267" t="s">
        <v>137</v>
      </c>
      <c r="E49" s="268"/>
      <c r="F49" s="269"/>
      <c r="G49" s="140" t="s">
        <v>138</v>
      </c>
      <c r="H49" s="140"/>
      <c r="I49" s="140"/>
      <c r="J49" s="267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9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0"/>
      <c r="C50" s="270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7"/>
      <c r="K50" s="276"/>
      <c r="L50" s="276"/>
      <c r="M50" s="278"/>
      <c r="N50" s="188"/>
      <c r="O50" s="183"/>
      <c r="P50" s="280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2" t="s">
        <v>171</v>
      </c>
      <c r="C77" s="253"/>
      <c r="D77" s="254"/>
      <c r="G77"/>
      <c r="H77"/>
      <c r="I77"/>
    </row>
    <row r="78" spans="1:19" ht="20.100000000000001" customHeight="1" x14ac:dyDescent="0.25">
      <c r="B78" s="271" t="s">
        <v>41</v>
      </c>
      <c r="C78" s="271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1"/>
      <c r="C79" s="261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81" t="s">
        <v>179</v>
      </c>
      <c r="C41" s="282"/>
      <c r="D41" s="283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277" t="str">
        <f>"PER HARI"&amp;CHAR(10)&amp;TEXT($J$41,"0%")</f>
        <v>PER HARI
95%</v>
      </c>
      <c r="O49" s="279" t="str">
        <f>"SELISIH"&amp;CHAR(10)&amp;TEXT($L$41,"0%")</f>
        <v>SELISIH
100%</v>
      </c>
      <c r="P49" s="279" t="str">
        <f>"PER HARI"&amp;CHAR(10)&amp;TEXT($L$41,"0%")</f>
        <v>PER HARI
100%</v>
      </c>
    </row>
    <row r="50" spans="2:16" ht="22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76"/>
      <c r="L50" s="276"/>
      <c r="M50" s="278"/>
      <c r="N50" s="278"/>
      <c r="O50" s="280"/>
      <c r="P50" s="280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8.75" customHeight="1" x14ac:dyDescent="0.25">
      <c r="B78" s="271" t="s">
        <v>41</v>
      </c>
      <c r="C78" s="271" t="s">
        <v>42</v>
      </c>
      <c r="D78" s="231" t="s">
        <v>138</v>
      </c>
    </row>
    <row r="79" spans="2:16" ht="18" customHeight="1" x14ac:dyDescent="0.25">
      <c r="B79" s="261"/>
      <c r="C79" s="261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2" t="s">
        <v>180</v>
      </c>
      <c r="C41" s="263"/>
      <c r="D41" s="264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277" t="str">
        <f>"PER HARI"&amp;CHAR(10)&amp;TEXT($J$41,"0%")</f>
        <v>PER HARI
95%</v>
      </c>
      <c r="O49" s="279" t="str">
        <f>"SELISIH"&amp;CHAR(10)&amp;TEXT($L$41,"0%")</f>
        <v>SELISIH
100%</v>
      </c>
      <c r="P49" s="279" t="str">
        <f>"PER HARI"&amp;CHAR(10)&amp;TEXT($L$41,"0%")</f>
        <v>PER HARI
100%</v>
      </c>
    </row>
    <row r="50" spans="2:16" ht="19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76"/>
      <c r="L50" s="276"/>
      <c r="M50" s="278"/>
      <c r="N50" s="278"/>
      <c r="O50" s="280"/>
      <c r="P50" s="280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71" t="s">
        <v>41</v>
      </c>
      <c r="C78" s="271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2" t="s">
        <v>189</v>
      </c>
      <c r="C41" s="263"/>
      <c r="D41" s="264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9" t="s">
        <v>145</v>
      </c>
      <c r="C46" s="260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</row>
    <row r="49" spans="2:16" ht="15.75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277" t="str">
        <f>"PER HARI"&amp;CHAR(10)&amp;TEXT($J$41,"0%")</f>
        <v>PER HARI
95%</v>
      </c>
      <c r="O49" s="284" t="str">
        <f>"SELISIH"&amp;CHAR(10)&amp;TEXT($L$41,"0%")</f>
        <v>SELISIH
100%</v>
      </c>
      <c r="P49" s="284" t="str">
        <f>"PER HARI"&amp;CHAR(10)&amp;TEXT($L$41,"0%")</f>
        <v>PER HARI
100%</v>
      </c>
    </row>
    <row r="50" spans="2:16" ht="15.75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76"/>
      <c r="L50" s="276"/>
      <c r="M50" s="278"/>
      <c r="N50" s="278"/>
      <c r="O50" s="285"/>
      <c r="P50" s="285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71" t="s">
        <v>41</v>
      </c>
      <c r="C78" s="271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2" t="s">
        <v>219</v>
      </c>
      <c r="C40" s="263"/>
      <c r="D40" s="264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9" t="s">
        <v>145</v>
      </c>
      <c r="C46" s="260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5" t="s">
        <v>213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5.75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88"/>
      <c r="G67" s="272" t="s">
        <v>186</v>
      </c>
      <c r="H67" s="273"/>
      <c r="I67" s="273"/>
      <c r="J67" s="273"/>
      <c r="K67" s="273"/>
      <c r="L67" s="274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2" t="s">
        <v>171</v>
      </c>
      <c r="C77" s="253"/>
      <c r="D77" s="254"/>
    </row>
    <row r="78" spans="2:21" ht="15.75" x14ac:dyDescent="0.25">
      <c r="B78" s="271" t="s">
        <v>41</v>
      </c>
      <c r="C78" s="271" t="s">
        <v>42</v>
      </c>
      <c r="D78" s="231" t="s">
        <v>138</v>
      </c>
    </row>
    <row r="79" spans="2:21" ht="15.75" x14ac:dyDescent="0.25">
      <c r="B79" s="261"/>
      <c r="C79" s="261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22" zoomScale="84" zoomScaleNormal="84" workbookViewId="0">
      <selection activeCell="C39" sqref="C3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6">
        <v>144279163.255797</v>
      </c>
      <c r="D10" s="236">
        <v>39865291.477794997</v>
      </c>
      <c r="E10" s="236">
        <v>201225937.40701801</v>
      </c>
      <c r="F10" s="236">
        <v>159875865.75992399</v>
      </c>
      <c r="G10" s="236">
        <v>545246257.90053403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6">
        <v>5673423.4199980004</v>
      </c>
      <c r="D11" s="236">
        <v>32629360.699999999</v>
      </c>
      <c r="E11" s="236">
        <v>271000001.35890001</v>
      </c>
      <c r="F11" s="236" t="s">
        <v>165</v>
      </c>
      <c r="G11" s="236">
        <v>309302785.47889799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6">
        <v>161219730.55793801</v>
      </c>
      <c r="D12" s="236">
        <v>70791542.079612002</v>
      </c>
      <c r="E12" s="236">
        <v>171970814.99950901</v>
      </c>
      <c r="F12" s="236">
        <v>72387121.459999993</v>
      </c>
      <c r="G12" s="236">
        <v>476369209.09705901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6">
        <v>31456577.699947</v>
      </c>
      <c r="D13" s="236">
        <v>22878710.189963002</v>
      </c>
      <c r="E13" s="236">
        <v>209687749.75959</v>
      </c>
      <c r="F13" s="236">
        <v>91255957.469999999</v>
      </c>
      <c r="G13" s="236">
        <v>355278995.11949998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6">
        <v>499277061.85955799</v>
      </c>
      <c r="D14" s="236">
        <v>45658406.209425002</v>
      </c>
      <c r="E14" s="236">
        <v>153352892.139853</v>
      </c>
      <c r="F14" s="236">
        <v>417669886.18970001</v>
      </c>
      <c r="G14" s="236">
        <v>1115958246.398536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6">
        <v>1668540388.249907</v>
      </c>
      <c r="D15" s="236">
        <v>11781314.416924</v>
      </c>
      <c r="E15" s="236">
        <v>94399476.329938993</v>
      </c>
      <c r="F15" s="236">
        <v>17616216.550000001</v>
      </c>
      <c r="G15" s="236">
        <v>1792337395.5467701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6">
        <v>510002008.569673</v>
      </c>
      <c r="D16" s="236">
        <v>57215125.779923998</v>
      </c>
      <c r="E16" s="236">
        <v>323013334.79936802</v>
      </c>
      <c r="F16" s="236">
        <v>1054625484.149969</v>
      </c>
      <c r="G16" s="236">
        <v>1944855953.298934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6">
        <v>108130900.985884</v>
      </c>
      <c r="D17" s="236">
        <v>13122554.039898001</v>
      </c>
      <c r="E17" s="236">
        <v>111572926.73874199</v>
      </c>
      <c r="F17" s="236">
        <v>49898919.898000002</v>
      </c>
      <c r="G17" s="236">
        <v>282725301.66252398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6">
        <v>13656047.589996999</v>
      </c>
      <c r="D18" s="236">
        <v>147184525.55145499</v>
      </c>
      <c r="E18" s="236">
        <v>59041106.100000001</v>
      </c>
      <c r="F18" s="236">
        <v>107718921.26000001</v>
      </c>
      <c r="G18" s="236">
        <v>327600600.50145203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6">
        <v>48019875.460000001</v>
      </c>
      <c r="D19" s="236" t="s">
        <v>165</v>
      </c>
      <c r="E19" s="236" t="s">
        <v>165</v>
      </c>
      <c r="F19" s="236">
        <v>9945945.6799999997</v>
      </c>
      <c r="G19" s="236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6">
        <v>206615067.16</v>
      </c>
      <c r="D20" s="236" t="s">
        <v>165</v>
      </c>
      <c r="E20" s="236" t="s">
        <v>165</v>
      </c>
      <c r="F20" s="236">
        <v>13579549.18</v>
      </c>
      <c r="G20" s="236">
        <v>220194616.34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6">
        <v>279474951.69377297</v>
      </c>
      <c r="D21" s="236">
        <v>50971930.973436996</v>
      </c>
      <c r="E21" s="236">
        <v>156172437.89974299</v>
      </c>
      <c r="F21" s="236">
        <v>418959663.01985002</v>
      </c>
      <c r="G21" s="236">
        <v>905578983.58680296</v>
      </c>
      <c r="H21" s="111"/>
      <c r="I21" s="111"/>
      <c r="J21" s="111"/>
      <c r="M21" s="14">
        <f>SUM(C33,C34)+M20</f>
        <v>1029524757.540693</v>
      </c>
      <c r="N21" s="10" t="s">
        <v>224</v>
      </c>
    </row>
    <row r="22" spans="2:15" ht="15" customHeight="1" x14ac:dyDescent="0.25">
      <c r="B22" s="72" t="s">
        <v>225</v>
      </c>
      <c r="C22" s="236">
        <v>194178770.260515</v>
      </c>
      <c r="D22" s="236">
        <v>55882903.289934002</v>
      </c>
      <c r="E22" s="236">
        <v>158811370.80815101</v>
      </c>
      <c r="F22" s="236">
        <v>66593423.25</v>
      </c>
      <c r="G22" s="236">
        <v>475466467.60860002</v>
      </c>
      <c r="H22" s="111"/>
      <c r="I22" s="111"/>
      <c r="J22" s="111"/>
    </row>
    <row r="23" spans="2:15" ht="15" customHeight="1" x14ac:dyDescent="0.25">
      <c r="B23" s="72" t="s">
        <v>125</v>
      </c>
      <c r="C23" s="236">
        <v>272154150.611709</v>
      </c>
      <c r="D23" s="236">
        <v>73116453.419943005</v>
      </c>
      <c r="E23" s="236">
        <v>191422516.331242</v>
      </c>
      <c r="F23" s="236">
        <v>338386814.24937999</v>
      </c>
      <c r="G23" s="236">
        <v>875079934.61227405</v>
      </c>
      <c r="H23" s="111"/>
      <c r="I23" s="111"/>
      <c r="J23" s="111"/>
    </row>
    <row r="24" spans="2:15" ht="15" customHeight="1" x14ac:dyDescent="0.25">
      <c r="B24" s="72" t="s">
        <v>126</v>
      </c>
      <c r="C24" s="236">
        <v>451192557.081352</v>
      </c>
      <c r="D24" s="236">
        <v>62998196.844919004</v>
      </c>
      <c r="E24" s="236">
        <v>210758723.08987701</v>
      </c>
      <c r="F24" s="236">
        <v>621824291.65936995</v>
      </c>
      <c r="G24" s="236">
        <v>1346773768.675518</v>
      </c>
      <c r="H24" s="111"/>
      <c r="I24" s="111"/>
      <c r="J24" s="111"/>
    </row>
    <row r="25" spans="2:15" ht="15" customHeight="1" x14ac:dyDescent="0.25">
      <c r="B25" s="72" t="s">
        <v>220</v>
      </c>
      <c r="C25" s="236">
        <v>348281390.32724202</v>
      </c>
      <c r="D25" s="236">
        <v>82526864.846503004</v>
      </c>
      <c r="E25" s="236">
        <v>99668158.112520993</v>
      </c>
      <c r="F25" s="236">
        <v>50324325.43</v>
      </c>
      <c r="G25" s="236">
        <v>580800738.71626604</v>
      </c>
      <c r="H25" s="111"/>
      <c r="I25" s="111"/>
      <c r="J25" s="111"/>
    </row>
    <row r="26" spans="2:15" ht="15" customHeight="1" x14ac:dyDescent="0.25">
      <c r="B26" s="72" t="s">
        <v>127</v>
      </c>
      <c r="C26" s="236">
        <v>506101282.89459699</v>
      </c>
      <c r="D26" s="236">
        <v>290879574.89086801</v>
      </c>
      <c r="E26" s="236">
        <v>286978787.695113</v>
      </c>
      <c r="F26" s="236">
        <v>19764540.930399999</v>
      </c>
      <c r="G26" s="236">
        <v>1103724186.4109781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171">
        <v>276916748.691921</v>
      </c>
      <c r="G31" s="111"/>
      <c r="H31" s="111"/>
      <c r="I31" s="111"/>
    </row>
    <row r="32" spans="2:15" ht="15" customHeight="1" x14ac:dyDescent="0.25">
      <c r="B32" s="81" t="s">
        <v>132</v>
      </c>
      <c r="C32" s="236">
        <v>458181336.78289902</v>
      </c>
      <c r="G32" s="111"/>
      <c r="H32" s="111"/>
      <c r="I32" s="111"/>
    </row>
    <row r="33" spans="2:19" ht="15" customHeight="1" x14ac:dyDescent="0.25">
      <c r="B33" s="81" t="s">
        <v>133</v>
      </c>
      <c r="C33" s="236">
        <v>509412546.19026101</v>
      </c>
      <c r="G33" s="111"/>
      <c r="H33" s="111"/>
      <c r="I33" s="111"/>
    </row>
    <row r="34" spans="2:19" ht="15" customHeight="1" x14ac:dyDescent="0.25">
      <c r="B34" s="81" t="s">
        <v>134</v>
      </c>
      <c r="C34" s="236">
        <v>520112211.35043198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227</v>
      </c>
      <c r="C40" s="263"/>
      <c r="D40" s="264"/>
      <c r="E40" s="66" t="s">
        <v>137</v>
      </c>
      <c r="F40" s="174">
        <f ca="1">IF(MONTH(TODAY())=9,DAY(TODAY())/DAY(EOMONTH(TODAY(),0)),IF(MONTH(TODAY())&gt;9,1,0))</f>
        <v>0.96666666666666667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3779712959.4279799</v>
      </c>
      <c r="F42" s="176">
        <f>IFERROR(E42/D42,0)</f>
        <v>0.83774206737566415</v>
      </c>
      <c r="G42" s="184">
        <f>D42*$H$40-E42</f>
        <v>506483772.58644629</v>
      </c>
      <c r="H42" s="184">
        <f ca="1">IFERROR(G42/$C$3,0)</f>
        <v>253241886.29322314</v>
      </c>
      <c r="I42" s="204">
        <f>D42*$J$40-E42</f>
        <v>732073074.27141619</v>
      </c>
      <c r="J42" s="204">
        <f ca="1">IFERROR(I42/$C$3,0)</f>
        <v>366036537.13570809</v>
      </c>
      <c r="K42" s="185">
        <f>D42*$L$40-E42</f>
        <v>732073074.27141619</v>
      </c>
      <c r="L42" s="185">
        <f ca="1">IFERROR(K42/$C$3,0)</f>
        <v>366036537.13570809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1045721440.2936759</v>
      </c>
      <c r="F43" s="176">
        <f>IFERROR(E43/D43,0)</f>
        <v>0.74621615966008525</v>
      </c>
      <c r="G43" s="184">
        <f>D43*$H$40-E43</f>
        <v>285575604.69596815</v>
      </c>
      <c r="H43" s="184">
        <f ca="1">IFERROR(G43/$C$3,0)</f>
        <v>142787802.34798408</v>
      </c>
      <c r="I43" s="204">
        <f>D43*$J$40-E43</f>
        <v>355643870.22173905</v>
      </c>
      <c r="J43" s="204">
        <f ca="1">IFERROR(I43/$C$3,0)</f>
        <v>177821935.11086953</v>
      </c>
      <c r="K43" s="185">
        <f>D43*$L$40-E43</f>
        <v>355643870.22173905</v>
      </c>
      <c r="L43" s="185">
        <f ca="1">IFERROR(K43/$C$3,0)</f>
        <v>177821935.11086953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2604676757.2396264</v>
      </c>
      <c r="F44" s="176">
        <f>IFERROR(E44/D44,0)</f>
        <v>0.88449612898731944</v>
      </c>
      <c r="G44" s="184">
        <f>IF(D44=0,0,D44*$H$40-E44)</f>
        <v>192896729.27262449</v>
      </c>
      <c r="H44" s="184">
        <f ca="1">IFERROR(G44/$C$3,0)</f>
        <v>96448364.636312246</v>
      </c>
      <c r="I44" s="204">
        <f>IF(D44=0,0,D44*$J$40-E44)</f>
        <v>340137439.08905888</v>
      </c>
      <c r="J44" s="204">
        <f ca="1">IFERROR(I44/$C$3,0)</f>
        <v>170068719.54452944</v>
      </c>
      <c r="K44" s="185">
        <f>IF(D44=0,0,D44*$L$40-E44)</f>
        <v>340137439.08905888</v>
      </c>
      <c r="L44" s="185">
        <f ca="1">IFERROR(K44/$C$3,0)</f>
        <v>170068719.54452944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1764622843.0155129</v>
      </c>
      <c r="F45" s="176">
        <f>IFERROR(E45/D45,0)</f>
        <v>1.0139031005101358</v>
      </c>
      <c r="G45" s="184">
        <f>D45*$H$40-E45</f>
        <v>-111218587.69636416</v>
      </c>
      <c r="H45" s="184">
        <f ca="1">IFERROR(G45/$C$3,0)</f>
        <v>-55609293.848182082</v>
      </c>
      <c r="I45" s="204">
        <f>D45*$J$40-E45</f>
        <v>-24197311.100619316</v>
      </c>
      <c r="J45" s="204">
        <f ca="1">IFERROR(I45/$C$3,0)</f>
        <v>-12098655.550309658</v>
      </c>
      <c r="K45" s="185">
        <f>D45*$L$40-E45</f>
        <v>-24197311.100619316</v>
      </c>
      <c r="L45" s="185">
        <f ca="1">IFERROR(K45/$C$3,0)</f>
        <v>-12098655.550309658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10598391072.458391</v>
      </c>
      <c r="E46" s="47">
        <f>SUM(E42:E45)</f>
        <v>9194733999.9767952</v>
      </c>
      <c r="F46" s="177">
        <f>IFERROR(E46/D46,0)</f>
        <v>0.86755941888866295</v>
      </c>
      <c r="G46" s="181">
        <f>SUM(G42:G45)</f>
        <v>873737518.85867476</v>
      </c>
      <c r="H46" s="181">
        <f ca="1">IFERROR(G46/$C$3,0)</f>
        <v>436868759.42933738</v>
      </c>
      <c r="I46" s="186">
        <f>SUM(I42:I45)</f>
        <v>1403657072.4815948</v>
      </c>
      <c r="J46" s="186">
        <f ca="1">IFERROR(I46/$C$3,0)</f>
        <v>701828536.2407974</v>
      </c>
      <c r="K46" s="186">
        <f>SUM(K42:K45)</f>
        <v>1403657072.4815948</v>
      </c>
      <c r="L46" s="186">
        <f ca="1">IFERROR(K46/$C$3,0)</f>
        <v>701828536.2407974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213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95%</v>
      </c>
      <c r="N49" s="275" t="str">
        <f>"PER HARI"&amp;CHAR(10)&amp;TEXT($H$40,"0%")</f>
        <v>PER HARI
95%</v>
      </c>
      <c r="O49" s="277" t="str">
        <f>"SELISIH"&amp;CHAR(10)&amp;TEXT($J$40,"0%")</f>
        <v>SELISIH
100%</v>
      </c>
      <c r="P49" s="277" t="str">
        <f>"PER HARI"&amp;CHAR(10)&amp;TEXT($J$40,"0%")</f>
        <v>PER HARI
100%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279474951.69377297</v>
      </c>
      <c r="I51" s="114">
        <f t="shared" ref="I51:I64" si="2">SUMIF($B$10:$B$26,$T51,D$10:D$26)+SUMIF($B$10:$B$26,$U51,D$10:D$26)</f>
        <v>50971930.973436996</v>
      </c>
      <c r="J51" s="114">
        <f t="shared" ref="J51:J64" si="3">SUMIF($B$10:$B$26,$T51,E$10:E$26)+SUMIF($B$10:$B$26,$U51,E$10:E$26)</f>
        <v>156172437.89974299</v>
      </c>
      <c r="K51" s="114">
        <f t="shared" ref="K51:K64" si="4">SUM(H51:J51)</f>
        <v>486619320.56695294</v>
      </c>
      <c r="L51" s="187">
        <f t="shared" ref="L51:L65" si="5">IFERROR(K51/G51,0)</f>
        <v>0.94605374902760664</v>
      </c>
      <c r="M51" s="184">
        <f t="shared" ref="M51:M64" si="6">G51*$H$40-K51</f>
        <v>2029823.3255208731</v>
      </c>
      <c r="N51" s="184">
        <f t="shared" ref="N51:N65" ca="1" si="7">IFERROR(M51/$C$3,0)</f>
        <v>1014911.6627604365</v>
      </c>
      <c r="O51" s="180">
        <f t="shared" ref="O51:O64" si="8">G51*$J$40-K51</f>
        <v>27748199.31986165</v>
      </c>
      <c r="P51" s="180">
        <f t="shared" ref="P51:P65" ca="1" si="9">IFERROR(O51/$C$3,0)</f>
        <v>13874099.659930825</v>
      </c>
      <c r="Q51" s="185">
        <f t="shared" ref="Q51:Q64" si="10">G51*$L$40-K51</f>
        <v>27748199.31986165</v>
      </c>
      <c r="R51" s="185">
        <f t="shared" ref="R51:R65" ca="1" si="11">IFERROR(Q51/$C$3,0)</f>
        <v>13874099.659930825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192676308.25788501</v>
      </c>
      <c r="I52" s="114">
        <f t="shared" si="2"/>
        <v>93670252.269575</v>
      </c>
      <c r="J52" s="114">
        <f t="shared" si="3"/>
        <v>381658564.75909901</v>
      </c>
      <c r="K52" s="114">
        <f t="shared" si="4"/>
        <v>668005125.28655899</v>
      </c>
      <c r="L52" s="187">
        <f t="shared" si="5"/>
        <v>0.85039441968190521</v>
      </c>
      <c r="M52" s="184">
        <f t="shared" si="6"/>
        <v>78242562.062575459</v>
      </c>
      <c r="N52" s="184">
        <f t="shared" ca="1" si="7"/>
        <v>39121281.03128773</v>
      </c>
      <c r="O52" s="180">
        <f t="shared" si="8"/>
        <v>117518756.13358259</v>
      </c>
      <c r="P52" s="180">
        <f t="shared" ca="1" si="9"/>
        <v>58759378.066791296</v>
      </c>
      <c r="Q52" s="185">
        <f t="shared" si="10"/>
        <v>117518756.13358259</v>
      </c>
      <c r="R52" s="185">
        <f t="shared" ca="1" si="11"/>
        <v>58759378.066791296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100892787.1749301</v>
      </c>
      <c r="O53" s="180">
        <f t="shared" si="8"/>
        <v>214933229.60301074</v>
      </c>
      <c r="P53" s="180">
        <f t="shared" ca="1" si="9"/>
        <v>107466614.80150537</v>
      </c>
      <c r="Q53" s="185">
        <f t="shared" si="10"/>
        <v>214933229.60301074</v>
      </c>
      <c r="R53" s="185">
        <f t="shared" ca="1" si="11"/>
        <v>107466614.80150537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499277061.85955799</v>
      </c>
      <c r="I54" s="114">
        <f t="shared" si="2"/>
        <v>45658406.209425002</v>
      </c>
      <c r="J54" s="114">
        <f t="shared" si="3"/>
        <v>153352892.139853</v>
      </c>
      <c r="K54" s="114">
        <f t="shared" si="4"/>
        <v>698288360.20883596</v>
      </c>
      <c r="L54" s="187">
        <f t="shared" si="5"/>
        <v>0.96094048477750482</v>
      </c>
      <c r="M54" s="184">
        <f t="shared" si="6"/>
        <v>-7950141.8622636795</v>
      </c>
      <c r="N54" s="184">
        <f t="shared" ca="1" si="7"/>
        <v>-3975070.9311318398</v>
      </c>
      <c r="O54" s="180">
        <f t="shared" si="8"/>
        <v>28383448.577029586</v>
      </c>
      <c r="P54" s="180">
        <f t="shared" ca="1" si="9"/>
        <v>14191724.288514793</v>
      </c>
      <c r="Q54" s="185">
        <f t="shared" si="10"/>
        <v>28383448.577029586</v>
      </c>
      <c r="R54" s="185">
        <f t="shared" ca="1" si="11"/>
        <v>14191724.288514793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32629360.699999999</v>
      </c>
      <c r="J55" s="114">
        <f t="shared" si="3"/>
        <v>271000001.35890001</v>
      </c>
      <c r="K55" s="114">
        <f t="shared" si="4"/>
        <v>309302785.47889799</v>
      </c>
      <c r="L55" s="187">
        <f t="shared" si="5"/>
        <v>0.57576733052634521</v>
      </c>
      <c r="M55" s="184">
        <f t="shared" si="6"/>
        <v>201038164.11325336</v>
      </c>
      <c r="N55" s="184">
        <f t="shared" ca="1" si="7"/>
        <v>100519082.05662668</v>
      </c>
      <c r="O55" s="180">
        <f t="shared" si="8"/>
        <v>227898214.09178764</v>
      </c>
      <c r="P55" s="180">
        <f t="shared" ca="1" si="9"/>
        <v>113949107.04589382</v>
      </c>
      <c r="Q55" s="185">
        <f t="shared" si="10"/>
        <v>227898214.09178764</v>
      </c>
      <c r="R55" s="185">
        <f t="shared" ca="1" si="11"/>
        <v>113949107.04589382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194178770.260515</v>
      </c>
      <c r="I56" s="114">
        <f t="shared" si="2"/>
        <v>55882903.289934002</v>
      </c>
      <c r="J56" s="114">
        <f t="shared" si="3"/>
        <v>158811370.80815101</v>
      </c>
      <c r="K56" s="114">
        <f t="shared" si="4"/>
        <v>408873044.35860002</v>
      </c>
      <c r="L56" s="187">
        <f t="shared" si="5"/>
        <v>0.71115035592329334</v>
      </c>
      <c r="M56" s="184">
        <f t="shared" si="6"/>
        <v>137325644.71660745</v>
      </c>
      <c r="N56" s="184">
        <f t="shared" ca="1" si="7"/>
        <v>68662822.358303726</v>
      </c>
      <c r="O56" s="180">
        <f t="shared" si="8"/>
        <v>166072944.14161837</v>
      </c>
      <c r="P56" s="180">
        <f t="shared" ca="1" si="9"/>
        <v>83036472.070809186</v>
      </c>
      <c r="Q56" s="185">
        <f t="shared" si="10"/>
        <v>166072944.14161837</v>
      </c>
      <c r="R56" s="185">
        <f t="shared" ca="1" si="11"/>
        <v>83036472.070809186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510002008.569673</v>
      </c>
      <c r="I57" s="114">
        <f t="shared" si="2"/>
        <v>57215125.779923998</v>
      </c>
      <c r="J57" s="114">
        <f t="shared" si="3"/>
        <v>323013334.79936802</v>
      </c>
      <c r="K57" s="114">
        <f t="shared" si="4"/>
        <v>890230469.148965</v>
      </c>
      <c r="L57" s="187">
        <f t="shared" si="5"/>
        <v>0.80259940330805568</v>
      </c>
      <c r="M57" s="184">
        <f t="shared" si="6"/>
        <v>163494393.09954429</v>
      </c>
      <c r="N57" s="184">
        <f t="shared" ca="1" si="7"/>
        <v>81747196.549772143</v>
      </c>
      <c r="O57" s="180">
        <f t="shared" si="8"/>
        <v>218953596.37578166</v>
      </c>
      <c r="P57" s="180">
        <f t="shared" ca="1" si="9"/>
        <v>109476798.18789083</v>
      </c>
      <c r="Q57" s="185">
        <f t="shared" si="10"/>
        <v>218953596.37578166</v>
      </c>
      <c r="R57" s="185">
        <f t="shared" ca="1" si="11"/>
        <v>109476798.18789083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272154150.611709</v>
      </c>
      <c r="I58" s="114">
        <f t="shared" si="2"/>
        <v>73116453.419943005</v>
      </c>
      <c r="J58" s="114">
        <f t="shared" si="3"/>
        <v>191422516.331242</v>
      </c>
      <c r="K58" s="114">
        <f t="shared" si="4"/>
        <v>536693120.36289394</v>
      </c>
      <c r="L58" s="187">
        <f t="shared" si="5"/>
        <v>0.87326688220591775</v>
      </c>
      <c r="M58" s="184">
        <f t="shared" si="6"/>
        <v>47158706.305283427</v>
      </c>
      <c r="N58" s="184">
        <f t="shared" ca="1" si="7"/>
        <v>23579353.152641714</v>
      </c>
      <c r="O58" s="180">
        <f t="shared" si="8"/>
        <v>77887749.814134955</v>
      </c>
      <c r="P58" s="180">
        <f t="shared" ca="1" si="9"/>
        <v>38943874.907067478</v>
      </c>
      <c r="Q58" s="185">
        <f t="shared" si="10"/>
        <v>77887749.814134955</v>
      </c>
      <c r="R58" s="185">
        <f t="shared" ca="1" si="11"/>
        <v>38943874.907067478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206615067.16</v>
      </c>
      <c r="I59" s="114">
        <f t="shared" si="2"/>
        <v>0</v>
      </c>
      <c r="J59" s="114">
        <f t="shared" si="3"/>
        <v>0</v>
      </c>
      <c r="K59" s="114">
        <f t="shared" si="4"/>
        <v>206615067.16</v>
      </c>
      <c r="L59" s="187">
        <f t="shared" si="5"/>
        <v>0.46550996077929907</v>
      </c>
      <c r="M59" s="184">
        <f t="shared" si="6"/>
        <v>215039312.63759902</v>
      </c>
      <c r="N59" s="184">
        <f t="shared" ca="1" si="7"/>
        <v>107519656.31879951</v>
      </c>
      <c r="O59" s="180">
        <f t="shared" si="8"/>
        <v>237231648.41642001</v>
      </c>
      <c r="P59" s="180">
        <f t="shared" ca="1" si="9"/>
        <v>118615824.20821001</v>
      </c>
      <c r="Q59" s="185">
        <f t="shared" si="10"/>
        <v>237231648.41642001</v>
      </c>
      <c r="R59" s="185">
        <f t="shared" ca="1" si="11"/>
        <v>118615824.20821001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348281390.32724202</v>
      </c>
      <c r="I60" s="114">
        <f t="shared" si="2"/>
        <v>82526864.846503004</v>
      </c>
      <c r="J60" s="114">
        <f t="shared" si="3"/>
        <v>99668158.112520993</v>
      </c>
      <c r="K60" s="114">
        <f t="shared" si="4"/>
        <v>530476413.28626603</v>
      </c>
      <c r="L60" s="187">
        <f t="shared" si="5"/>
        <v>0.91589959460222203</v>
      </c>
      <c r="M60" s="184">
        <f t="shared" si="6"/>
        <v>19750484.50029844</v>
      </c>
      <c r="N60" s="184">
        <f t="shared" ca="1" si="7"/>
        <v>9875242.2501492202</v>
      </c>
      <c r="O60" s="180">
        <f t="shared" si="8"/>
        <v>48709794.910117686</v>
      </c>
      <c r="P60" s="180">
        <f t="shared" ca="1" si="9"/>
        <v>24354897.455058843</v>
      </c>
      <c r="Q60" s="185">
        <f t="shared" si="10"/>
        <v>48709794.910117686</v>
      </c>
      <c r="R60" s="185">
        <f t="shared" ca="1" si="11"/>
        <v>24354897.455058843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451192557.081352</v>
      </c>
      <c r="I61" s="114">
        <f t="shared" si="2"/>
        <v>62998196.844919004</v>
      </c>
      <c r="J61" s="114">
        <f t="shared" si="3"/>
        <v>210758723.08987701</v>
      </c>
      <c r="K61" s="114">
        <f t="shared" si="4"/>
        <v>724949477.01614809</v>
      </c>
      <c r="L61" s="187">
        <f t="shared" si="5"/>
        <v>1.011661679331489</v>
      </c>
      <c r="M61" s="184">
        <f t="shared" si="6"/>
        <v>-44186315.540625691</v>
      </c>
      <c r="N61" s="184">
        <f t="shared" ca="1" si="7"/>
        <v>-22093157.770312846</v>
      </c>
      <c r="O61" s="180">
        <f t="shared" si="8"/>
        <v>-8356675.4629665613</v>
      </c>
      <c r="P61" s="180">
        <f t="shared" ca="1" si="9"/>
        <v>-4178337.7314832807</v>
      </c>
      <c r="Q61" s="185">
        <f t="shared" si="10"/>
        <v>-8356675.4629665613</v>
      </c>
      <c r="R61" s="185">
        <f t="shared" ca="1" si="11"/>
        <v>-4178337.7314832807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144279163.255797</v>
      </c>
      <c r="I62" s="114">
        <f t="shared" si="2"/>
        <v>39865291.477794997</v>
      </c>
      <c r="J62" s="114">
        <f t="shared" si="3"/>
        <v>201225937.40701801</v>
      </c>
      <c r="K62" s="114">
        <f t="shared" si="4"/>
        <v>385370392.14060998</v>
      </c>
      <c r="L62" s="187">
        <f t="shared" si="5"/>
        <v>0.80786499616633589</v>
      </c>
      <c r="M62" s="184">
        <f t="shared" si="6"/>
        <v>67801702.542151451</v>
      </c>
      <c r="N62" s="184">
        <f t="shared" ca="1" si="7"/>
        <v>33900851.271075726</v>
      </c>
      <c r="O62" s="180">
        <f t="shared" si="8"/>
        <v>91652865.420191526</v>
      </c>
      <c r="P62" s="180">
        <f t="shared" ca="1" si="9"/>
        <v>45826432.710095763</v>
      </c>
      <c r="Q62" s="185">
        <f t="shared" si="10"/>
        <v>91652865.420191526</v>
      </c>
      <c r="R62" s="185">
        <f t="shared" ca="1" si="11"/>
        <v>45826432.710095763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506101282.89459699</v>
      </c>
      <c r="I63" s="114">
        <f t="shared" si="2"/>
        <v>290879574.89086801</v>
      </c>
      <c r="J63" s="114">
        <f t="shared" si="3"/>
        <v>286978787.695113</v>
      </c>
      <c r="K63" s="114">
        <f t="shared" si="4"/>
        <v>1083959645.4805779</v>
      </c>
      <c r="L63" s="187">
        <f t="shared" si="5"/>
        <v>1.1072404869557158</v>
      </c>
      <c r="M63" s="184">
        <f t="shared" si="6"/>
        <v>-153934348.05146182</v>
      </c>
      <c r="N63" s="184">
        <f t="shared" ca="1" si="7"/>
        <v>-76967174.025730908</v>
      </c>
      <c r="O63" s="180">
        <f t="shared" si="8"/>
        <v>-104985648.18677139</v>
      </c>
      <c r="P63" s="180">
        <f t="shared" ca="1" si="9"/>
        <v>-52492824.093385696</v>
      </c>
      <c r="Q63" s="185">
        <f t="shared" si="10"/>
        <v>-104985648.18677139</v>
      </c>
      <c r="R63" s="185">
        <f t="shared" ca="1" si="11"/>
        <v>-52492824.093385696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121786948.57588099</v>
      </c>
      <c r="I64" s="114">
        <f t="shared" si="2"/>
        <v>160307079.591353</v>
      </c>
      <c r="J64" s="114">
        <f t="shared" si="3"/>
        <v>170614032.83874199</v>
      </c>
      <c r="K64" s="114">
        <f t="shared" si="4"/>
        <v>452708061.00597596</v>
      </c>
      <c r="L64" s="187">
        <f t="shared" si="5"/>
        <v>0.84316629848230906</v>
      </c>
      <c r="M64" s="184">
        <f t="shared" si="6"/>
        <v>57360544.356695235</v>
      </c>
      <c r="N64" s="184">
        <f t="shared" ca="1" si="7"/>
        <v>28680272.178347617</v>
      </c>
      <c r="O64" s="180">
        <f t="shared" si="8"/>
        <v>84206260.428414822</v>
      </c>
      <c r="P64" s="180">
        <f t="shared" ca="1" si="9"/>
        <v>42103130.214207411</v>
      </c>
      <c r="Q64" s="185">
        <f t="shared" si="10"/>
        <v>84206260.428414822</v>
      </c>
      <c r="R64" s="185">
        <f t="shared" ca="1" si="11"/>
        <v>42103130.214207411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3779712959.4279799</v>
      </c>
      <c r="I65" s="135">
        <f t="shared" si="12"/>
        <v>1045721440.2936759</v>
      </c>
      <c r="J65" s="135">
        <f t="shared" si="12"/>
        <v>2604676757.2396264</v>
      </c>
      <c r="K65" s="135">
        <f t="shared" si="12"/>
        <v>7430111156.9612827</v>
      </c>
      <c r="L65" s="189">
        <f t="shared" si="5"/>
        <v>0.83880560642883195</v>
      </c>
      <c r="M65" s="181">
        <f>SUM(M51:M64)</f>
        <v>984956106.55503798</v>
      </c>
      <c r="N65" s="181">
        <f t="shared" ca="1" si="7"/>
        <v>492478053.27751899</v>
      </c>
      <c r="O65" s="181">
        <f>SUM(O51:O64)</f>
        <v>1427854383.5822132</v>
      </c>
      <c r="P65" s="181">
        <f t="shared" ca="1" si="9"/>
        <v>713927191.79110658</v>
      </c>
      <c r="Q65" s="186">
        <f>SUM(Q51:Q64)</f>
        <v>1427854383.5822132</v>
      </c>
      <c r="R65" s="186">
        <f t="shared" ca="1" si="11"/>
        <v>713927191.79110658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276916748.691921</v>
      </c>
      <c r="F69" s="187">
        <f t="shared" ref="F69:F74" si="13">IFERROR(E69/D69,0)</f>
        <v>1.0806190847897648</v>
      </c>
      <c r="G69" s="184">
        <f>D69*$H$40-E69</f>
        <v>-33472120.552204609</v>
      </c>
      <c r="H69" s="184">
        <f t="shared" ref="H69:H74" ca="1" si="14">IFERROR(G69/$C$3,0)</f>
        <v>-16736060.276102304</v>
      </c>
      <c r="I69" s="204">
        <f>D69*$J$40-E69</f>
        <v>-20659245.386956364</v>
      </c>
      <c r="J69" s="204">
        <f t="shared" ref="J69:J74" ca="1" si="15">IFERROR(I69/$C$3,0)</f>
        <v>-10329622.693478182</v>
      </c>
      <c r="K69" s="185">
        <f>D69*$L$40-E69</f>
        <v>-20659245.386956364</v>
      </c>
      <c r="L69" s="185">
        <f t="shared" ref="L69:L74" ca="1" si="16">IFERROR(K69/$C$3,0)</f>
        <v>-10329622.693478182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458181336.78289902</v>
      </c>
      <c r="F70" s="187">
        <f t="shared" si="13"/>
        <v>1.1467192847717851</v>
      </c>
      <c r="G70" s="184">
        <f>D70*$H$40-E70</f>
        <v>-78600845.093182683</v>
      </c>
      <c r="H70" s="184">
        <f t="shared" ca="1" si="14"/>
        <v>-39300422.546591341</v>
      </c>
      <c r="I70" s="204">
        <f>D70*$J$40-E70</f>
        <v>-58622924.47793442</v>
      </c>
      <c r="J70" s="204">
        <f t="shared" ca="1" si="15"/>
        <v>-29311462.23896721</v>
      </c>
      <c r="K70" s="185">
        <f>D70*$L$40-E70</f>
        <v>-58622924.47793442</v>
      </c>
      <c r="L70" s="185">
        <f t="shared" ca="1" si="16"/>
        <v>-29311462.23896721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1029524757.540693</v>
      </c>
      <c r="F71" s="187">
        <f t="shared" si="13"/>
        <v>0.94921227146045972</v>
      </c>
      <c r="G71" s="184">
        <f>D71*$H$40-E71</f>
        <v>854377.94902324677</v>
      </c>
      <c r="H71" s="184">
        <f t="shared" ca="1" si="14"/>
        <v>427188.97451162338</v>
      </c>
      <c r="I71" s="204">
        <f>D71*$J$40-E71</f>
        <v>55084858.764271498</v>
      </c>
      <c r="J71" s="204">
        <f t="shared" ca="1" si="15"/>
        <v>27542429.382135749</v>
      </c>
      <c r="K71" s="185">
        <f>D71*$L$40-E71</f>
        <v>55084858.764271498</v>
      </c>
      <c r="L71" s="185">
        <f t="shared" ca="1" si="16"/>
        <v>27542429.382135749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1764622843.0155129</v>
      </c>
      <c r="F74" s="177">
        <f t="shared" si="13"/>
        <v>1.0139031005101358</v>
      </c>
      <c r="G74" s="181">
        <f>SUM(G69:G73)</f>
        <v>-111218587.69636405</v>
      </c>
      <c r="H74" s="181">
        <f t="shared" ca="1" si="14"/>
        <v>-55609293.848182023</v>
      </c>
      <c r="I74" s="186">
        <f>SUM(I69:I73)</f>
        <v>-24197311.100619286</v>
      </c>
      <c r="J74" s="186">
        <f t="shared" ca="1" si="15"/>
        <v>-12098655.550309643</v>
      </c>
      <c r="K74" s="186">
        <f>SUM(K69:K73)</f>
        <v>-24197311.100619286</v>
      </c>
      <c r="L74" s="186">
        <f t="shared" ca="1" si="16"/>
        <v>-12098655.550309643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418959663.01985002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163643078.93000001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417669886.18970001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222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226</v>
      </c>
      <c r="D85" s="131">
        <f t="shared" si="17"/>
        <v>66593423.25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1054625484.149969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338386814.24937999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621824291.65936995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159875865.75992399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19764540.930399999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157617841.15799999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3492810709.5865927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163</v>
      </c>
      <c r="C40" s="263"/>
      <c r="D40" s="264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175</v>
      </c>
      <c r="C40" s="263"/>
      <c r="D40" s="264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177</v>
      </c>
      <c r="C40" s="263"/>
      <c r="D40" s="264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2026-09-29T00:52:41Z</dcterms:modified>
  <dc:language>en-US</dc:language>
</cp:coreProperties>
</file>