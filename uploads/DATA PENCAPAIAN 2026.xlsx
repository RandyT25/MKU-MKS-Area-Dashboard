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<sst xmlns="http://schemas.openxmlformats.org/spreadsheetml/2006/main" count="2112" uniqueCount="226">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</sst>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abSelected="1" zoomScale="73" zoomScaleNormal="73" workbookViewId="0">
      <selection activeCell="H17" sqref="H17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23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28680509.494520001</v>
      </c>
      <c r="D10" s="234">
        <v>10412153.439999999</v>
      </c>
      <c r="E10" s="234">
        <v>36960261.293935001</v>
      </c>
      <c r="F10" s="234">
        <v>30238612.959989</v>
      </c>
      <c r="G10" s="234">
        <v>106291537.188444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4864932</v>
      </c>
      <c r="E11" s="234">
        <v>35810810.999849997</v>
      </c>
      <c r="F11" s="234">
        <v>0</v>
      </c>
      <c r="G11" s="234">
        <v>42925742.999849997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56042853.466303997</v>
      </c>
      <c r="D12" s="234">
        <v>17097368.428713001</v>
      </c>
      <c r="E12" s="234">
        <v>31125325.169916999</v>
      </c>
      <c r="F12" s="234">
        <v>5675675.9500000002</v>
      </c>
      <c r="G12" s="234">
        <v>109941223.014934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10675040.833314</v>
      </c>
      <c r="D13" s="234">
        <v>4791097.3099990003</v>
      </c>
      <c r="E13" s="234">
        <v>41864910.279922001</v>
      </c>
      <c r="F13" s="234">
        <v>7784684.8499999996</v>
      </c>
      <c r="G13" s="234">
        <v>65115733.273235001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68536827.056821004</v>
      </c>
      <c r="D14" s="234">
        <v>12780482.425979</v>
      </c>
      <c r="E14" s="234">
        <v>36057648.719965003</v>
      </c>
      <c r="F14" s="234">
        <v>76590361.78994</v>
      </c>
      <c r="G14" s="234">
        <v>193965319.99270499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106635608.73117501</v>
      </c>
      <c r="D15" s="234">
        <v>900717.44999899995</v>
      </c>
      <c r="E15" s="234">
        <v>3935226.69</v>
      </c>
      <c r="F15" s="234">
        <v>2432432.46</v>
      </c>
      <c r="G15" s="234">
        <v>113903985.331174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85981515.757936001</v>
      </c>
      <c r="D16" s="234">
        <v>14246103.469983</v>
      </c>
      <c r="E16" s="234">
        <v>72886666.819865003</v>
      </c>
      <c r="F16" s="234">
        <v>182072972.229987</v>
      </c>
      <c r="G16" s="234">
        <v>355187258.277771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21759429.692845002</v>
      </c>
      <c r="D17" s="234">
        <v>7638783.7408999996</v>
      </c>
      <c r="E17" s="234">
        <v>16372071.939619999</v>
      </c>
      <c r="F17" s="234">
        <v>9243243.5</v>
      </c>
      <c r="G17" s="234">
        <v>55013528.873365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2628550</v>
      </c>
      <c r="D18" s="234">
        <v>23543459.467810001</v>
      </c>
      <c r="E18" s="234">
        <v>18991431</v>
      </c>
      <c r="F18" s="234">
        <v>28151351.940000001</v>
      </c>
      <c r="G18" s="234">
        <v>73314792.407810003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918918.96</v>
      </c>
      <c r="D19" s="234">
        <v>0</v>
      </c>
      <c r="E19" s="234">
        <v>0</v>
      </c>
      <c r="F19" s="234">
        <v>2198198.14</v>
      </c>
      <c r="G19" s="234">
        <v>3117117.1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33208136.84</v>
      </c>
      <c r="D20" s="234">
        <v>0</v>
      </c>
      <c r="E20" s="234">
        <v>0</v>
      </c>
      <c r="F20" s="234">
        <v>2774774.7</v>
      </c>
      <c r="G20" s="234">
        <v>35982911.539999999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43443196.501509003</v>
      </c>
      <c r="D21" s="234">
        <v>9261797.3199940007</v>
      </c>
      <c r="E21" s="234">
        <v>28517162.269962002</v>
      </c>
      <c r="F21" s="234">
        <v>73281933.639980003</v>
      </c>
      <c r="G21" s="234">
        <v>154504089.73144501</v>
      </c>
      <c r="H21" s="111"/>
      <c r="I21" s="111"/>
      <c r="J21" s="111"/>
      <c r="M21" s="14">
        <f>SUM(C33,C34)+M20</f>
        <v>140924927.60469902</v>
      </c>
      <c r="N21" s="10" t="s">
        <v>224</v>
      </c>
    </row>
    <row r="22" spans="2:15" ht="15" customHeight="1" x14ac:dyDescent="0.25">
      <c r="B22" s="72" t="s">
        <v>125</v>
      </c>
      <c r="C22" s="234">
        <v>36438832.981572002</v>
      </c>
      <c r="D22" s="234">
        <v>16472919.849997999</v>
      </c>
      <c r="E22" s="234">
        <v>33985721.113943003</v>
      </c>
      <c r="F22" s="234">
        <v>67748920.219885007</v>
      </c>
      <c r="G22" s="234">
        <v>154646394.165398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101298302.27402601</v>
      </c>
      <c r="D23" s="234">
        <v>10700301.829992</v>
      </c>
      <c r="E23" s="234">
        <v>49050721.129924998</v>
      </c>
      <c r="F23" s="234">
        <v>144019821.48986799</v>
      </c>
      <c r="G23" s="234">
        <v>305069146.72381097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59347044.270069003</v>
      </c>
      <c r="D24" s="234">
        <v>8941675.6699989997</v>
      </c>
      <c r="E24" s="234">
        <v>39914357.848393001</v>
      </c>
      <c r="F24" s="234">
        <v>16126125.949999999</v>
      </c>
      <c r="G24" s="234">
        <v>124329203.738461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39287094.670423999</v>
      </c>
      <c r="D25" s="234">
        <v>23511608.481853999</v>
      </c>
      <c r="E25" s="234">
        <v>23107819.979917999</v>
      </c>
      <c r="F25" s="234">
        <v>14594595</v>
      </c>
      <c r="G25" s="234">
        <v>100501118.13219599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60135308.598739997</v>
      </c>
      <c r="D26" s="234">
        <v>115467392.12853999</v>
      </c>
      <c r="E26" s="234">
        <v>59894648.658820003</v>
      </c>
      <c r="F26" s="234">
        <v>1415675.7150000001</v>
      </c>
      <c r="G26" s="234">
        <v>236913025.1011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39412077.289888002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48164393.239915997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39054248.289829999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101870679.314869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225</v>
      </c>
      <c r="C40" s="260"/>
      <c r="D40" s="261"/>
      <c r="E40" s="66" t="s">
        <v>137</v>
      </c>
      <c r="F40" s="174">
        <f ca="1">IF(MONTH(TODAY())=9,DAY(TODAY())/DAY(EOMONTH(TODAY(),0)),IF(MONTH(TODAY())&gt;9,1,0))</f>
        <v>0.13333333333333333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650631561.39807987</v>
      </c>
      <c r="F42" s="176">
        <f>IFERROR(E42/D42,0)</f>
        <v>0.14420709593460057</v>
      </c>
      <c r="G42" s="184">
        <f>D42*$H$40-E42</f>
        <v>3409975868.9313769</v>
      </c>
      <c r="H42" s="184">
        <f ca="1">IFERROR(G42/$C$3,0)</f>
        <v>148259820.38832074</v>
      </c>
      <c r="I42" s="204">
        <f>D42*$J$40-E42</f>
        <v>3635565170.6163464</v>
      </c>
      <c r="J42" s="204">
        <f ca="1">IFERROR(I42/$C$3,0)</f>
        <v>158068050.89636287</v>
      </c>
      <c r="K42" s="185">
        <f>D42*$L$40-E42</f>
        <v>3861154472.3013163</v>
      </c>
      <c r="L42" s="185">
        <f ca="1">IFERROR(K42/$C$3,0)</f>
        <v>167876281.40440506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279730075.563761</v>
      </c>
      <c r="F43" s="176">
        <f>IFERROR(E43/D43,0)</f>
        <v>0.19961253034077012</v>
      </c>
      <c r="G43" s="184">
        <f>D43*$H$40-E43</f>
        <v>981498703.90011239</v>
      </c>
      <c r="H43" s="184">
        <f ca="1">IFERROR(G43/$C$3,0)</f>
        <v>42673856.691309236</v>
      </c>
      <c r="I43" s="204">
        <f>D43*$J$40-E43</f>
        <v>1051566969.4258831</v>
      </c>
      <c r="J43" s="204">
        <f ca="1">IFERROR(I43/$C$3,0)</f>
        <v>45720303.018516652</v>
      </c>
      <c r="K43" s="185">
        <f>D43*$L$40-E43</f>
        <v>1121635234.951654</v>
      </c>
      <c r="L43" s="185">
        <f ca="1">IFERROR(K43/$C$3,0)</f>
        <v>48766749.345724083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524539557.22403502</v>
      </c>
      <c r="F44" s="176">
        <f>IFERROR(E44/D44,0)</f>
        <v>0.17812314198905355</v>
      </c>
      <c r="G44" s="184">
        <f>IF(D44=0,0,D44*$H$40-E44)</f>
        <v>2125793219.471782</v>
      </c>
      <c r="H44" s="184">
        <f ca="1">IFERROR(G44/$C$3,0)</f>
        <v>92425792.150947049</v>
      </c>
      <c r="I44" s="204">
        <f>IF(D44=0,0,D44*$J$40-E44)</f>
        <v>2273033929.2882156</v>
      </c>
      <c r="J44" s="204">
        <f ca="1">IFERROR(I44/$C$3,0)</f>
        <v>98827562.142965898</v>
      </c>
      <c r="K44" s="185">
        <f>IF(D44=0,0,D44*$L$40-E44)</f>
        <v>2420274639.1046505</v>
      </c>
      <c r="L44" s="185">
        <f ca="1">IFERROR(K44/$C$3,0)</f>
        <v>105229332.13498481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228501398.13450301</v>
      </c>
      <c r="F45" s="176">
        <f>IFERROR(E45/D45,0)</f>
        <v>0.13129053438046015</v>
      </c>
      <c r="G45" s="184">
        <f>D45*$H$40-E45</f>
        <v>1337881580.5889015</v>
      </c>
      <c r="H45" s="184">
        <f ca="1">IFERROR(G45/$C$3,0)</f>
        <v>58168764.373430498</v>
      </c>
      <c r="I45" s="204">
        <f>D45*$J$40-E45</f>
        <v>1424902857.1846457</v>
      </c>
      <c r="J45" s="204">
        <f ca="1">IFERROR(I45/$C$3,0)</f>
        <v>61952298.138462856</v>
      </c>
      <c r="K45" s="185">
        <f>D45*$L$40-E45</f>
        <v>1511924133.7803907</v>
      </c>
      <c r="L45" s="185">
        <f ca="1">IFERROR(K45/$C$3,0)</f>
        <v>65735831.903495252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1683402592.3203788</v>
      </c>
      <c r="F46" s="177">
        <f>IFERROR(E46/D46,0)</f>
        <v>0.15883567428408721</v>
      </c>
      <c r="G46" s="181">
        <f>SUM(G42:G45)</f>
        <v>7855149372.8921728</v>
      </c>
      <c r="H46" s="181">
        <f ca="1">IFERROR(G46/$C$3,0)</f>
        <v>341528233.60400754</v>
      </c>
      <c r="I46" s="186">
        <f>SUM(I42:I45)</f>
        <v>8385068926.5150909</v>
      </c>
      <c r="J46" s="186">
        <f ca="1">IFERROR(I46/$C$3,0)</f>
        <v>364568214.19630831</v>
      </c>
      <c r="K46" s="186">
        <f>SUM(K42:K45)</f>
        <v>8914988480.1380119</v>
      </c>
      <c r="L46" s="186">
        <f ca="1">IFERROR(K46/$C$3,0)</f>
        <v>387608194.78860921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43443196.501509003</v>
      </c>
      <c r="I51" s="114">
        <f t="shared" ref="I51:I64" si="1">SUMIF($B$10:$B$26,$T51,D$10:D$26)+SUMIF($B$10:$B$26,$U51,D$10:D$26)</f>
        <v>9261797.3199940007</v>
      </c>
      <c r="J51" s="114">
        <f t="shared" ref="J51:J64" si="2">SUMIF($B$10:$B$26,$T51,E$10:E$26)+SUMIF($B$10:$B$26,$U51,E$10:E$26)</f>
        <v>28517162.269962002</v>
      </c>
      <c r="K51" s="114">
        <f t="shared" ref="K51:K64" si="3">SUM(H51:J51)</f>
        <v>81222156.091465011</v>
      </c>
      <c r="L51" s="187">
        <f t="shared" ref="L51:L65" si="4">IFERROR(K51/G51,0)</f>
        <v>0.15790685249593084</v>
      </c>
      <c r="M51" s="184">
        <f t="shared" ref="M51:M64" si="5">G51*$H$40-K51</f>
        <v>381708611.80666816</v>
      </c>
      <c r="N51" s="184">
        <f t="shared" ref="N51:N65" ca="1" si="6">IFERROR(M51/$C$3,0)</f>
        <v>16596026.60028992</v>
      </c>
      <c r="O51" s="180">
        <f t="shared" ref="O51:O64" si="7">G51*$J$40-K51</f>
        <v>407426987.80100882</v>
      </c>
      <c r="P51" s="180">
        <f t="shared" ref="P51:P65" ca="1" si="8">IFERROR(O51/$C$3,0)</f>
        <v>17714216.860913426</v>
      </c>
      <c r="Q51" s="185">
        <f t="shared" ref="Q51:Q64" si="9">G51*$L$40-K51</f>
        <v>433145363.7953496</v>
      </c>
      <c r="R51" s="185">
        <f t="shared" ref="R51:R65" ca="1" si="10">IFERROR(Q51/$C$3,0)</f>
        <v>18832407.12153694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66717894.299617998</v>
      </c>
      <c r="I52" s="114">
        <f t="shared" si="1"/>
        <v>21888465.738712002</v>
      </c>
      <c r="J52" s="114">
        <f t="shared" si="2"/>
        <v>72990235.449838996</v>
      </c>
      <c r="K52" s="114">
        <f t="shared" si="3"/>
        <v>161596595.48816901</v>
      </c>
      <c r="L52" s="187">
        <f t="shared" si="4"/>
        <v>0.20571824652360662</v>
      </c>
      <c r="M52" s="184">
        <f t="shared" si="5"/>
        <v>545374897.78995848</v>
      </c>
      <c r="N52" s="184">
        <f t="shared" ca="1" si="6"/>
        <v>23711952.077824283</v>
      </c>
      <c r="O52" s="180">
        <f t="shared" si="7"/>
        <v>584651091.86096549</v>
      </c>
      <c r="P52" s="180">
        <f t="shared" ca="1" si="8"/>
        <v>25419612.689607196</v>
      </c>
      <c r="Q52" s="185">
        <f t="shared" si="9"/>
        <v>623927285.9319725</v>
      </c>
      <c r="R52" s="185">
        <f t="shared" ca="1" si="10"/>
        <v>27127273.301390108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918918.96</v>
      </c>
      <c r="I53" s="114">
        <f t="shared" si="1"/>
        <v>0</v>
      </c>
      <c r="J53" s="114">
        <f t="shared" si="2"/>
        <v>0</v>
      </c>
      <c r="K53" s="114">
        <f t="shared" si="3"/>
        <v>918918.96</v>
      </c>
      <c r="L53" s="187">
        <f t="shared" si="4"/>
        <v>3.4946115573718053E-3</v>
      </c>
      <c r="M53" s="184">
        <f t="shared" si="5"/>
        <v>235738875.59670967</v>
      </c>
      <c r="N53" s="184">
        <f t="shared" ca="1" si="6"/>
        <v>10249516.330291724</v>
      </c>
      <c r="O53" s="180">
        <f t="shared" si="7"/>
        <v>248886530.84986019</v>
      </c>
      <c r="P53" s="180">
        <f t="shared" ca="1" si="8"/>
        <v>10821153.515211312</v>
      </c>
      <c r="Q53" s="185">
        <f t="shared" si="9"/>
        <v>262034186.10301074</v>
      </c>
      <c r="R53" s="185">
        <f t="shared" ca="1" si="10"/>
        <v>11392790.700130902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68536827.056821004</v>
      </c>
      <c r="I54" s="114">
        <f t="shared" si="1"/>
        <v>12780482.425979</v>
      </c>
      <c r="J54" s="114">
        <f t="shared" si="2"/>
        <v>36057648.719965003</v>
      </c>
      <c r="K54" s="114">
        <f t="shared" si="3"/>
        <v>117374958.20276502</v>
      </c>
      <c r="L54" s="187">
        <f t="shared" si="4"/>
        <v>0.16152402884443379</v>
      </c>
      <c r="M54" s="184">
        <f t="shared" si="5"/>
        <v>536629669.70451403</v>
      </c>
      <c r="N54" s="184">
        <f t="shared" ca="1" si="6"/>
        <v>23331724.76976148</v>
      </c>
      <c r="O54" s="180">
        <f t="shared" si="7"/>
        <v>572963260.14380729</v>
      </c>
      <c r="P54" s="180">
        <f t="shared" ca="1" si="8"/>
        <v>24911446.093209013</v>
      </c>
      <c r="Q54" s="185">
        <f t="shared" si="9"/>
        <v>609296850.58310056</v>
      </c>
      <c r="R54" s="185">
        <f t="shared" ca="1" si="10"/>
        <v>26491167.416656546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4864932</v>
      </c>
      <c r="J55" s="114">
        <f t="shared" si="2"/>
        <v>35810810.999849997</v>
      </c>
      <c r="K55" s="114">
        <f t="shared" si="3"/>
        <v>42925742.999849997</v>
      </c>
      <c r="L55" s="187">
        <f t="shared" si="4"/>
        <v>7.9906297706361151E-2</v>
      </c>
      <c r="M55" s="184">
        <f t="shared" si="5"/>
        <v>440555156.61376709</v>
      </c>
      <c r="N55" s="184">
        <f t="shared" ca="1" si="6"/>
        <v>19154572.026685525</v>
      </c>
      <c r="O55" s="180">
        <f t="shared" si="7"/>
        <v>467415206.59230137</v>
      </c>
      <c r="P55" s="180">
        <f t="shared" ca="1" si="8"/>
        <v>20322400.286621798</v>
      </c>
      <c r="Q55" s="185">
        <f t="shared" si="9"/>
        <v>494275256.57083565</v>
      </c>
      <c r="R55" s="185">
        <f t="shared" ca="1" si="10"/>
        <v>21490228.546558071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59347044.270069003</v>
      </c>
      <c r="I56" s="114">
        <f t="shared" si="1"/>
        <v>8941675.6699989997</v>
      </c>
      <c r="J56" s="114">
        <f t="shared" si="2"/>
        <v>39914357.848393001</v>
      </c>
      <c r="K56" s="114">
        <f t="shared" si="3"/>
        <v>108203077.788461</v>
      </c>
      <c r="L56" s="187">
        <f t="shared" si="4"/>
        <v>0.18819694363067965</v>
      </c>
      <c r="M56" s="184">
        <f t="shared" si="5"/>
        <v>409248311.86173558</v>
      </c>
      <c r="N56" s="184">
        <f t="shared" ca="1" si="6"/>
        <v>17793404.863553721</v>
      </c>
      <c r="O56" s="180">
        <f t="shared" si="7"/>
        <v>437995611.2867465</v>
      </c>
      <c r="P56" s="180">
        <f t="shared" ca="1" si="8"/>
        <v>19043287.447249848</v>
      </c>
      <c r="Q56" s="185">
        <f t="shared" si="9"/>
        <v>466742910.71175742</v>
      </c>
      <c r="R56" s="185">
        <f t="shared" ca="1" si="10"/>
        <v>20293170.030945975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85981515.757936001</v>
      </c>
      <c r="I57" s="114">
        <f t="shared" si="1"/>
        <v>14246103.469983</v>
      </c>
      <c r="J57" s="114">
        <f t="shared" si="2"/>
        <v>72886666.819865003</v>
      </c>
      <c r="K57" s="114">
        <f t="shared" si="3"/>
        <v>173114286.047784</v>
      </c>
      <c r="L57" s="187">
        <f t="shared" si="4"/>
        <v>0.15607354219056954</v>
      </c>
      <c r="M57" s="184">
        <f t="shared" si="5"/>
        <v>825151372.92448807</v>
      </c>
      <c r="N57" s="184">
        <f t="shared" ca="1" si="6"/>
        <v>35876146.648890786</v>
      </c>
      <c r="O57" s="180">
        <f t="shared" si="7"/>
        <v>880610576.20072532</v>
      </c>
      <c r="P57" s="180">
        <f t="shared" ca="1" si="8"/>
        <v>38287416.356553271</v>
      </c>
      <c r="Q57" s="185">
        <f t="shared" si="9"/>
        <v>936069779.47696269</v>
      </c>
      <c r="R57" s="185">
        <f t="shared" ca="1" si="10"/>
        <v>40698686.064215772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36438832.981572002</v>
      </c>
      <c r="I58" s="114">
        <f t="shared" si="1"/>
        <v>16472919.849997999</v>
      </c>
      <c r="J58" s="114">
        <f t="shared" si="2"/>
        <v>33985721.113943003</v>
      </c>
      <c r="K58" s="114">
        <f t="shared" si="3"/>
        <v>86897473.94551301</v>
      </c>
      <c r="L58" s="187">
        <f t="shared" si="4"/>
        <v>0.14139306666099508</v>
      </c>
      <c r="M58" s="184">
        <f t="shared" si="5"/>
        <v>466225309.21381307</v>
      </c>
      <c r="N58" s="184">
        <f t="shared" ca="1" si="6"/>
        <v>20270665.617991872</v>
      </c>
      <c r="O58" s="180">
        <f t="shared" si="7"/>
        <v>496954352.72266436</v>
      </c>
      <c r="P58" s="180">
        <f t="shared" ca="1" si="8"/>
        <v>21606710.987941928</v>
      </c>
      <c r="Q58" s="185">
        <f t="shared" si="9"/>
        <v>527683396.23151588</v>
      </c>
      <c r="R58" s="185">
        <f t="shared" ca="1" si="10"/>
        <v>22942756.357891995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33208136.84</v>
      </c>
      <c r="I59" s="114">
        <f t="shared" si="1"/>
        <v>0</v>
      </c>
      <c r="J59" s="114">
        <f t="shared" si="2"/>
        <v>0</v>
      </c>
      <c r="K59" s="114">
        <f t="shared" si="3"/>
        <v>33208136.84</v>
      </c>
      <c r="L59" s="187">
        <f t="shared" si="4"/>
        <v>7.4818931118759938E-2</v>
      </c>
      <c r="M59" s="184">
        <f t="shared" si="5"/>
        <v>366253907.17877805</v>
      </c>
      <c r="N59" s="184">
        <f t="shared" ca="1" si="6"/>
        <v>15924082.920816436</v>
      </c>
      <c r="O59" s="180">
        <f t="shared" si="7"/>
        <v>388446242.95759904</v>
      </c>
      <c r="P59" s="180">
        <f t="shared" ca="1" si="8"/>
        <v>16888967.085113</v>
      </c>
      <c r="Q59" s="185">
        <f t="shared" si="9"/>
        <v>410638578.73642004</v>
      </c>
      <c r="R59" s="185">
        <f t="shared" ca="1" si="10"/>
        <v>17853851.249409568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39287094.670423999</v>
      </c>
      <c r="I60" s="114">
        <f t="shared" si="1"/>
        <v>23511608.481853999</v>
      </c>
      <c r="J60" s="114">
        <f t="shared" si="2"/>
        <v>23107819.979917999</v>
      </c>
      <c r="K60" s="114">
        <f t="shared" si="3"/>
        <v>85906523.132195994</v>
      </c>
      <c r="L60" s="187">
        <f t="shared" si="4"/>
        <v>0.14832280519889005</v>
      </c>
      <c r="M60" s="184">
        <f t="shared" si="5"/>
        <v>435361064.24454933</v>
      </c>
      <c r="N60" s="184">
        <f t="shared" ca="1" si="6"/>
        <v>18928741.923676059</v>
      </c>
      <c r="O60" s="180">
        <f t="shared" si="7"/>
        <v>464320374.65436846</v>
      </c>
      <c r="P60" s="180">
        <f t="shared" ca="1" si="8"/>
        <v>20187842.376276888</v>
      </c>
      <c r="Q60" s="185">
        <f t="shared" si="9"/>
        <v>493279685.06418771</v>
      </c>
      <c r="R60" s="185">
        <f t="shared" ca="1" si="10"/>
        <v>21446942.828877725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101298302.27402601</v>
      </c>
      <c r="I61" s="114">
        <f t="shared" si="1"/>
        <v>10700301.829992</v>
      </c>
      <c r="J61" s="114">
        <f t="shared" si="2"/>
        <v>49050721.129924998</v>
      </c>
      <c r="K61" s="114">
        <f t="shared" si="3"/>
        <v>161049325.23394299</v>
      </c>
      <c r="L61" s="187">
        <f t="shared" si="4"/>
        <v>0.2247431524359107</v>
      </c>
      <c r="M61" s="184">
        <f t="shared" si="5"/>
        <v>483884196.1639204</v>
      </c>
      <c r="N61" s="184">
        <f t="shared" ca="1" si="6"/>
        <v>21038443.3114748</v>
      </c>
      <c r="O61" s="180">
        <f t="shared" si="7"/>
        <v>519713836.24157941</v>
      </c>
      <c r="P61" s="180">
        <f t="shared" ca="1" si="8"/>
        <v>22596253.749633886</v>
      </c>
      <c r="Q61" s="185">
        <f t="shared" si="9"/>
        <v>555543476.31923854</v>
      </c>
      <c r="R61" s="185">
        <f t="shared" ca="1" si="10"/>
        <v>24154064.187792979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28680509.494520001</v>
      </c>
      <c r="I62" s="114">
        <f t="shared" si="1"/>
        <v>10412153.439999999</v>
      </c>
      <c r="J62" s="114">
        <f t="shared" si="2"/>
        <v>36960261.293935001</v>
      </c>
      <c r="K62" s="114">
        <f t="shared" si="3"/>
        <v>76052924.228455007</v>
      </c>
      <c r="L62" s="187">
        <f t="shared" si="4"/>
        <v>0.15943231912284964</v>
      </c>
      <c r="M62" s="184">
        <f t="shared" si="5"/>
        <v>353268007.57626635</v>
      </c>
      <c r="N62" s="184">
        <f t="shared" ca="1" si="6"/>
        <v>15359478.590272451</v>
      </c>
      <c r="O62" s="180">
        <f t="shared" si="7"/>
        <v>377119170.45430642</v>
      </c>
      <c r="P62" s="180">
        <f t="shared" ca="1" si="8"/>
        <v>16396485.671926366</v>
      </c>
      <c r="Q62" s="185">
        <f t="shared" si="9"/>
        <v>400970333.3323465</v>
      </c>
      <c r="R62" s="185">
        <f t="shared" ca="1" si="10"/>
        <v>17433492.753580283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60135308.598739997</v>
      </c>
      <c r="I63" s="114">
        <f t="shared" si="1"/>
        <v>115467392.12853999</v>
      </c>
      <c r="J63" s="114">
        <f t="shared" si="2"/>
        <v>59894648.658820003</v>
      </c>
      <c r="K63" s="114">
        <f t="shared" si="3"/>
        <v>235497349.38609999</v>
      </c>
      <c r="L63" s="187">
        <f t="shared" si="4"/>
        <v>0.24055526503981625</v>
      </c>
      <c r="M63" s="184">
        <f t="shared" si="5"/>
        <v>645579248.17832589</v>
      </c>
      <c r="N63" s="184">
        <f t="shared" ca="1" si="6"/>
        <v>28068662.96427504</v>
      </c>
      <c r="O63" s="180">
        <f t="shared" si="7"/>
        <v>694527948.0430162</v>
      </c>
      <c r="P63" s="180">
        <f t="shared" ca="1" si="8"/>
        <v>30196867.306218095</v>
      </c>
      <c r="Q63" s="185">
        <f t="shared" si="9"/>
        <v>743476647.9077065</v>
      </c>
      <c r="R63" s="185">
        <f t="shared" ca="1" si="10"/>
        <v>32325071.648161151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24387979.692845002</v>
      </c>
      <c r="I64" s="114">
        <f t="shared" si="1"/>
        <v>31182243.20871</v>
      </c>
      <c r="J64" s="114">
        <f t="shared" si="2"/>
        <v>35363502.939620003</v>
      </c>
      <c r="K64" s="114">
        <f t="shared" si="3"/>
        <v>90933725.841175005</v>
      </c>
      <c r="L64" s="187">
        <f t="shared" si="4"/>
        <v>0.16936356921573906</v>
      </c>
      <c r="M64" s="184">
        <f t="shared" si="5"/>
        <v>392289163.44977671</v>
      </c>
      <c r="N64" s="184">
        <f t="shared" ca="1" si="6"/>
        <v>17056050.5847729</v>
      </c>
      <c r="O64" s="180">
        <f t="shared" si="7"/>
        <v>419134879.52149618</v>
      </c>
      <c r="P64" s="180">
        <f t="shared" ca="1" si="8"/>
        <v>18223255.631369401</v>
      </c>
      <c r="Q64" s="185">
        <f t="shared" si="9"/>
        <v>445980595.59321576</v>
      </c>
      <c r="R64" s="185">
        <f t="shared" ca="1" si="10"/>
        <v>19390460.677965902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650631561.39807987</v>
      </c>
      <c r="I65" s="135">
        <f t="shared" si="12"/>
        <v>279730075.563761</v>
      </c>
      <c r="J65" s="135">
        <f t="shared" si="12"/>
        <v>524539557.22403502</v>
      </c>
      <c r="K65" s="135">
        <f t="shared" si="12"/>
        <v>1454901194.1858761</v>
      </c>
      <c r="L65" s="189">
        <f t="shared" si="4"/>
        <v>0.16424778212634683</v>
      </c>
      <c r="M65" s="181">
        <f>SUM(M51:M64)</f>
        <v>6517267792.3032703</v>
      </c>
      <c r="N65" s="181">
        <f t="shared" ca="1" si="6"/>
        <v>283359469.23057699</v>
      </c>
      <c r="O65" s="181">
        <f>SUM(O51:O64)</f>
        <v>6960166069.3304453</v>
      </c>
      <c r="P65" s="181">
        <f t="shared" ca="1" si="8"/>
        <v>302615916.05784547</v>
      </c>
      <c r="Q65" s="186">
        <f>SUM(Q51:Q64)</f>
        <v>7403064346.3576202</v>
      </c>
      <c r="R65" s="186">
        <f t="shared" ca="1" si="10"/>
        <v>321872362.88511389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39412077.289888002</v>
      </c>
      <c r="F69" s="187">
        <f t="shared" ref="F69:F74" si="13">IFERROR(E69/D69,0)</f>
        <v>0.15379872503863753</v>
      </c>
      <c r="G69" s="184">
        <f>D69*$H$40-E69</f>
        <v>191219675.68458018</v>
      </c>
      <c r="H69" s="184">
        <f t="shared" ref="H69:H74" ca="1" si="14">IFERROR(G69/$C$3,0)</f>
        <v>8313898.9428078337</v>
      </c>
      <c r="I69" s="204">
        <f>D69*$J$40-E69</f>
        <v>204032550.84982839</v>
      </c>
      <c r="J69" s="204">
        <f t="shared" ref="J69:J74" ca="1" si="15">IFERROR(I69/$C$3,0)</f>
        <v>8870980.4717316683</v>
      </c>
      <c r="K69" s="185">
        <f>D69*$L$40-E69</f>
        <v>216845426.01507664</v>
      </c>
      <c r="L69" s="185">
        <f t="shared" ref="L69:L74" ca="1" si="16">IFERROR(K69/$C$3,0)</f>
        <v>9428062.0006555058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48164393.239915997</v>
      </c>
      <c r="F70" s="187">
        <f t="shared" si="13"/>
        <v>0.12054406003384137</v>
      </c>
      <c r="G70" s="184">
        <f>D70*$H$40-E70</f>
        <v>311438177.83455217</v>
      </c>
      <c r="H70" s="184">
        <f t="shared" ca="1" si="14"/>
        <v>13540790.340632703</v>
      </c>
      <c r="I70" s="204">
        <f>D70*$J$40-E70</f>
        <v>331416098.44980037</v>
      </c>
      <c r="J70" s="204">
        <f t="shared" ca="1" si="15"/>
        <v>14409395.58477393</v>
      </c>
      <c r="K70" s="185">
        <f>D70*$L$40-E70</f>
        <v>351394019.06504858</v>
      </c>
      <c r="L70" s="185">
        <f t="shared" ca="1" si="16"/>
        <v>15278000.828915155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140924927.60469902</v>
      </c>
      <c r="F71" s="187">
        <f t="shared" si="13"/>
        <v>0.12993147533100474</v>
      </c>
      <c r="G71" s="184">
        <f>D71*$H$40-E71</f>
        <v>835223727.06976914</v>
      </c>
      <c r="H71" s="184">
        <f t="shared" ca="1" si="14"/>
        <v>36314075.08998996</v>
      </c>
      <c r="I71" s="204">
        <f>D71*$J$40-E71</f>
        <v>889454207.88501728</v>
      </c>
      <c r="J71" s="204">
        <f t="shared" ca="1" si="15"/>
        <v>38671922.081957273</v>
      </c>
      <c r="K71" s="185">
        <f>D71*$L$40-E71</f>
        <v>943684688.70026553</v>
      </c>
      <c r="L71" s="185">
        <f t="shared" ca="1" si="16"/>
        <v>41029769.073924586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228501398.13450301</v>
      </c>
      <c r="F74" s="177">
        <f t="shared" si="13"/>
        <v>0.13129053438046015</v>
      </c>
      <c r="G74" s="181">
        <f>SUM(G69:G73)</f>
        <v>1337881580.5889015</v>
      </c>
      <c r="H74" s="181">
        <f t="shared" ca="1" si="14"/>
        <v>58168764.373430498</v>
      </c>
      <c r="I74" s="186">
        <f>SUM(I69:I73)</f>
        <v>1424902857.1846461</v>
      </c>
      <c r="J74" s="186">
        <f t="shared" ca="1" si="15"/>
        <v>61952298.138462879</v>
      </c>
      <c r="K74" s="186">
        <f>SUM(K69:K73)</f>
        <v>1511924133.7803907</v>
      </c>
      <c r="L74" s="186">
        <f t="shared" ca="1" si="16"/>
        <v>65735831.903495252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73281933.639980003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13460360.800000001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76590361.78994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16126125.949999999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182072972.229987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67748920.219885007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2774774.7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14594595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144019821.48986799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30238612.959989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1415675.7150000001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37394595.439999998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661916948.07464886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2026-09-04T00:54:44Z</dcterms:modified>
  <dc:language>en-US</dc:language>
</cp:coreProperties>
</file>