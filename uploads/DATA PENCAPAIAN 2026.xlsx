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F54" i="9" s="1"/>
  <c r="E53" i="9"/>
  <c r="E52" i="9"/>
  <c r="E51" i="9"/>
  <c r="E65" i="9" s="1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G92" i="9" s="1"/>
  <c r="E90" i="9"/>
  <c r="G90" i="9" s="1"/>
  <c r="E89" i="9"/>
  <c r="F64" i="9"/>
  <c r="F63" i="9"/>
  <c r="F58" i="9"/>
  <c r="F56" i="9"/>
  <c r="F55" i="9"/>
  <c r="L53" i="9"/>
  <c r="M21" i="9"/>
  <c r="E45" i="9" s="1"/>
  <c r="H64" i="9"/>
  <c r="L64" i="9" s="1"/>
  <c r="G64" i="9"/>
  <c r="K64" i="9" s="1"/>
  <c r="H63" i="9"/>
  <c r="L63" i="9" s="1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L57" i="9" s="1"/>
  <c r="G57" i="9"/>
  <c r="H56" i="9"/>
  <c r="L56" i="9" s="1"/>
  <c r="G56" i="9"/>
  <c r="H55" i="9"/>
  <c r="L55" i="9" s="1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12" l="1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F45" i="9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1" i="9" l="1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<sst xmlns="http://schemas.openxmlformats.org/spreadsheetml/2006/main" count="1879" uniqueCount="189">
  <si>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</si>
  <si>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</si>
  <si>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</si>
  <si>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</si>
  <si>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</si>
  <si>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</si>
  <si>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</si>
  <si>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</si>
  <si>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</si>
  <si>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</si>
  <si>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</si>
  <si>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</si>
  <si>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</si>
  <si>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</si>
  <si>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</si>
  <si>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</si>
  <si>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</si>
  <si>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</si>
  <si>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</si>
  <si>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</si>
  <si>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</si>
  <si>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</si>
  <si>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</si>
  <si>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</si>
  <si>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</si>
  <si>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</si>
  <si>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</si>
  <si>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</si>
  <si>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</si>
  <si>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</si>
  <si>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</si>
  <si>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</si>
  <si>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</si>
  <si>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</si>
  <si>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</si>
  <si>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</si>
  <si>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</si>
  <si>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</si>
  <si>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</si>
  <si>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</si>
  <si>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</si>
  <si>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</si>
  <si>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</si>
  <si>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</si>
  <si>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</si>
  <si>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</si>
  <si>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</si>
  <si>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</si>
  <si>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</si>
  <si>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</si>
  <si>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</si>
  <si>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</si>
  <si>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</si>
  <si>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</si>
  <si>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</si>
  <si>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</si>
  <si>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</si>
  <si>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</si>
  <si>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</si>
  <si>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</si>
  <si>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</si>
  <si>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</si>
  <si>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</si>
  <si>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</si>
  <si>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</si>
  <si>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</si>
  <si>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</si>
  <si>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</si>
  <si>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</si>
  <si>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</si>
  <si>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</si>
  <si>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</si>
  <si>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</si>
  <si>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</si>
  <si>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</si>
  <si>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</si>
  <si>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</si>
  <si>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</si>
  <si>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</si>
  <si>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</si>
  <si>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</si>
  <si>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</si>
  <si>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</si>
  <si>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</si>
  <si>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</si>
  <si>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</si>
  <si>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</si>
  <si>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</si>
  <si>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</si>
  <si>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</si>
  <si>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</si>
  <si>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</si>
  <si>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</si>
  <si>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</si>
  <si>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</si>
  <si>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</si>
  <si>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</si>
  <si>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</si>
  <si>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</si>
  <si>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</si>
  <si>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</si>
  <si>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</si>
  <si>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</si>
  <si>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</si>
  <si>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</si>
  <si>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</si>
  <si>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</si>
  <si>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</si>
  <si>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</si>
  <si>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</si>
  <si>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</si>
  <si>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</si>
  <si>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</si>
  <si>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</si>
  <si>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</si>
  <si>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</si>
  <si>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</si>
  <si>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</si>
  <si>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</si>
  <si>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</si>
  <si>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</si>
  <si>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</si>
  <si>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</si>
  <si>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</si>
  <si>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</si>
  <si>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</si>
  <si>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</si>
  <si>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</si>
  <si>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</si>
  <si>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</si>
  <si>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</si>
  <si>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</si>
  <si>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</si>
  <si>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</si>
  <si>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</si>
  <si>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</si>
  <si>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</si>
  <si>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</si>
  <si>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</si>
  <si>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</si>
  <si>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</si>
  <si>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</si>
  <si>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</si>
  <si>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</si>
  <si>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</si>
  <si>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</si>
  <si>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</si>
  <si>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</si>
  <si>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</si>
  <si>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</si>
  <si>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</si>
  <si>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</si>
  <si>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</si>
  <si>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</si>
  <si>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</si>
  <si>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</si>
  <si>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</si>
  <si>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</si>
  <si>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</si>
  <si>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</si>
  <si>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</si>
  <si>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</si>
  <si>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</si>
  <si>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</si>
  <si>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</si>
  <si>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</si>
  <si>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</si>
  <si>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</si>
  <si>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</si>
  <si>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</si>
  <si>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</si>
  <si>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</si>
  <si>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</si>
  <si>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</si>
  <si>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</si>
  <si>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</si>
  <si>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</si>
  <si>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</si>
  <si>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</si>
  <si>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</si>
  <si>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</si>
  <si>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</si>
  <si>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</si>
  <si>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</si>
  <si>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</si>
  <si>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</si>
  <si>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</si>
  <si>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</si>
  <si>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24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</si>
</sst>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7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90399154.315943852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79369618.530955821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15681787.819958959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185450560.66685864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21706303.332366187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19421376.426752858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6272203.1714285696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-5764101.0694324458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18684911.087360878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11526786.350706236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-3588162.2383913654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15830632.605041435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14801734.310003569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10801706.808182912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25319451.057982605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16910618.308881838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4943668.9947136296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12901643.701302912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169768772.84689981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-1908996.8451817802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-2647068.9625546336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20237853.627695389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15681787.819958976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5" zoomScaleNormal="100" workbookViewId="0">
      <selection activeCell="H72" sqref="H72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5.42578125" bestFit="1" customWidth="1"/>
    <col min="6" max="6" width="15.140625" bestFit="1" customWidth="1"/>
    <col min="7" max="7" width="16.85546875" customWidth="1"/>
    <col min="8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347331094.06956899</v>
      </c>
      <c r="N8" s="11">
        <f>D22</f>
        <v>46293936.673954003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496468272.51804602</v>
      </c>
      <c r="N9" s="11">
        <f>D13+D14</f>
        <v>137900731.631338</v>
      </c>
    </row>
    <row r="10" spans="2:14" x14ac:dyDescent="0.25">
      <c r="B10" s="74" t="s">
        <v>113</v>
      </c>
      <c r="C10" s="206">
        <v>300400539.08223099</v>
      </c>
      <c r="D10" s="206">
        <v>42093273.674698003</v>
      </c>
      <c r="E10" s="206">
        <v>131892586.03</v>
      </c>
      <c r="F10" s="206">
        <v>474386398.78692901</v>
      </c>
      <c r="H10" s="116"/>
      <c r="I10" s="116"/>
      <c r="J10" s="116"/>
      <c r="M10" s="11">
        <f>C15</f>
        <v>760442782.35466397</v>
      </c>
      <c r="N10" s="11">
        <f>D15</f>
        <v>21375147.192306001</v>
      </c>
    </row>
    <row r="11" spans="2:14" x14ac:dyDescent="0.25">
      <c r="B11" s="74" t="s">
        <v>114</v>
      </c>
      <c r="C11" s="206">
        <v>243186116.916592</v>
      </c>
      <c r="D11" s="206">
        <v>84202743.072685003</v>
      </c>
      <c r="E11" s="206">
        <v>57820804.159999996</v>
      </c>
      <c r="F11" s="206">
        <v>385209664.14927697</v>
      </c>
      <c r="H11" s="116"/>
      <c r="I11" s="116"/>
      <c r="J11" s="116"/>
      <c r="M11" s="11">
        <f>C12</f>
        <v>264680181.478939</v>
      </c>
      <c r="N11" s="11">
        <f>D12</f>
        <v>32367613.199999999</v>
      </c>
    </row>
    <row r="12" spans="2:14" x14ac:dyDescent="0.25">
      <c r="B12" s="74" t="s">
        <v>185</v>
      </c>
      <c r="C12" s="206">
        <v>264680181.478939</v>
      </c>
      <c r="D12" s="206">
        <v>32367613.199999999</v>
      </c>
      <c r="E12" s="206" t="s">
        <v>168</v>
      </c>
      <c r="F12" s="206">
        <v>297047794.67893898</v>
      </c>
      <c r="H12" s="116"/>
      <c r="I12" s="116"/>
      <c r="J12" s="116"/>
      <c r="M12" s="11">
        <f>C25+C26</f>
        <v>331708912.54281598</v>
      </c>
      <c r="N12" s="11">
        <f>D25+D26</f>
        <v>98264585.446358994</v>
      </c>
    </row>
    <row r="13" spans="2:14" x14ac:dyDescent="0.25">
      <c r="B13" s="74" t="s">
        <v>70</v>
      </c>
      <c r="C13" s="206">
        <v>274143472.23512</v>
      </c>
      <c r="D13" s="206">
        <v>105494245.44147199</v>
      </c>
      <c r="E13" s="206">
        <v>45736841.359999999</v>
      </c>
      <c r="F13" s="206">
        <v>425374559.03659201</v>
      </c>
      <c r="H13" s="116"/>
      <c r="I13" s="116"/>
      <c r="J13" s="116"/>
      <c r="M13" s="11">
        <f>C17</f>
        <v>1188182185.715873</v>
      </c>
      <c r="N13" s="11">
        <f>D17</f>
        <v>74196554.659632996</v>
      </c>
    </row>
    <row r="14" spans="2:14" x14ac:dyDescent="0.25">
      <c r="B14" s="74" t="s">
        <v>115</v>
      </c>
      <c r="C14" s="206">
        <v>222324800.28292599</v>
      </c>
      <c r="D14" s="206">
        <v>32406486.189865999</v>
      </c>
      <c r="E14" s="206">
        <v>36340292.340000004</v>
      </c>
      <c r="F14" s="206">
        <v>291071578.812792</v>
      </c>
      <c r="H14" s="116"/>
      <c r="I14" s="116"/>
      <c r="J14" s="116"/>
      <c r="M14" s="11">
        <f>C23</f>
        <v>377800596.14395797</v>
      </c>
      <c r="N14" s="11">
        <f>D23</f>
        <v>55095356.079944998</v>
      </c>
    </row>
    <row r="15" spans="2:14" x14ac:dyDescent="0.25">
      <c r="B15" s="84" t="s">
        <v>116</v>
      </c>
      <c r="C15" s="206">
        <v>760442782.35466397</v>
      </c>
      <c r="D15" s="206">
        <v>21375147.192306001</v>
      </c>
      <c r="E15" s="206">
        <v>296028422.20999998</v>
      </c>
      <c r="F15" s="206">
        <v>1077846351.7569699</v>
      </c>
      <c r="H15" s="116"/>
      <c r="I15" s="116"/>
      <c r="J15" s="116"/>
      <c r="M15" s="11">
        <f>C11</f>
        <v>243186116.916592</v>
      </c>
      <c r="N15" s="11">
        <f>D11</f>
        <v>84202743.072685003</v>
      </c>
    </row>
    <row r="16" spans="2:14" x14ac:dyDescent="0.25">
      <c r="B16" s="74" t="s">
        <v>119</v>
      </c>
      <c r="C16" s="206">
        <v>1046990985.472101</v>
      </c>
      <c r="D16" s="206">
        <v>4392576.8539979998</v>
      </c>
      <c r="E16" s="206">
        <v>6540540.4800000004</v>
      </c>
      <c r="F16" s="206">
        <v>1057924102.8060991</v>
      </c>
      <c r="H16" s="116"/>
      <c r="I16" s="116"/>
      <c r="J16" s="116"/>
      <c r="M16" s="11">
        <f>C24</f>
        <v>498771508.76476699</v>
      </c>
      <c r="N16" s="11">
        <f>D24</f>
        <v>47769369.339915</v>
      </c>
    </row>
    <row r="17" spans="2:14" x14ac:dyDescent="0.25">
      <c r="B17" s="74" t="s">
        <v>121</v>
      </c>
      <c r="C17" s="206">
        <v>1188182185.715873</v>
      </c>
      <c r="D17" s="206">
        <v>74196554.659632996</v>
      </c>
      <c r="E17" s="206">
        <v>991099354.00996804</v>
      </c>
      <c r="F17" s="206">
        <v>2253478094.3854742</v>
      </c>
      <c r="H17" s="116"/>
      <c r="I17" s="116"/>
      <c r="J17" s="116"/>
      <c r="M17" s="11">
        <f>C10</f>
        <v>300400539.08223099</v>
      </c>
      <c r="N17" s="11">
        <f>D10</f>
        <v>42093273.674698003</v>
      </c>
    </row>
    <row r="18" spans="2:14" x14ac:dyDescent="0.25">
      <c r="B18" s="74" t="s">
        <v>123</v>
      </c>
      <c r="C18" s="206">
        <v>196044454.71837601</v>
      </c>
      <c r="D18" s="206">
        <v>20527770.979789</v>
      </c>
      <c r="E18" s="206">
        <v>7372973.1399999997</v>
      </c>
      <c r="F18" s="206">
        <v>223945198.83816499</v>
      </c>
      <c r="H18" s="116"/>
      <c r="I18" s="116"/>
      <c r="J18" s="116"/>
      <c r="M18" s="11">
        <f>C27</f>
        <v>736603670.52798903</v>
      </c>
      <c r="N18" s="11">
        <f>D27</f>
        <v>230171319.11573201</v>
      </c>
    </row>
    <row r="19" spans="2:14" x14ac:dyDescent="0.25">
      <c r="B19" s="74" t="s">
        <v>124</v>
      </c>
      <c r="C19" s="206">
        <v>56670371.799989</v>
      </c>
      <c r="D19" s="206">
        <v>110731439.881979</v>
      </c>
      <c r="E19" s="206">
        <v>57762163.359999999</v>
      </c>
      <c r="F19" s="206">
        <v>225163975.04196799</v>
      </c>
      <c r="H19" s="116"/>
      <c r="I19" s="116"/>
      <c r="J19" s="116"/>
      <c r="M19" s="11">
        <f>C18+C19</f>
        <v>252714826.51836503</v>
      </c>
      <c r="N19" s="11">
        <f>D18+D19</f>
        <v>131259210.86176801</v>
      </c>
    </row>
    <row r="20" spans="2:14" x14ac:dyDescent="0.25">
      <c r="B20" s="74" t="s">
        <v>172</v>
      </c>
      <c r="C20" s="206">
        <v>143502429.69999999</v>
      </c>
      <c r="D20" s="206" t="s">
        <v>168</v>
      </c>
      <c r="E20" s="206">
        <v>6702702.5199999996</v>
      </c>
      <c r="F20" s="206">
        <v>150205132.22</v>
      </c>
      <c r="H20" s="116"/>
      <c r="I20" s="116"/>
      <c r="J20" s="116"/>
      <c r="M20" s="14">
        <f>IFERROR(C31,0)+IFERROR(C36,0)</f>
        <v>19983000</v>
      </c>
      <c r="N20" s="10" t="s">
        <v>120</v>
      </c>
    </row>
    <row r="21" spans="2:14" x14ac:dyDescent="0.25">
      <c r="B21" s="74" t="s">
        <v>173</v>
      </c>
      <c r="C21" s="206">
        <v>219409219.53999999</v>
      </c>
      <c r="D21" s="206" t="s">
        <v>168</v>
      </c>
      <c r="E21" s="206">
        <v>11765765.439999999</v>
      </c>
      <c r="F21" s="206">
        <v>231174984.97999999</v>
      </c>
      <c r="H21" s="116"/>
      <c r="I21" s="116"/>
      <c r="J21" s="116"/>
      <c r="M21" s="14">
        <f>IFERROR(C34,0)+IFERROR(C35,0)+M20</f>
        <v>524506190.20726198</v>
      </c>
      <c r="N21" s="10" t="s">
        <v>122</v>
      </c>
    </row>
    <row r="22" spans="2:14" x14ac:dyDescent="0.25">
      <c r="B22" s="74" t="s">
        <v>125</v>
      </c>
      <c r="C22" s="206">
        <v>347331094.06956899</v>
      </c>
      <c r="D22" s="206">
        <v>46293936.673954003</v>
      </c>
      <c r="E22" s="206">
        <v>386205467.99989003</v>
      </c>
      <c r="F22" s="206">
        <v>779830498.74341297</v>
      </c>
      <c r="H22" s="116"/>
      <c r="I22" s="116"/>
      <c r="J22" s="116"/>
    </row>
    <row r="23" spans="2:14" x14ac:dyDescent="0.25">
      <c r="B23" s="74" t="s">
        <v>126</v>
      </c>
      <c r="C23" s="206">
        <v>377800596.14395797</v>
      </c>
      <c r="D23" s="206">
        <v>55095356.079944998</v>
      </c>
      <c r="E23" s="206">
        <v>219960278.08943701</v>
      </c>
      <c r="F23" s="206">
        <v>652856230.31333995</v>
      </c>
      <c r="H23" s="116"/>
      <c r="I23" s="116"/>
      <c r="J23" s="116"/>
    </row>
    <row r="24" spans="2:14" x14ac:dyDescent="0.25">
      <c r="B24" s="74" t="s">
        <v>127</v>
      </c>
      <c r="C24" s="206">
        <v>498771508.76476699</v>
      </c>
      <c r="D24" s="206">
        <v>47769369.339915</v>
      </c>
      <c r="E24" s="206">
        <v>586596852.169312</v>
      </c>
      <c r="F24" s="206">
        <v>1133137730.273994</v>
      </c>
      <c r="H24" s="116"/>
      <c r="I24" s="116"/>
      <c r="J24" s="116"/>
    </row>
    <row r="25" spans="2:14" x14ac:dyDescent="0.25">
      <c r="B25" s="74" t="s">
        <v>186</v>
      </c>
      <c r="C25" s="206">
        <v>225833664.20317701</v>
      </c>
      <c r="D25" s="206">
        <v>4733604.9499949999</v>
      </c>
      <c r="E25" s="206">
        <v>48943693.140000001</v>
      </c>
      <c r="F25" s="206">
        <v>279510962.293172</v>
      </c>
      <c r="H25" s="116"/>
      <c r="I25" s="116"/>
      <c r="J25" s="116"/>
    </row>
    <row r="26" spans="2:14" x14ac:dyDescent="0.25">
      <c r="B26" s="74" t="s">
        <v>187</v>
      </c>
      <c r="C26" s="206">
        <v>105875248.33963899</v>
      </c>
      <c r="D26" s="206">
        <v>93530980.496363997</v>
      </c>
      <c r="E26" s="206" t="s">
        <v>168</v>
      </c>
      <c r="F26" s="206">
        <v>199406228.83600301</v>
      </c>
      <c r="H26" s="116"/>
      <c r="I26" s="116"/>
      <c r="J26" s="116"/>
    </row>
    <row r="27" spans="2:14" x14ac:dyDescent="0.25">
      <c r="B27" s="74" t="s">
        <v>128</v>
      </c>
      <c r="C27" s="206">
        <v>736603670.52798903</v>
      </c>
      <c r="D27" s="206">
        <v>230171319.11573201</v>
      </c>
      <c r="E27" s="206">
        <v>14280324.624</v>
      </c>
      <c r="F27" s="206">
        <v>981055314.26772106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178303193.063649</v>
      </c>
      <c r="G32" s="116"/>
      <c r="H32" s="116"/>
      <c r="I32" s="116"/>
    </row>
    <row r="33" spans="2:14" x14ac:dyDescent="0.25">
      <c r="B33" s="84" t="s">
        <v>133</v>
      </c>
      <c r="C33" s="206">
        <v>548173493.30096197</v>
      </c>
      <c r="G33" s="116"/>
      <c r="H33" s="116"/>
      <c r="I33" s="116"/>
    </row>
    <row r="34" spans="2:14" x14ac:dyDescent="0.25">
      <c r="B34" s="84" t="s">
        <v>134</v>
      </c>
      <c r="C34" s="205">
        <v>100608319.469368</v>
      </c>
      <c r="G34" s="116"/>
      <c r="H34" s="116"/>
      <c r="I34" s="116"/>
    </row>
    <row r="35" spans="2:14" x14ac:dyDescent="0.25">
      <c r="B35" s="84" t="s">
        <v>135</v>
      </c>
      <c r="C35" s="206">
        <v>403914870.737894</v>
      </c>
      <c r="G35" s="116"/>
      <c r="H35" s="116"/>
      <c r="I35" s="116"/>
    </row>
    <row r="36" spans="2:14" x14ac:dyDescent="0.25">
      <c r="B36" s="84" t="s">
        <v>136</v>
      </c>
      <c r="C36" s="206">
        <v>19983000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0.77419354838709675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6161202335.8738089</v>
      </c>
      <c r="F43" s="44">
        <f>IFERROR(E43/D43,0)</f>
        <v>0.7752042548889867</v>
      </c>
      <c r="G43" s="118">
        <f>D43-E43</f>
        <v>1786641470.4738808</v>
      </c>
      <c r="H43" s="118">
        <f ca="1">IFERROR(G43/C3,0)</f>
        <v>255234495.78198296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1000989840.948333</v>
      </c>
      <c r="F44" s="44">
        <f>IFERROR(E44/D44,0)</f>
        <v>0.67511028922831939</v>
      </c>
      <c r="G44" s="118">
        <f>D44-E44</f>
        <v>481715810.14240694</v>
      </c>
      <c r="H44" s="118">
        <f ca="1">IFERROR(G44/C3,0)</f>
        <v>68816544.306058139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1250982876.5718729</v>
      </c>
      <c r="F45" s="44">
        <f>IFERROR(E45/D45,0)</f>
        <v>0.67581833561928761</v>
      </c>
      <c r="G45" s="118">
        <f>D45-E45</f>
        <v>600080953.21536136</v>
      </c>
      <c r="H45" s="118">
        <f ca="1">IFERROR(G45/C3,0)</f>
        <v>85725850.459337339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8413175053.3940144</v>
      </c>
      <c r="F46" s="43">
        <f>IFERROR(E46/D46,0)</f>
        <v>0.74574219477283243</v>
      </c>
      <c r="G46" s="119">
        <f>G43+G44+G45</f>
        <v>2868438233.8316488</v>
      </c>
      <c r="H46" s="119">
        <f ca="1">IFERROR(G46/C3,0)</f>
        <v>409776890.54737842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347331094.06956899</v>
      </c>
      <c r="H51" s="122">
        <f>N8</f>
        <v>46293936.673954003</v>
      </c>
      <c r="I51" s="122">
        <f t="shared" ref="I51:I64" si="1">G51+H51</f>
        <v>393625030.743523</v>
      </c>
      <c r="J51" s="61">
        <f t="shared" ref="J51:J64" si="2">IFERROR(I51/F51,0)</f>
        <v>0.69353190847818291</v>
      </c>
      <c r="K51" s="51">
        <f t="shared" ref="K51:M64" si="3">D51-G51</f>
        <v>143906083.05589443</v>
      </c>
      <c r="L51" s="51">
        <f t="shared" si="3"/>
        <v>30034741.400027446</v>
      </c>
      <c r="M51" s="51">
        <f t="shared" si="3"/>
        <v>173940824.45592189</v>
      </c>
      <c r="N51" s="51">
        <f ca="1">IFERROR(M51/C3,0)</f>
        <v>24848689.20798884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496468272.51804602</v>
      </c>
      <c r="H52" s="122">
        <f>N9</f>
        <v>137900731.631338</v>
      </c>
      <c r="I52" s="122">
        <f t="shared" si="1"/>
        <v>634369004.14938402</v>
      </c>
      <c r="J52" s="61">
        <f t="shared" si="2"/>
        <v>0.75635173540598177</v>
      </c>
      <c r="K52" s="54">
        <f t="shared" si="3"/>
        <v>160988887.33370364</v>
      </c>
      <c r="L52" s="54">
        <f t="shared" si="3"/>
        <v>43364325.249684304</v>
      </c>
      <c r="M52" s="54">
        <f t="shared" si="3"/>
        <v>204353212.58338797</v>
      </c>
      <c r="N52" s="54">
        <f ca="1">IFERROR(M52/C3,0)</f>
        <v>29193316.08334114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143502429.69999999</v>
      </c>
      <c r="H53" s="122">
        <f>IF(D20="",0,D20)</f>
        <v>0</v>
      </c>
      <c r="I53" s="122">
        <f>G53+H53</f>
        <v>143502429.69999999</v>
      </c>
      <c r="J53" s="61">
        <f>IFERROR(I53/F53,0)</f>
        <v>0.57641782233111283</v>
      </c>
      <c r="K53" s="54">
        <f>D53-G53</f>
        <v>105453144.08787572</v>
      </c>
      <c r="L53" s="54">
        <f>E53-H53</f>
        <v>0</v>
      </c>
      <c r="M53" s="54">
        <f>F53-I53</f>
        <v>105453144.08787572</v>
      </c>
      <c r="N53" s="54">
        <f ca="1">IFERROR(M53/C3,0)</f>
        <v>15064734.869696531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760442782.35466397</v>
      </c>
      <c r="H54" s="122">
        <f t="shared" ref="H54:H58" si="4">N10</f>
        <v>21375147.192306001</v>
      </c>
      <c r="I54" s="122">
        <f t="shared" si="1"/>
        <v>781817929.54697001</v>
      </c>
      <c r="J54" s="61">
        <f t="shared" si="2"/>
        <v>1.0024975766327424</v>
      </c>
      <c r="K54" s="54">
        <f>D54-G54</f>
        <v>-32055504.780761242</v>
      </c>
      <c r="L54" s="54">
        <f t="shared" si="3"/>
        <v>30107719.332287353</v>
      </c>
      <c r="M54" s="54">
        <f t="shared" si="3"/>
        <v>-1947785.4484739304</v>
      </c>
      <c r="N54" s="54">
        <f ca="1">IFERROR(M54/C3,0)</f>
        <v>-278255.06406770431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264680181.478939</v>
      </c>
      <c r="H55" s="122">
        <f t="shared" si="4"/>
        <v>32367613.199999999</v>
      </c>
      <c r="I55" s="122">
        <f t="shared" si="1"/>
        <v>297047794.67893898</v>
      </c>
      <c r="J55" s="61">
        <f t="shared" si="2"/>
        <v>0.53754743679861672</v>
      </c>
      <c r="K55" s="54">
        <f t="shared" si="3"/>
        <v>217631996.99842638</v>
      </c>
      <c r="L55" s="54">
        <f t="shared" si="3"/>
        <v>37918498.899588957</v>
      </c>
      <c r="M55" s="54">
        <f t="shared" si="3"/>
        <v>255550495.89801538</v>
      </c>
      <c r="N55" s="54">
        <f ca="1">IFERROR(M55/C3,0)</f>
        <v>36507213.699716486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331708912.54281598</v>
      </c>
      <c r="H56" s="122">
        <f t="shared" si="4"/>
        <v>98264585.446358994</v>
      </c>
      <c r="I56" s="122">
        <f t="shared" si="1"/>
        <v>429973497.98917496</v>
      </c>
      <c r="J56" s="61">
        <f t="shared" si="2"/>
        <v>0.68451386359623079</v>
      </c>
      <c r="K56" s="54">
        <f t="shared" si="3"/>
        <v>173483090.46027058</v>
      </c>
      <c r="L56" s="54">
        <f t="shared" si="3"/>
        <v>24687735.363403112</v>
      </c>
      <c r="M56" s="54">
        <f t="shared" si="3"/>
        <v>198170825.82367373</v>
      </c>
      <c r="N56" s="54">
        <f ca="1">IFERROR(M56/C3,0)</f>
        <v>28310117.974810533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1188182185.715873</v>
      </c>
      <c r="H57" s="122">
        <f t="shared" si="4"/>
        <v>74196554.659632996</v>
      </c>
      <c r="I57" s="122">
        <f t="shared" si="1"/>
        <v>1262378740.3755059</v>
      </c>
      <c r="J57" s="61">
        <f t="shared" si="2"/>
        <v>1.0860270591382766</v>
      </c>
      <c r="K57" s="54">
        <f t="shared" si="3"/>
        <v>-126936782.66715431</v>
      </c>
      <c r="L57" s="54">
        <f t="shared" si="3"/>
        <v>26940443.1290254</v>
      </c>
      <c r="M57" s="54">
        <f t="shared" si="3"/>
        <v>-99996339.538128853</v>
      </c>
      <c r="N57" s="54">
        <f ca="1">IFERROR(M57/C3,0)</f>
        <v>-14285191.362589836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377800596.14395797</v>
      </c>
      <c r="H58" s="122">
        <f t="shared" si="4"/>
        <v>55095356.079944998</v>
      </c>
      <c r="I58" s="122">
        <f>G58+H58</f>
        <v>432895952.22390294</v>
      </c>
      <c r="J58" s="61">
        <f>IFERROR(I58/F58,0)</f>
        <v>0.64826210319992728</v>
      </c>
      <c r="K58" s="54">
        <f t="shared" si="3"/>
        <v>185313574.59013081</v>
      </c>
      <c r="L58" s="54">
        <f t="shared" si="3"/>
        <v>49569678.675625488</v>
      </c>
      <c r="M58" s="54">
        <f t="shared" si="3"/>
        <v>234883253.26575637</v>
      </c>
      <c r="N58" s="54">
        <f ca="1">IFERROR(M58/C3,0)</f>
        <v>33554750.466536626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219409219.53999999</v>
      </c>
      <c r="H59" s="122">
        <f>IF(D21="",0,D21)</f>
        <v>0</v>
      </c>
      <c r="I59" s="122">
        <f>G59+H59</f>
        <v>219409219.53999999</v>
      </c>
      <c r="J59" s="61">
        <f>IFERROR(I59/F59,0)</f>
        <v>0.51043302524034617</v>
      </c>
      <c r="K59" s="54">
        <f>D59-G59</f>
        <v>210439964.76128498</v>
      </c>
      <c r="L59" s="54">
        <f>E59-H59</f>
        <v>0</v>
      </c>
      <c r="M59" s="54">
        <f>F59-I59</f>
        <v>210439964.76128498</v>
      </c>
      <c r="N59" s="54">
        <f ca="1">IFERROR(M59/C3,0)</f>
        <v>30062852.108754996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243186116.916592</v>
      </c>
      <c r="H60" s="122">
        <f t="shared" ref="H60:H64" si="5">N15</f>
        <v>84202743.072685003</v>
      </c>
      <c r="I60" s="122">
        <f t="shared" si="1"/>
        <v>327388859.98927701</v>
      </c>
      <c r="J60" s="61">
        <f t="shared" si="2"/>
        <v>0.51770534771871812</v>
      </c>
      <c r="K60" s="54">
        <f t="shared" si="3"/>
        <v>271534994.51025605</v>
      </c>
      <c r="L60" s="54">
        <f t="shared" si="3"/>
        <v>33460689.009481072</v>
      </c>
      <c r="M60" s="54">
        <f t="shared" si="3"/>
        <v>304995683.51973712</v>
      </c>
      <c r="N60" s="54">
        <f ca="1">IFERROR(M60/C3,0)</f>
        <v>43570811.931391016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498771508.76476699</v>
      </c>
      <c r="H61" s="122">
        <f t="shared" si="5"/>
        <v>47769369.339915</v>
      </c>
      <c r="I61" s="122">
        <f t="shared" si="1"/>
        <v>546540878.10468197</v>
      </c>
      <c r="J61" s="61">
        <f t="shared" si="2"/>
        <v>0.70998593245683694</v>
      </c>
      <c r="K61" s="54">
        <f t="shared" si="3"/>
        <v>200073667.47483402</v>
      </c>
      <c r="L61" s="54">
        <f t="shared" si="3"/>
        <v>23176591.286295824</v>
      </c>
      <c r="M61" s="54">
        <f t="shared" si="3"/>
        <v>223250258.76112986</v>
      </c>
      <c r="N61" s="54">
        <f ca="1">IFERROR(M61/C3,0)</f>
        <v>31892894.108732838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300400539.08223099</v>
      </c>
      <c r="H62" s="122">
        <f t="shared" si="5"/>
        <v>42093273.674698003</v>
      </c>
      <c r="I62" s="122">
        <f t="shared" si="1"/>
        <v>342493812.75692898</v>
      </c>
      <c r="J62" s="61">
        <f t="shared" si="2"/>
        <v>0.64594467173781234</v>
      </c>
      <c r="K62" s="54">
        <f t="shared" si="3"/>
        <v>181469825.13513511</v>
      </c>
      <c r="L62" s="54">
        <f t="shared" si="3"/>
        <v>6257954.9813677892</v>
      </c>
      <c r="M62" s="54">
        <f t="shared" si="3"/>
        <v>187727780.11650294</v>
      </c>
      <c r="N62" s="54">
        <f ca="1">IFERROR(M62/C3,0)</f>
        <v>26818254.302357562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736603670.52798903</v>
      </c>
      <c r="H63" s="122">
        <f t="shared" si="5"/>
        <v>230171319.11573201</v>
      </c>
      <c r="I63" s="122">
        <f t="shared" si="1"/>
        <v>966774989.6437211</v>
      </c>
      <c r="J63" s="61">
        <f t="shared" si="2"/>
        <v>0.93664106186844343</v>
      </c>
      <c r="K63" s="54">
        <f t="shared" si="3"/>
        <v>-30548741.535188556</v>
      </c>
      <c r="L63" s="54">
        <f t="shared" si="3"/>
        <v>95946084.497904301</v>
      </c>
      <c r="M63" s="54">
        <f t="shared" si="3"/>
        <v>65397342.962715626</v>
      </c>
      <c r="N63" s="54">
        <f ca="1">IFERROR(M63/C3,0)</f>
        <v>9342477.5661022328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252714826.51836503</v>
      </c>
      <c r="H64" s="122">
        <f t="shared" si="5"/>
        <v>131259210.86176801</v>
      </c>
      <c r="I64" s="122">
        <f t="shared" si="1"/>
        <v>383974037.38013303</v>
      </c>
      <c r="J64" s="61">
        <f t="shared" si="2"/>
        <v>0.65067921013044983</v>
      </c>
      <c r="K64" s="54">
        <f t="shared" si="3"/>
        <v>125887271.04917216</v>
      </c>
      <c r="L64" s="54">
        <f t="shared" si="3"/>
        <v>80251348.317715973</v>
      </c>
      <c r="M64" s="54">
        <f t="shared" si="3"/>
        <v>206138619.36688817</v>
      </c>
      <c r="N64" s="54">
        <f ca="1">IFERROR(M64/C3,0)</f>
        <v>29448374.195269737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6161202335.8738089</v>
      </c>
      <c r="H65" s="152">
        <f>SUM(H51:H64)</f>
        <v>1000989840.948333</v>
      </c>
      <c r="I65" s="152">
        <f>SUM(I51:I64)</f>
        <v>7162192176.8221416</v>
      </c>
      <c r="J65" s="153">
        <f>IFERROR(I65/F65,0)</f>
        <v>0.75946711367627695</v>
      </c>
      <c r="K65" s="154">
        <f>SUM(K51:K64)</f>
        <v>1786641470.4738796</v>
      </c>
      <c r="L65" s="154">
        <f>SUM(L51:L64)</f>
        <v>481715810.14240706</v>
      </c>
      <c r="M65" s="154">
        <f>SUM(M51:M64)</f>
        <v>2268357280.6162872</v>
      </c>
      <c r="N65" s="154">
        <f ca="1">IFERROR(M65/C3,0)</f>
        <v>324051040.08804101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386205467.99989003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82077133.700000003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6702702.5199999996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296028422.20999998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48943693.140000001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991099354.00996804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219960278.08943701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11765765.439999999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57820804.159999996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586596852.169312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131892586.03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14280324.624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65135136.5</v>
      </c>
    </row>
    <row r="84" spans="2:9" ht="20.100000000000001" customHeight="1" x14ac:dyDescent="0.25">
      <c r="B84" s="57" t="s">
        <v>152</v>
      </c>
      <c r="C84" s="58"/>
      <c r="D84" s="129">
        <f>SUM(D70:D83)</f>
        <v>2898508520.5926075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178303193.063649</v>
      </c>
      <c r="F89" s="61">
        <f t="shared" ref="F89:F94" si="7">IFERROR(E89/D89,0)</f>
        <v>0.6082590463057761</v>
      </c>
      <c r="G89" s="125">
        <f>D89-E89</f>
        <v>114833742.82996815</v>
      </c>
      <c r="H89" s="125">
        <f ca="1">IFERROR(G89/C3,0)</f>
        <v>16404820.404281165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548173493.30096197</v>
      </c>
      <c r="F90" s="61">
        <f t="shared" si="7"/>
        <v>1.2560173223167224</v>
      </c>
      <c r="G90" s="126">
        <f>D90-E90</f>
        <v>-111735648.40734482</v>
      </c>
      <c r="H90" s="126">
        <f ca="1">IFERROR(G90/C3,0)</f>
        <v>-15962235.486763546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524506190.20726198</v>
      </c>
      <c r="F91" s="61">
        <f t="shared" si="7"/>
        <v>0.46768730436997963</v>
      </c>
      <c r="G91" s="125">
        <f>D91-E91</f>
        <v>596982858.79273796</v>
      </c>
      <c r="H91" s="125">
        <f ca="1">IFERROR(G91/C3,0)</f>
        <v>85283265.541819707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1250982876.5718729</v>
      </c>
      <c r="F94" s="43">
        <f t="shared" si="7"/>
        <v>0.67581833561928761</v>
      </c>
      <c r="G94" s="119">
        <f>SUM(G89:G93)</f>
        <v>600080953.21536136</v>
      </c>
      <c r="H94" s="119">
        <f ca="1">IFERROR(G94/C3,0)</f>
        <v>85725850.459337339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2026-07-24T00:45:51Z</dcterms:modified>
  <dc:language>en-US</dc:language>
</cp:coreProperties>
</file>