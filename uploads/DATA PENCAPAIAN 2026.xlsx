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<sst xmlns="http://schemas.openxmlformats.org/spreadsheetml/2006/main" count="2122" uniqueCount="228">
  <si>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</si>
  <si>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</si>
  <si>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</si>
  <si>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</si>
  <si>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</si>
  <si>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</si>
  <si>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</si>
  <si>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</si>
  <si>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</si>
  <si>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</si>
  <si>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</si>
  <si>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</si>
  <si>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</si>
  <si>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</si>
  <si>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</si>
  <si>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</si>
  <si>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</si>
  <si>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</si>
  <si>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</si>
  <si>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</si>
  <si>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</si>
  <si>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</si>
  <si>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</si>
  <si>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</si>
  <si>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</si>
  <si>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</si>
  <si>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</si>
  <si>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</si>
  <si>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</si>
  <si>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</si>
  <si>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</si>
  <si>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</si>
  <si>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</si>
  <si>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</si>
  <si>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</si>
  <si>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</si>
  <si>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</si>
  <si>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</si>
  <si>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</si>
  <si>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</si>
  <si>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</si>
  <si>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</si>
  <si>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</si>
  <si>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</si>
  <si>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</si>
  <si>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</si>
  <si>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</si>
  <si>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</si>
  <si>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</si>
  <si>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</si>
  <si>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</si>
  <si>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</si>
  <si>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</si>
  <si>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</si>
  <si>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</si>
  <si>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</si>
  <si>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</si>
  <si>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</si>
  <si>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</si>
  <si>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</si>
  <si>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</si>
  <si>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</si>
  <si>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</si>
  <si>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</si>
  <si>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</si>
  <si>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</si>
  <si>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</si>
  <si>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</si>
  <si>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</si>
  <si>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</si>
  <si>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</si>
  <si>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</si>
  <si>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</si>
  <si>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</si>
  <si>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</si>
  <si>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</si>
  <si>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</si>
  <si>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</si>
  <si>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</si>
  <si>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</si>
  <si>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</si>
  <si>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</si>
  <si>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</si>
  <si>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</si>
  <si>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</si>
  <si>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</si>
  <si>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</si>
  <si>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</si>
  <si>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</si>
  <si>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</si>
  <si>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</si>
  <si>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</si>
  <si>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</si>
  <si>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</si>
  <si>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</si>
  <si>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</si>
  <si>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</si>
  <si>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</si>
  <si>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</si>
  <si>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</si>
  <si>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</si>
  <si>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</si>
  <si>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</si>
  <si>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</si>
  <si>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</si>
  <si>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</si>
  <si>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</si>
  <si>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</si>
  <si>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</si>
  <si>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</si>
  <si>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</si>
  <si>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</si>
  <si>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</si>
  <si>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</si>
  <si>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</si>
  <si>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</si>
  <si>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</si>
  <si>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</si>
  <si>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</si>
  <si>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</si>
  <si>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</si>
  <si>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</si>
  <si>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</si>
  <si>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</si>
  <si>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</si>
  <si>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</si>
  <si>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</si>
  <si>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</si>
  <si>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</si>
  <si>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</si>
  <si>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</si>
  <si>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</si>
  <si>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</si>
  <si>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</si>
  <si>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</si>
  <si>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</si>
  <si>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</si>
  <si>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</si>
  <si>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</si>
  <si>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</si>
  <si>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</si>
  <si>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</si>
  <si>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</si>
  <si>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</si>
  <si>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</si>
  <si>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</si>
  <si>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</si>
  <si>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</si>
  <si>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</si>
  <si>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</si>
  <si>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</si>
  <si>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</si>
  <si>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</si>
  <si>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</si>
  <si>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</si>
  <si>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</si>
  <si>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</si>
  <si>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</si>
  <si>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</si>
  <si>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</si>
  <si>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</si>
  <si>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</si>
  <si>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</si>
  <si>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</si>
  <si>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</si>
  <si>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</si>
  <si>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</si>
  <si>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</si>
  <si>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</si>
  <si>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</si>
  <si>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</si>
  <si>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</si>
  <si>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</si>
  <si>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</si>
  <si>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</si>
  <si>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</si>
  <si>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</si>
  <si>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</si>
  <si>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</si>
  <si>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</si>
  <si>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</si>
  <si>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</si>
  <si>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</si>
  <si>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</si>
  <si>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</si>
  <si>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</si>
  <si>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</si>
  <si>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</si>
  <si>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</si>
  <si>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</si>
  <si>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</si>
  <si>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</si>
  <si>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</si>
  <si>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</si>
  <si>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</si>
  <si>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</si>
  <si>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</si>
  <si>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</si>
  <si>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</si>
  <si>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</si>
  <si>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</si>
  <si>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</si>
  <si>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</si>
  <si>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</si>
  <si>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</si>
  <si>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</si>
  <si>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</si>
  <si>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</si>
  <si>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</si>
  <si>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</si>
  <si>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</si>
  <si>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</si>
  <si>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</si>
  <si>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</si>
  <si>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</si>
  <si>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</si>
  <si>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</si>
  <si>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</si>
  <si>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</si>
  <si>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</si>
  <si>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</si>
  <si>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</si>
  <si>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</si>
  <si>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</si>
  <si>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</si>
  <si>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</si>
  <si>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</si>
  <si>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12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</si>
</sst>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5" t="s">
        <v>177</v>
      </c>
      <c r="C41" s="266"/>
      <c r="D41" s="26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  <c r="Q48"/>
      <c r="R48"/>
    </row>
    <row r="49" spans="2:18" s="139" customFormat="1" ht="33.950000000000003" customHeight="1" x14ac:dyDescent="0.25">
      <c r="B49" s="273" t="s">
        <v>41</v>
      </c>
      <c r="C49" s="273" t="s">
        <v>42</v>
      </c>
      <c r="D49" s="270" t="s">
        <v>137</v>
      </c>
      <c r="E49" s="271"/>
      <c r="F49" s="272"/>
      <c r="G49" s="140" t="s">
        <v>138</v>
      </c>
      <c r="H49" s="140"/>
      <c r="I49" s="140"/>
      <c r="J49" s="270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82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3"/>
      <c r="C50" s="27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0"/>
      <c r="K50" s="279"/>
      <c r="L50" s="279"/>
      <c r="M50" s="281"/>
      <c r="N50" s="188"/>
      <c r="O50" s="183"/>
      <c r="P50" s="283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74" t="s">
        <v>41</v>
      </c>
      <c r="C78" s="274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3"/>
      <c r="P50" s="283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74" t="s">
        <v>41</v>
      </c>
      <c r="C78" s="274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5" t="s">
        <v>179</v>
      </c>
      <c r="C41" s="266"/>
      <c r="D41" s="26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3"/>
      <c r="P50" s="283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74" t="s">
        <v>41</v>
      </c>
      <c r="C78" s="274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5" t="s">
        <v>188</v>
      </c>
      <c r="C41" s="266"/>
      <c r="D41" s="26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74" t="s">
        <v>41</v>
      </c>
      <c r="C78" s="274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5" t="s">
        <v>218</v>
      </c>
      <c r="C40" s="266"/>
      <c r="D40" s="26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5.75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1"/>
      <c r="G67" s="275" t="s">
        <v>185</v>
      </c>
      <c r="H67" s="276"/>
      <c r="I67" s="276"/>
      <c r="J67" s="276"/>
      <c r="K67" s="276"/>
      <c r="L67" s="277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74" t="s">
        <v>41</v>
      </c>
      <c r="C78" s="274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226</v>
      </c>
      <c r="C40" s="266"/>
      <c r="D40" s="26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95%</v>
      </c>
      <c r="N49" s="278" t="str">
        <f>"PER HARI"&amp;CHAR(10)&amp;TEXT($H$40,"0%")</f>
        <v>PER HARI
95%</v>
      </c>
      <c r="O49" s="280" t="str">
        <f>"SELISIH"&amp;CHAR(10)&amp;TEXT($J$40,"0%")</f>
        <v>SELISIH
100%</v>
      </c>
      <c r="P49" s="280" t="str">
        <f>"PER HARI"&amp;CHAR(10)&amp;TEXT($J$40,"0%")</f>
        <v>PER HARI
100%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71" zoomScale="73" zoomScaleNormal="73" workbookViewId="0">
      <selection activeCell="E95" sqref="E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18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57246535.974437997</v>
      </c>
      <c r="D10" s="235">
        <v>23487806.1855</v>
      </c>
      <c r="E10" s="235">
        <v>80950672.616068006</v>
      </c>
      <c r="F10" s="235">
        <v>64403707.439960003</v>
      </c>
      <c r="G10" s="235">
        <v>226088722.21596599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2020270.259994</v>
      </c>
      <c r="D11" s="235">
        <v>4489392</v>
      </c>
      <c r="E11" s="235">
        <v>138310812.97999999</v>
      </c>
      <c r="F11" s="235" t="s">
        <v>164</v>
      </c>
      <c r="G11" s="235">
        <v>144820475.23999399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74404569.704236999</v>
      </c>
      <c r="D12" s="235">
        <v>27836736.526450999</v>
      </c>
      <c r="E12" s="235">
        <v>76122036.319809005</v>
      </c>
      <c r="F12" s="235">
        <v>45667598.82</v>
      </c>
      <c r="G12" s="235">
        <v>224030941.37049699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10139261.545944</v>
      </c>
      <c r="D13" s="235">
        <v>13947847.119966</v>
      </c>
      <c r="E13" s="235">
        <v>96458425.099614993</v>
      </c>
      <c r="F13" s="235">
        <v>26666667.600000001</v>
      </c>
      <c r="G13" s="235">
        <v>147212201.36552501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191685781.37489399</v>
      </c>
      <c r="D14" s="235">
        <v>12344864.623992</v>
      </c>
      <c r="E14" s="235">
        <v>62830613.019964002</v>
      </c>
      <c r="F14" s="235">
        <v>136634002.82987499</v>
      </c>
      <c r="G14" s="235">
        <v>403495261.84872502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138970007.28092</v>
      </c>
      <c r="D15" s="235">
        <v>3057531.5399989998</v>
      </c>
      <c r="E15" s="235">
        <v>6723101.5999379996</v>
      </c>
      <c r="F15" s="235">
        <v>7116756.8949999996</v>
      </c>
      <c r="G15" s="235">
        <v>155867397.31585699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225134888.54080901</v>
      </c>
      <c r="D16" s="235">
        <v>30322753.849773999</v>
      </c>
      <c r="E16" s="235">
        <v>151856036.89971399</v>
      </c>
      <c r="F16" s="235">
        <v>660932159.93995404</v>
      </c>
      <c r="G16" s="235">
        <v>1068245839.230251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40525392.299377002</v>
      </c>
      <c r="D17" s="235">
        <v>14813976.114955001</v>
      </c>
      <c r="E17" s="235">
        <v>32721356.019299999</v>
      </c>
      <c r="F17" s="235">
        <v>6116216.3099999996</v>
      </c>
      <c r="G17" s="235">
        <v>94176940.743632004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3791250</v>
      </c>
      <c r="D18" s="235">
        <v>42293387.539829999</v>
      </c>
      <c r="E18" s="235">
        <v>9790460.5</v>
      </c>
      <c r="F18" s="235">
        <v>52324325.399999999</v>
      </c>
      <c r="G18" s="235">
        <v>108199423.43983001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9255021.0800000001</v>
      </c>
      <c r="D19" s="235" t="s">
        <v>164</v>
      </c>
      <c r="E19" s="235" t="s">
        <v>164</v>
      </c>
      <c r="F19" s="235">
        <v>9650450.2799999993</v>
      </c>
      <c r="G19" s="235">
        <v>18905471.359999999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69245814.040000007</v>
      </c>
      <c r="D20" s="235" t="s">
        <v>164</v>
      </c>
      <c r="E20" s="235" t="s">
        <v>164</v>
      </c>
      <c r="F20" s="235">
        <v>6144143.9800000004</v>
      </c>
      <c r="G20" s="235">
        <v>75389958.019999996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132606160.79890101</v>
      </c>
      <c r="D21" s="235">
        <v>18014709.958476</v>
      </c>
      <c r="E21" s="235">
        <v>60690540.779907003</v>
      </c>
      <c r="F21" s="235">
        <v>254040728.39989001</v>
      </c>
      <c r="G21" s="235">
        <v>465352139.93717402</v>
      </c>
      <c r="H21" s="111"/>
      <c r="I21" s="111"/>
      <c r="J21" s="111"/>
      <c r="M21" s="14">
        <f>SUM(C33,C34)+M20</f>
        <v>328832338.82330203</v>
      </c>
      <c r="N21" s="10" t="s">
        <v>223</v>
      </c>
    </row>
    <row r="22" spans="2:15" ht="15" customHeight="1" x14ac:dyDescent="0.25">
      <c r="B22" s="72" t="s">
        <v>224</v>
      </c>
      <c r="C22" s="235">
        <v>82816354.419830993</v>
      </c>
      <c r="D22" s="235">
        <v>29250758.934114002</v>
      </c>
      <c r="E22" s="235">
        <v>50569792.949960001</v>
      </c>
      <c r="F22" s="235">
        <v>80576126.399987996</v>
      </c>
      <c r="G22" s="235">
        <v>243213032.70389301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135067595.72215599</v>
      </c>
      <c r="D23" s="235">
        <v>26022114.589929</v>
      </c>
      <c r="E23" s="235">
        <v>73819911.874513</v>
      </c>
      <c r="F23" s="235">
        <v>134401530.21975499</v>
      </c>
      <c r="G23" s="235">
        <v>369311152.406353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201087925.79390901</v>
      </c>
      <c r="D24" s="235">
        <v>26264770.299982999</v>
      </c>
      <c r="E24" s="235">
        <v>78340225.879980996</v>
      </c>
      <c r="F24" s="235">
        <v>295469365.43954599</v>
      </c>
      <c r="G24" s="235">
        <v>601162287.41341901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99037753.889376998</v>
      </c>
      <c r="D25" s="235">
        <v>36943909.414258003</v>
      </c>
      <c r="E25" s="235">
        <v>49333797.421862997</v>
      </c>
      <c r="F25" s="235">
        <v>5486486.6299999999</v>
      </c>
      <c r="G25" s="235">
        <v>190801947.35549799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170587359.531418</v>
      </c>
      <c r="D26" s="235">
        <v>84521736.158882007</v>
      </c>
      <c r="E26" s="235">
        <v>92617069.409048006</v>
      </c>
      <c r="F26" s="235">
        <v>8192216.3937999997</v>
      </c>
      <c r="G26" s="235">
        <v>355918381.49314803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239">
        <v>87712534.409683004</v>
      </c>
      <c r="G31" s="111"/>
      <c r="H31" s="111"/>
      <c r="I31" s="111"/>
    </row>
    <row r="32" spans="2:15" ht="15" customHeight="1" x14ac:dyDescent="0.25">
      <c r="B32" s="81" t="s">
        <v>132</v>
      </c>
      <c r="C32" s="239">
        <v>73368374.007214993</v>
      </c>
      <c r="G32" s="111"/>
      <c r="H32" s="111"/>
      <c r="I32" s="111"/>
    </row>
    <row r="33" spans="2:19" ht="15" customHeight="1" x14ac:dyDescent="0.25">
      <c r="B33" s="81" t="s">
        <v>133</v>
      </c>
      <c r="C33" s="240">
        <v>64395109.261026002</v>
      </c>
      <c r="G33" s="111"/>
      <c r="H33" s="111"/>
      <c r="I33" s="111"/>
    </row>
    <row r="34" spans="2:19" ht="15" customHeight="1" x14ac:dyDescent="0.25">
      <c r="B34" s="81" t="s">
        <v>134</v>
      </c>
      <c r="C34" s="240">
        <v>264437229.56227601</v>
      </c>
      <c r="G34" s="111"/>
      <c r="H34" s="111"/>
      <c r="I34" s="111"/>
    </row>
    <row r="35" spans="2:19" ht="15" customHeight="1" x14ac:dyDescent="0.25">
      <c r="B35" s="81" t="s">
        <v>135</v>
      </c>
      <c r="C35" s="238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227</v>
      </c>
      <c r="C40" s="266"/>
      <c r="D40" s="267"/>
      <c r="E40" s="66" t="s">
        <v>137</v>
      </c>
      <c r="F40" s="174">
        <f ca="1">IF(MONTH(TODAY())=10,DAY(TODAY())/DAY(EOMONTH(TODAY(),0)),IF(MONTH(TODAY())&gt;10,1,0))</f>
        <v>0.38709677419354838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1504651934.9752848</v>
      </c>
      <c r="F42" s="176">
        <f>IFERROR(E42/D42,0)</f>
        <v>0.33701931217893982</v>
      </c>
      <c r="G42" s="184">
        <f>D42*$H$40-E42</f>
        <v>2959934753.6842442</v>
      </c>
      <c r="H42" s="184">
        <f ca="1">IFERROR(G42/$C$3,0)</f>
        <v>164440819.64912468</v>
      </c>
      <c r="I42" s="204">
        <f>D42*$J$40-E42</f>
        <v>2959934753.6842442</v>
      </c>
      <c r="J42" s="204">
        <f ca="1">IFERROR(I42/$C$3,0)</f>
        <v>164440819.64912468</v>
      </c>
      <c r="K42" s="185">
        <f>D42*$L$40-E42</f>
        <v>2959934753.6842442</v>
      </c>
      <c r="L42" s="185">
        <f ca="1">IFERROR(K42/$C$3,0)</f>
        <v>164440819.64912468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390554763.31611001</v>
      </c>
      <c r="F43" s="176">
        <f>IFERROR(E43/D43,0)</f>
        <v>0.30514282593653697</v>
      </c>
      <c r="G43" s="184">
        <f>D43*$H$40-E43</f>
        <v>889353299.79312027</v>
      </c>
      <c r="H43" s="184">
        <f ca="1">IFERROR(G43/$C$3,0)</f>
        <v>49408516.655173346</v>
      </c>
      <c r="I43" s="204">
        <f>D43*$J$40-E43</f>
        <v>889353299.79312027</v>
      </c>
      <c r="J43" s="204">
        <f ca="1">IFERROR(I43/$C$3,0)</f>
        <v>49408516.655173346</v>
      </c>
      <c r="K43" s="185">
        <f>D43*$L$40-E43</f>
        <v>889353299.79312027</v>
      </c>
      <c r="L43" s="185">
        <f ca="1">IFERROR(K43/$C$3,0)</f>
        <v>49408516.655173346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1054411751.7697419</v>
      </c>
      <c r="F44" s="176">
        <f>IFERROR(E44/D44,0)</f>
        <v>0.36184249975772642</v>
      </c>
      <c r="G44" s="184">
        <f>IF(D44=0,0,D44*$H$40-E44)</f>
        <v>1859595730.7004733</v>
      </c>
      <c r="H44" s="184">
        <f ca="1">IFERROR(G44/$C$3,0)</f>
        <v>103310873.92780407</v>
      </c>
      <c r="I44" s="204">
        <f>IF(D44=0,0,D44*$J$40-E44)</f>
        <v>1859595730.7004733</v>
      </c>
      <c r="J44" s="204">
        <f ca="1">IFERROR(I44/$C$3,0)</f>
        <v>103310873.92780407</v>
      </c>
      <c r="K44" s="185">
        <f>IF(D44=0,0,D44*$L$40-E44)</f>
        <v>1859595730.7004733</v>
      </c>
      <c r="L44" s="185">
        <f ca="1">IFERROR(K44/$C$3,0)</f>
        <v>103310873.92780407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489913247.24020004</v>
      </c>
      <c r="F45" s="176">
        <f>IFERROR(E45/D45,0)</f>
        <v>0.27526506419951469</v>
      </c>
      <c r="G45" s="184">
        <f>D45*$H$40-E45</f>
        <v>1289873986.8023531</v>
      </c>
      <c r="H45" s="184">
        <f ca="1">IFERROR(G45/$C$3,0)</f>
        <v>71659665.933464065</v>
      </c>
      <c r="I45" s="204">
        <f>D45*$J$40-E45</f>
        <v>1289873986.8023531</v>
      </c>
      <c r="J45" s="204">
        <f ca="1">IFERROR(I45/$C$3,0)</f>
        <v>71659665.933464065</v>
      </c>
      <c r="K45" s="185">
        <f>D45*$L$40-E45</f>
        <v>1289873986.8023531</v>
      </c>
      <c r="L45" s="185">
        <f ca="1">IFERROR(K45/$C$3,0)</f>
        <v>71659665.933464065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10438289468.281527</v>
      </c>
      <c r="E46" s="47">
        <f>SUM(E42:E45)</f>
        <v>3439531697.3013368</v>
      </c>
      <c r="F46" s="177">
        <f>IFERROR(E46/D46,0)</f>
        <v>0.32951104754786925</v>
      </c>
      <c r="G46" s="181">
        <f>SUM(G42:G45)</f>
        <v>6998757770.9801903</v>
      </c>
      <c r="H46" s="181">
        <f ca="1">IFERROR(G46/$C$3,0)</f>
        <v>388819876.16556615</v>
      </c>
      <c r="I46" s="186">
        <f>SUM(I42:I45)</f>
        <v>6998757770.9801903</v>
      </c>
      <c r="J46" s="186">
        <f ca="1">IFERROR(I46/$C$3,0)</f>
        <v>388819876.16556615</v>
      </c>
      <c r="K46" s="186">
        <f>SUM(K42:K45)</f>
        <v>6998757770.9801903</v>
      </c>
      <c r="L46" s="186">
        <f ca="1">IFERROR(K46/$C$3,0)</f>
        <v>388819876.16556615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100%</v>
      </c>
      <c r="N49" s="278" t="str">
        <f>"PER HARI"&amp;CHAR(10)&amp;TEXT($H$40,"0%")</f>
        <v>PER HARI
100%</v>
      </c>
      <c r="O49" s="280" t="str">
        <f>"SELISIH"&amp;CHAR(10)&amp;TEXT($J$40,"0%")</f>
        <v>SELISIH
100%</v>
      </c>
      <c r="P49" s="280" t="str">
        <f>"PER HARI"&amp;CHAR(10)&amp;TEXT($J$40,"0%")</f>
        <v>PER HARI
100%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132606160.79890101</v>
      </c>
      <c r="I51" s="114">
        <f t="shared" ref="I51:I64" si="1">SUMIF($B$10:$B$26,$T51,D$10:D$26)+SUMIF($B$10:$B$26,$U51,D$10:D$26)</f>
        <v>18014709.958476</v>
      </c>
      <c r="J51" s="114">
        <f t="shared" ref="J51:J64" si="2">SUMIF($B$10:$B$26,$T51,E$10:E$26)+SUMIF($B$10:$B$26,$U51,E$10:E$26)</f>
        <v>60690540.779907003</v>
      </c>
      <c r="K51" s="114">
        <f t="shared" ref="K51:K64" si="3">SUM(H51:J51)</f>
        <v>211311411.53728402</v>
      </c>
      <c r="L51" s="187">
        <f t="shared" ref="L51:L65" si="4">IFERROR(K51/G51,0)</f>
        <v>0.4258297537282974</v>
      </c>
      <c r="M51" s="184">
        <f t="shared" ref="M51:M64" si="5">G51*$H$40-K51</f>
        <v>284923080.50366485</v>
      </c>
      <c r="N51" s="184">
        <f t="shared" ref="N51:N65" ca="1" si="6">IFERROR(M51/$C$3,0)</f>
        <v>15829060.02798138</v>
      </c>
      <c r="O51" s="180">
        <f t="shared" ref="O51:O64" si="7">G51*$J$40-K51</f>
        <v>284923080.50366485</v>
      </c>
      <c r="P51" s="180">
        <f t="shared" ref="P51:P65" ca="1" si="8">IFERROR(O51/$C$3,0)</f>
        <v>15829060.02798138</v>
      </c>
      <c r="Q51" s="185">
        <f t="shared" ref="Q51:Q64" si="9">G51*$L$40-K51</f>
        <v>284923080.50366485</v>
      </c>
      <c r="R51" s="185">
        <f t="shared" ref="R51:R65" ca="1" si="10">IFERROR(Q51/$C$3,0)</f>
        <v>15829060.02798138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84543831.250181004</v>
      </c>
      <c r="I52" s="114">
        <f t="shared" si="1"/>
        <v>41784583.646416999</v>
      </c>
      <c r="J52" s="114">
        <f t="shared" si="2"/>
        <v>172580461.419424</v>
      </c>
      <c r="K52" s="114">
        <f t="shared" si="3"/>
        <v>298908876.31602204</v>
      </c>
      <c r="L52" s="187">
        <f t="shared" si="4"/>
        <v>0.38951321210540146</v>
      </c>
      <c r="M52" s="184">
        <f t="shared" si="5"/>
        <v>468481977.25825393</v>
      </c>
      <c r="N52" s="184">
        <f t="shared" ca="1" si="6"/>
        <v>26026776.514347441</v>
      </c>
      <c r="O52" s="180">
        <f t="shared" si="7"/>
        <v>468481977.25825393</v>
      </c>
      <c r="P52" s="180">
        <f t="shared" ca="1" si="8"/>
        <v>26026776.514347441</v>
      </c>
      <c r="Q52" s="185">
        <f t="shared" si="9"/>
        <v>468481977.25825393</v>
      </c>
      <c r="R52" s="185">
        <f t="shared" ca="1" si="10"/>
        <v>26026776.514347441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9255021.0800000001</v>
      </c>
      <c r="I53" s="114">
        <f t="shared" si="1"/>
        <v>0</v>
      </c>
      <c r="J53" s="114">
        <f t="shared" si="2"/>
        <v>0</v>
      </c>
      <c r="K53" s="114">
        <f t="shared" si="3"/>
        <v>9255021.0800000001</v>
      </c>
      <c r="L53" s="187">
        <f t="shared" si="4"/>
        <v>3.5196470023741475E-2</v>
      </c>
      <c r="M53" s="184">
        <f t="shared" si="5"/>
        <v>253698083.98301074</v>
      </c>
      <c r="N53" s="184">
        <f t="shared" ca="1" si="6"/>
        <v>14094337.999056153</v>
      </c>
      <c r="O53" s="180">
        <f t="shared" si="7"/>
        <v>253698083.98301074</v>
      </c>
      <c r="P53" s="180">
        <f t="shared" ca="1" si="8"/>
        <v>14094337.999056153</v>
      </c>
      <c r="Q53" s="185">
        <f t="shared" si="9"/>
        <v>253698083.98301074</v>
      </c>
      <c r="R53" s="185">
        <f t="shared" ca="1" si="10"/>
        <v>14094337.999056153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191685781.37489399</v>
      </c>
      <c r="I54" s="114">
        <f t="shared" si="1"/>
        <v>12344864.623992</v>
      </c>
      <c r="J54" s="114">
        <f t="shared" si="2"/>
        <v>62830613.019964002</v>
      </c>
      <c r="K54" s="114">
        <f t="shared" si="3"/>
        <v>266861259.01885</v>
      </c>
      <c r="L54" s="187">
        <f t="shared" si="4"/>
        <v>0.3766360659395554</v>
      </c>
      <c r="M54" s="184">
        <f t="shared" si="5"/>
        <v>441677521.92114997</v>
      </c>
      <c r="N54" s="184">
        <f t="shared" ca="1" si="6"/>
        <v>24537640.106730554</v>
      </c>
      <c r="O54" s="180">
        <f t="shared" si="7"/>
        <v>441677521.92114997</v>
      </c>
      <c r="P54" s="180">
        <f t="shared" ca="1" si="8"/>
        <v>24537640.106730554</v>
      </c>
      <c r="Q54" s="185">
        <f t="shared" si="9"/>
        <v>441677521.92114997</v>
      </c>
      <c r="R54" s="185">
        <f t="shared" ca="1" si="10"/>
        <v>24537640.106730554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2020270.259994</v>
      </c>
      <c r="I55" s="114">
        <f t="shared" si="1"/>
        <v>4489392</v>
      </c>
      <c r="J55" s="114">
        <f t="shared" si="2"/>
        <v>138310812.97999999</v>
      </c>
      <c r="K55" s="114">
        <f t="shared" si="3"/>
        <v>144820475.23999399</v>
      </c>
      <c r="L55" s="187">
        <f t="shared" si="4"/>
        <v>0.26958340612867443</v>
      </c>
      <c r="M55" s="184">
        <f t="shared" si="5"/>
        <v>392380524.33069164</v>
      </c>
      <c r="N55" s="184">
        <f t="shared" ca="1" si="6"/>
        <v>21798918.018371757</v>
      </c>
      <c r="O55" s="180">
        <f t="shared" si="7"/>
        <v>392380524.33069164</v>
      </c>
      <c r="P55" s="180">
        <f t="shared" ca="1" si="8"/>
        <v>21798918.018371757</v>
      </c>
      <c r="Q55" s="185">
        <f t="shared" si="9"/>
        <v>392380524.33069164</v>
      </c>
      <c r="R55" s="185">
        <f t="shared" ca="1" si="10"/>
        <v>21798918.018371757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82816354.419830993</v>
      </c>
      <c r="I56" s="114">
        <f t="shared" si="1"/>
        <v>29250758.934114002</v>
      </c>
      <c r="J56" s="114">
        <f t="shared" si="2"/>
        <v>50569792.949960001</v>
      </c>
      <c r="K56" s="114">
        <f t="shared" si="3"/>
        <v>162636906.30390498</v>
      </c>
      <c r="L56" s="187">
        <f t="shared" si="4"/>
        <v>0.29208534606087144</v>
      </c>
      <c r="M56" s="184">
        <f t="shared" si="5"/>
        <v>394176054.35044765</v>
      </c>
      <c r="N56" s="184">
        <f t="shared" ca="1" si="6"/>
        <v>21898669.686135981</v>
      </c>
      <c r="O56" s="180">
        <f t="shared" si="7"/>
        <v>394176054.35044765</v>
      </c>
      <c r="P56" s="180">
        <f t="shared" ca="1" si="8"/>
        <v>21898669.686135981</v>
      </c>
      <c r="Q56" s="185">
        <f t="shared" si="9"/>
        <v>394176054.35044765</v>
      </c>
      <c r="R56" s="185">
        <f t="shared" ca="1" si="10"/>
        <v>21898669.686135981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225134888.54080901</v>
      </c>
      <c r="I57" s="114">
        <f t="shared" si="1"/>
        <v>30322753.849773999</v>
      </c>
      <c r="J57" s="114">
        <f t="shared" si="2"/>
        <v>151856036.89971399</v>
      </c>
      <c r="K57" s="114">
        <f t="shared" si="3"/>
        <v>407313679.29029703</v>
      </c>
      <c r="L57" s="187">
        <f t="shared" si="4"/>
        <v>0.37332229677983031</v>
      </c>
      <c r="M57" s="184">
        <f t="shared" si="5"/>
        <v>683737358.3885839</v>
      </c>
      <c r="N57" s="184">
        <f t="shared" ca="1" si="6"/>
        <v>37985408.799365774</v>
      </c>
      <c r="O57" s="180">
        <f t="shared" si="7"/>
        <v>683737358.3885839</v>
      </c>
      <c r="P57" s="180">
        <f t="shared" ca="1" si="8"/>
        <v>37985408.799365774</v>
      </c>
      <c r="Q57" s="185">
        <f t="shared" si="9"/>
        <v>683737358.3885839</v>
      </c>
      <c r="R57" s="185">
        <f t="shared" ca="1" si="10"/>
        <v>37985408.799365774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135067595.72215599</v>
      </c>
      <c r="I58" s="114">
        <f t="shared" si="1"/>
        <v>26022114.589929</v>
      </c>
      <c r="J58" s="114">
        <f t="shared" si="2"/>
        <v>73819911.874513</v>
      </c>
      <c r="K58" s="114">
        <f t="shared" si="3"/>
        <v>234909622.18659797</v>
      </c>
      <c r="L58" s="187">
        <f t="shared" si="4"/>
        <v>0.39384771896981741</v>
      </c>
      <c r="M58" s="184">
        <f t="shared" si="5"/>
        <v>361538220.14456534</v>
      </c>
      <c r="N58" s="184">
        <f t="shared" ca="1" si="6"/>
        <v>20085456.674698073</v>
      </c>
      <c r="O58" s="180">
        <f t="shared" si="7"/>
        <v>361538220.14456534</v>
      </c>
      <c r="P58" s="180">
        <f t="shared" ca="1" si="8"/>
        <v>20085456.674698073</v>
      </c>
      <c r="Q58" s="185">
        <f t="shared" si="9"/>
        <v>361538220.14456534</v>
      </c>
      <c r="R58" s="185">
        <f t="shared" ca="1" si="10"/>
        <v>20085456.674698073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69245814.040000007</v>
      </c>
      <c r="I59" s="114">
        <f t="shared" si="1"/>
        <v>0</v>
      </c>
      <c r="J59" s="114">
        <f t="shared" si="2"/>
        <v>0</v>
      </c>
      <c r="K59" s="114">
        <f t="shared" si="3"/>
        <v>69245814.040000007</v>
      </c>
      <c r="L59" s="187">
        <f t="shared" si="4"/>
        <v>0.15601290177414301</v>
      </c>
      <c r="M59" s="184">
        <f t="shared" si="5"/>
        <v>374600901.53641999</v>
      </c>
      <c r="N59" s="184">
        <f t="shared" ca="1" si="6"/>
        <v>20811161.196467776</v>
      </c>
      <c r="O59" s="180">
        <f t="shared" si="7"/>
        <v>374600901.53641999</v>
      </c>
      <c r="P59" s="180">
        <f t="shared" ca="1" si="8"/>
        <v>20811161.196467776</v>
      </c>
      <c r="Q59" s="185">
        <f t="shared" si="9"/>
        <v>374600901.53641999</v>
      </c>
      <c r="R59" s="185">
        <f t="shared" ca="1" si="10"/>
        <v>20811161.196467776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99037753.889376998</v>
      </c>
      <c r="I60" s="114">
        <f t="shared" si="1"/>
        <v>36943909.414258003</v>
      </c>
      <c r="J60" s="114">
        <f t="shared" si="2"/>
        <v>49333797.421862997</v>
      </c>
      <c r="K60" s="114">
        <f t="shared" si="3"/>
        <v>185315460.72549799</v>
      </c>
      <c r="L60" s="187">
        <f t="shared" si="4"/>
        <v>0.33029927859908426</v>
      </c>
      <c r="M60" s="184">
        <f t="shared" si="5"/>
        <v>375737719.62502003</v>
      </c>
      <c r="N60" s="184">
        <f t="shared" ca="1" si="6"/>
        <v>20874317.756945558</v>
      </c>
      <c r="O60" s="180">
        <f t="shared" si="7"/>
        <v>375737719.62502003</v>
      </c>
      <c r="P60" s="180">
        <f t="shared" ca="1" si="8"/>
        <v>20874317.756945558</v>
      </c>
      <c r="Q60" s="185">
        <f t="shared" si="9"/>
        <v>375737719.62502003</v>
      </c>
      <c r="R60" s="185">
        <f t="shared" ca="1" si="10"/>
        <v>20874317.756945558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201087925.79390901</v>
      </c>
      <c r="I61" s="114">
        <f t="shared" si="1"/>
        <v>26264770.299982999</v>
      </c>
      <c r="J61" s="114">
        <f t="shared" si="2"/>
        <v>78340225.879980996</v>
      </c>
      <c r="K61" s="114">
        <f t="shared" si="3"/>
        <v>305692921.97387302</v>
      </c>
      <c r="L61" s="187">
        <f t="shared" si="4"/>
        <v>0.43766718353915007</v>
      </c>
      <c r="M61" s="184">
        <f t="shared" si="5"/>
        <v>392766851.73344278</v>
      </c>
      <c r="N61" s="184">
        <f t="shared" ca="1" si="6"/>
        <v>21820380.651857931</v>
      </c>
      <c r="O61" s="180">
        <f t="shared" si="7"/>
        <v>392766851.73344278</v>
      </c>
      <c r="P61" s="180">
        <f t="shared" ca="1" si="8"/>
        <v>21820380.651857931</v>
      </c>
      <c r="Q61" s="185">
        <f t="shared" si="9"/>
        <v>392766851.73344278</v>
      </c>
      <c r="R61" s="185">
        <f t="shared" ca="1" si="10"/>
        <v>21820380.651857931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57246535.974437997</v>
      </c>
      <c r="I62" s="114">
        <f t="shared" si="1"/>
        <v>23487806.1855</v>
      </c>
      <c r="J62" s="114">
        <f t="shared" si="2"/>
        <v>80950672.616068006</v>
      </c>
      <c r="K62" s="114">
        <f t="shared" si="3"/>
        <v>161685014.77600598</v>
      </c>
      <c r="L62" s="187">
        <f t="shared" si="4"/>
        <v>0.35233919640530426</v>
      </c>
      <c r="M62" s="184">
        <f t="shared" si="5"/>
        <v>297205214.93892992</v>
      </c>
      <c r="N62" s="184">
        <f t="shared" ca="1" si="6"/>
        <v>16511400.82994055</v>
      </c>
      <c r="O62" s="180">
        <f t="shared" si="7"/>
        <v>297205214.93892992</v>
      </c>
      <c r="P62" s="180">
        <f t="shared" ca="1" si="8"/>
        <v>16511400.82994055</v>
      </c>
      <c r="Q62" s="185">
        <f t="shared" si="9"/>
        <v>297205214.93892992</v>
      </c>
      <c r="R62" s="185">
        <f t="shared" ca="1" si="10"/>
        <v>16511400.82994055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170587359.531418</v>
      </c>
      <c r="I63" s="114">
        <f t="shared" si="1"/>
        <v>84521736.158882007</v>
      </c>
      <c r="J63" s="114">
        <f t="shared" si="2"/>
        <v>92617069.409048006</v>
      </c>
      <c r="K63" s="114">
        <f t="shared" si="3"/>
        <v>347726165.09934801</v>
      </c>
      <c r="L63" s="187">
        <f t="shared" si="4"/>
        <v>0.36189772933926512</v>
      </c>
      <c r="M63" s="184">
        <f t="shared" si="5"/>
        <v>613114804.34859276</v>
      </c>
      <c r="N63" s="184">
        <f t="shared" ca="1" si="6"/>
        <v>34061933.574921817</v>
      </c>
      <c r="O63" s="180">
        <f t="shared" si="7"/>
        <v>613114804.34859276</v>
      </c>
      <c r="P63" s="180">
        <f t="shared" ca="1" si="8"/>
        <v>34061933.574921817</v>
      </c>
      <c r="Q63" s="185">
        <f t="shared" si="9"/>
        <v>613114804.34859276</v>
      </c>
      <c r="R63" s="185">
        <f t="shared" ca="1" si="10"/>
        <v>34061933.574921817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44316642.299377002</v>
      </c>
      <c r="I64" s="114">
        <f t="shared" si="1"/>
        <v>57107363.654785</v>
      </c>
      <c r="J64" s="114">
        <f t="shared" si="2"/>
        <v>42511816.519299999</v>
      </c>
      <c r="K64" s="114">
        <f t="shared" si="3"/>
        <v>143935822.47346199</v>
      </c>
      <c r="L64" s="187">
        <f t="shared" si="4"/>
        <v>0.27744990856903495</v>
      </c>
      <c r="M64" s="184">
        <f t="shared" si="5"/>
        <v>374845471.11506319</v>
      </c>
      <c r="N64" s="184">
        <f t="shared" ca="1" si="6"/>
        <v>20824748.395281289</v>
      </c>
      <c r="O64" s="180">
        <f t="shared" si="7"/>
        <v>374845471.11506319</v>
      </c>
      <c r="P64" s="180">
        <f t="shared" ca="1" si="8"/>
        <v>20824748.395281289</v>
      </c>
      <c r="Q64" s="185">
        <f t="shared" si="9"/>
        <v>374845471.11506319</v>
      </c>
      <c r="R64" s="185">
        <f t="shared" ca="1" si="10"/>
        <v>20824748.395281289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1504651934.9752848</v>
      </c>
      <c r="I65" s="135">
        <f t="shared" si="12"/>
        <v>390554763.31611001</v>
      </c>
      <c r="J65" s="135">
        <f t="shared" si="12"/>
        <v>1054411751.7697419</v>
      </c>
      <c r="K65" s="135">
        <f t="shared" si="12"/>
        <v>2949618450.0611372</v>
      </c>
      <c r="L65" s="189">
        <f t="shared" si="4"/>
        <v>0.34066151053206833</v>
      </c>
      <c r="M65" s="181">
        <f>SUM(M51:M64)</f>
        <v>5708883784.1778374</v>
      </c>
      <c r="N65" s="181">
        <f t="shared" ca="1" si="6"/>
        <v>317160210.2321021</v>
      </c>
      <c r="O65" s="181">
        <f>SUM(O51:O64)</f>
        <v>5708883784.1778374</v>
      </c>
      <c r="P65" s="181">
        <f t="shared" ca="1" si="8"/>
        <v>317160210.2321021</v>
      </c>
      <c r="Q65" s="186">
        <f>SUM(Q51:Q64)</f>
        <v>5708883784.1778374</v>
      </c>
      <c r="R65" s="186">
        <f t="shared" ca="1" si="10"/>
        <v>317160210.2321021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87712534.409683004</v>
      </c>
      <c r="F69" s="187">
        <f t="shared" ref="F69:F74" si="13">IFERROR(E69/D69,0)</f>
        <v>0.3256112651931547</v>
      </c>
      <c r="G69" s="184">
        <f>D69*$H$40-E69</f>
        <v>181665536.27116817</v>
      </c>
      <c r="H69" s="184">
        <f t="shared" ref="H69:H74" ca="1" si="14">IFERROR(G69/$C$3,0)</f>
        <v>10092529.792842677</v>
      </c>
      <c r="I69" s="204">
        <f>D69*$J$40-E69</f>
        <v>181665536.27116817</v>
      </c>
      <c r="J69" s="204">
        <f t="shared" ref="J69:J74" ca="1" si="15">IFERROR(I69/$C$3,0)</f>
        <v>10092529.792842677</v>
      </c>
      <c r="K69" s="185">
        <f>D69*$L$40-E69</f>
        <v>181665536.27116817</v>
      </c>
      <c r="L69" s="185">
        <f t="shared" ref="L69:L74" ca="1" si="16">IFERROR(K69/$C$3,0)</f>
        <v>10092529.792842677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73368374.007214993</v>
      </c>
      <c r="F70" s="187">
        <f t="shared" si="13"/>
        <v>0.17778558545423143</v>
      </c>
      <c r="G70" s="184">
        <f>D70*$H$40-E70</f>
        <v>339310605.67363608</v>
      </c>
      <c r="H70" s="184">
        <f t="shared" ca="1" si="14"/>
        <v>18850589.204090893</v>
      </c>
      <c r="I70" s="204">
        <f>D70*$J$40-E70</f>
        <v>339310605.67363608</v>
      </c>
      <c r="J70" s="204">
        <f t="shared" ca="1" si="15"/>
        <v>18850589.204090893</v>
      </c>
      <c r="K70" s="185">
        <f>D70*$L$40-E70</f>
        <v>339310605.67363608</v>
      </c>
      <c r="L70" s="185">
        <f t="shared" ca="1" si="16"/>
        <v>18850589.204090893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328832338.82330203</v>
      </c>
      <c r="F71" s="187">
        <f t="shared" si="13"/>
        <v>0.29955661574384224</v>
      </c>
      <c r="G71" s="184">
        <f>D71*$H$40-E71</f>
        <v>768897844.85754895</v>
      </c>
      <c r="H71" s="184">
        <f t="shared" ca="1" si="14"/>
        <v>42716546.936530501</v>
      </c>
      <c r="I71" s="204">
        <f>D71*$J$40-E71</f>
        <v>768897844.85754895</v>
      </c>
      <c r="J71" s="204">
        <f t="shared" ca="1" si="15"/>
        <v>42716546.936530501</v>
      </c>
      <c r="K71" s="185">
        <f>D71*$L$40-E71</f>
        <v>768897844.85754895</v>
      </c>
      <c r="L71" s="185">
        <f t="shared" ca="1" si="16"/>
        <v>42716546.936530501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489913247.24020004</v>
      </c>
      <c r="F74" s="177">
        <f t="shared" si="13"/>
        <v>0.27526506419951469</v>
      </c>
      <c r="G74" s="181">
        <f>SUM(G69:G73)</f>
        <v>1289873986.8023531</v>
      </c>
      <c r="H74" s="181">
        <f t="shared" ca="1" si="14"/>
        <v>71659665.933464065</v>
      </c>
      <c r="I74" s="186">
        <f>SUM(I69:I73)</f>
        <v>1289873986.8023531</v>
      </c>
      <c r="J74" s="186">
        <f t="shared" ca="1" si="15"/>
        <v>71659665.933464065</v>
      </c>
      <c r="K74" s="186">
        <f>SUM(K69:K73)</f>
        <v>1289873986.8023531</v>
      </c>
      <c r="L74" s="186">
        <f t="shared" ca="1" si="16"/>
        <v>71659665.933464065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254040728.39989001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72334266.420000002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9650450.2799999993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136634002.82987499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80576126.399987996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660932159.93995404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134401530.21975499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6144143.9800000004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5486486.6299999999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295469365.43954599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64403707.439960003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8192216.3937999997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58440541.710000001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1786705726.0827682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174</v>
      </c>
      <c r="C40" s="266"/>
      <c r="D40" s="26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176</v>
      </c>
      <c r="C40" s="266"/>
      <c r="D40" s="26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2026-10-12T00:52:50Z</dcterms:modified>
  <dc:language>en-US</dc:language>
</cp:coreProperties>
</file>