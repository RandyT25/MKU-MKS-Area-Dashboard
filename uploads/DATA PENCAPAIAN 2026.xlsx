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980" tabRatio="500" firstSheet="2" activeTab="8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9" i="14" l="1"/>
  <c r="L49" i="14"/>
  <c r="M49" i="14"/>
  <c r="N49" i="14"/>
  <c r="O49" i="14"/>
  <c r="P49" i="14"/>
  <c r="G68" i="14"/>
  <c r="H68" i="14"/>
  <c r="I68" i="14"/>
  <c r="J68" i="14"/>
  <c r="K68" i="14"/>
  <c r="L68" i="14"/>
  <c r="G42" i="14"/>
  <c r="H42" i="14"/>
  <c r="I42" i="14"/>
  <c r="J42" i="14"/>
  <c r="K42" i="14"/>
  <c r="L42" i="14"/>
  <c r="K49" i="13"/>
  <c r="L49" i="13"/>
  <c r="M49" i="13"/>
  <c r="N49" i="13"/>
  <c r="O49" i="13"/>
  <c r="P49" i="13"/>
  <c r="G68" i="13"/>
  <c r="H68" i="13"/>
  <c r="I68" i="13"/>
  <c r="J68" i="13"/>
  <c r="K68" i="13"/>
  <c r="L68" i="13"/>
  <c r="G42" i="13"/>
  <c r="H42" i="13"/>
  <c r="I42" i="13"/>
  <c r="J42" i="13"/>
  <c r="K42" i="13"/>
  <c r="L42" i="13"/>
  <c r="K49" i="12"/>
  <c r="L49" i="12"/>
  <c r="M49" i="12"/>
  <c r="N49" i="12"/>
  <c r="O49" i="12"/>
  <c r="P49" i="12"/>
  <c r="G68" i="12"/>
  <c r="H68" i="12"/>
  <c r="I68" i="12"/>
  <c r="J68" i="12"/>
  <c r="K68" i="12"/>
  <c r="L68" i="12"/>
  <c r="G42" i="12"/>
  <c r="H42" i="12"/>
  <c r="I42" i="12"/>
  <c r="J42" i="12"/>
  <c r="K42" i="12"/>
  <c r="L42" i="12"/>
  <c r="K51" i="8"/>
  <c r="K65" i="8" s="1"/>
  <c r="M51" i="8"/>
  <c r="O51" i="8"/>
  <c r="K52" i="8"/>
  <c r="M52" i="8"/>
  <c r="M65" i="8" s="1"/>
  <c r="O52" i="8"/>
  <c r="K53" i="8"/>
  <c r="M53" i="8"/>
  <c r="O53" i="8"/>
  <c r="K54" i="8"/>
  <c r="M54" i="8"/>
  <c r="O54" i="8"/>
  <c r="K55" i="8"/>
  <c r="M55" i="8"/>
  <c r="O55" i="8"/>
  <c r="K56" i="8"/>
  <c r="M56" i="8"/>
  <c r="O56" i="8"/>
  <c r="K57" i="8"/>
  <c r="M57" i="8"/>
  <c r="O57" i="8"/>
  <c r="K58" i="8"/>
  <c r="M58" i="8"/>
  <c r="O58" i="8"/>
  <c r="K59" i="8"/>
  <c r="M59" i="8"/>
  <c r="O59" i="8"/>
  <c r="K60" i="8"/>
  <c r="M60" i="8"/>
  <c r="O60" i="8"/>
  <c r="K61" i="8"/>
  <c r="M61" i="8"/>
  <c r="O61" i="8"/>
  <c r="K62" i="8"/>
  <c r="M62" i="8"/>
  <c r="O62" i="8"/>
  <c r="K63" i="8"/>
  <c r="M63" i="8"/>
  <c r="O63" i="8"/>
  <c r="K64" i="8"/>
  <c r="M64" i="8"/>
  <c r="O64" i="8"/>
  <c r="K49" i="8"/>
  <c r="L49" i="8"/>
  <c r="M49" i="8"/>
  <c r="N49" i="8"/>
  <c r="O49" i="8"/>
  <c r="P49" i="8"/>
  <c r="G69" i="8"/>
  <c r="G74" i="8" s="1"/>
  <c r="I69" i="8"/>
  <c r="K69" i="8"/>
  <c r="G70" i="8"/>
  <c r="I70" i="8"/>
  <c r="K70" i="8"/>
  <c r="G71" i="8"/>
  <c r="I71" i="8"/>
  <c r="I74" i="8" s="1"/>
  <c r="K71" i="8"/>
  <c r="G72" i="8"/>
  <c r="I72" i="8"/>
  <c r="K72" i="8"/>
  <c r="K74" i="8" s="1"/>
  <c r="G73" i="8"/>
  <c r="I73" i="8"/>
  <c r="K73" i="8"/>
  <c r="G68" i="8"/>
  <c r="H68" i="8"/>
  <c r="I68" i="8"/>
  <c r="J68" i="8"/>
  <c r="K68" i="8"/>
  <c r="L68" i="8"/>
  <c r="I46" i="8"/>
  <c r="G43" i="8"/>
  <c r="I43" i="8"/>
  <c r="K43" i="8"/>
  <c r="G44" i="8"/>
  <c r="I44" i="8"/>
  <c r="K44" i="8"/>
  <c r="G45" i="8"/>
  <c r="G46" i="8" s="1"/>
  <c r="I45" i="8"/>
  <c r="K45" i="8"/>
  <c r="G42" i="8"/>
  <c r="H42" i="8"/>
  <c r="I42" i="8"/>
  <c r="J42" i="8"/>
  <c r="K42" i="8"/>
  <c r="L42" i="8"/>
  <c r="K51" i="7"/>
  <c r="K65" i="7" s="1"/>
  <c r="M51" i="7"/>
  <c r="O51" i="7"/>
  <c r="K52" i="7"/>
  <c r="M52" i="7"/>
  <c r="O52" i="7"/>
  <c r="K53" i="7"/>
  <c r="M53" i="7"/>
  <c r="M65" i="7" s="1"/>
  <c r="O53" i="7"/>
  <c r="K54" i="7"/>
  <c r="M54" i="7"/>
  <c r="O54" i="7"/>
  <c r="O65" i="7" s="1"/>
  <c r="K55" i="7"/>
  <c r="M55" i="7"/>
  <c r="O55" i="7"/>
  <c r="K56" i="7"/>
  <c r="M56" i="7"/>
  <c r="O56" i="7"/>
  <c r="K57" i="7"/>
  <c r="M57" i="7"/>
  <c r="O57" i="7"/>
  <c r="K58" i="7"/>
  <c r="M58" i="7"/>
  <c r="O58" i="7"/>
  <c r="K59" i="7"/>
  <c r="M59" i="7"/>
  <c r="O59" i="7"/>
  <c r="K60" i="7"/>
  <c r="M60" i="7"/>
  <c r="O60" i="7"/>
  <c r="K61" i="7"/>
  <c r="M61" i="7"/>
  <c r="O61" i="7"/>
  <c r="K62" i="7"/>
  <c r="M62" i="7"/>
  <c r="O62" i="7"/>
  <c r="K63" i="7"/>
  <c r="M63" i="7"/>
  <c r="O63" i="7"/>
  <c r="K64" i="7"/>
  <c r="M64" i="7"/>
  <c r="O64" i="7"/>
  <c r="K49" i="7"/>
  <c r="L49" i="7"/>
  <c r="M49" i="7"/>
  <c r="N49" i="7"/>
  <c r="O49" i="7"/>
  <c r="P49" i="7"/>
  <c r="G69" i="7"/>
  <c r="I69" i="7"/>
  <c r="K69" i="7"/>
  <c r="G70" i="7"/>
  <c r="I70" i="7"/>
  <c r="K70" i="7"/>
  <c r="G71" i="7"/>
  <c r="I71" i="7"/>
  <c r="K71" i="7"/>
  <c r="G72" i="7"/>
  <c r="I72" i="7"/>
  <c r="K72" i="7"/>
  <c r="G73" i="7"/>
  <c r="I73" i="7"/>
  <c r="K73" i="7"/>
  <c r="G68" i="7"/>
  <c r="H68" i="7"/>
  <c r="I68" i="7"/>
  <c r="J68" i="7"/>
  <c r="K68" i="7"/>
  <c r="L68" i="7"/>
  <c r="I46" i="7"/>
  <c r="G43" i="7"/>
  <c r="I43" i="7"/>
  <c r="K43" i="7"/>
  <c r="G44" i="7"/>
  <c r="I44" i="7"/>
  <c r="K44" i="7"/>
  <c r="G45" i="7"/>
  <c r="I45" i="7"/>
  <c r="K45" i="7"/>
  <c r="G42" i="7"/>
  <c r="H42" i="7"/>
  <c r="I42" i="7"/>
  <c r="J42" i="7"/>
  <c r="K42" i="7"/>
  <c r="L42" i="7"/>
  <c r="K51" i="6"/>
  <c r="M51" i="6"/>
  <c r="O51" i="6"/>
  <c r="K52" i="6"/>
  <c r="M52" i="6"/>
  <c r="O52" i="6"/>
  <c r="K53" i="6"/>
  <c r="M53" i="6"/>
  <c r="O53" i="6"/>
  <c r="K54" i="6"/>
  <c r="M54" i="6"/>
  <c r="O54" i="6"/>
  <c r="K55" i="6"/>
  <c r="M55" i="6"/>
  <c r="O55" i="6"/>
  <c r="K56" i="6"/>
  <c r="M56" i="6"/>
  <c r="O56" i="6"/>
  <c r="K57" i="6"/>
  <c r="M57" i="6"/>
  <c r="O57" i="6"/>
  <c r="K58" i="6"/>
  <c r="M58" i="6"/>
  <c r="O58" i="6"/>
  <c r="K59" i="6"/>
  <c r="M59" i="6"/>
  <c r="O59" i="6"/>
  <c r="K60" i="6"/>
  <c r="M60" i="6"/>
  <c r="O60" i="6"/>
  <c r="K61" i="6"/>
  <c r="M61" i="6"/>
  <c r="O61" i="6"/>
  <c r="K62" i="6"/>
  <c r="M62" i="6"/>
  <c r="O62" i="6"/>
  <c r="K63" i="6"/>
  <c r="M63" i="6"/>
  <c r="O63" i="6"/>
  <c r="K64" i="6"/>
  <c r="M64" i="6"/>
  <c r="O64" i="6"/>
  <c r="K49" i="6"/>
  <c r="L49" i="6"/>
  <c r="M49" i="6"/>
  <c r="N49" i="6"/>
  <c r="O49" i="6"/>
  <c r="P49" i="6"/>
  <c r="K74" i="6"/>
  <c r="G69" i="6"/>
  <c r="I69" i="6"/>
  <c r="K69" i="6"/>
  <c r="G70" i="6"/>
  <c r="I70" i="6"/>
  <c r="K70" i="6"/>
  <c r="G71" i="6"/>
  <c r="I71" i="6"/>
  <c r="K71" i="6"/>
  <c r="G72" i="6"/>
  <c r="I72" i="6"/>
  <c r="K72" i="6"/>
  <c r="G73" i="6"/>
  <c r="I73" i="6"/>
  <c r="K73" i="6"/>
  <c r="G68" i="6"/>
  <c r="H68" i="6"/>
  <c r="I68" i="6"/>
  <c r="J68" i="6"/>
  <c r="K68" i="6"/>
  <c r="L68" i="6"/>
  <c r="I46" i="6"/>
  <c r="G43" i="6"/>
  <c r="I43" i="6"/>
  <c r="K43" i="6"/>
  <c r="G44" i="6"/>
  <c r="I44" i="6"/>
  <c r="K44" i="6"/>
  <c r="G45" i="6"/>
  <c r="I45" i="6"/>
  <c r="K45" i="6"/>
  <c r="G42" i="6"/>
  <c r="H42" i="6"/>
  <c r="I42" i="6"/>
  <c r="J42" i="6"/>
  <c r="K42" i="6"/>
  <c r="L42" i="6"/>
  <c r="K65" i="11"/>
  <c r="K51" i="11"/>
  <c r="M51" i="11"/>
  <c r="M65" i="11" s="1"/>
  <c r="O51" i="11"/>
  <c r="K52" i="11"/>
  <c r="M52" i="11"/>
  <c r="O52" i="11"/>
  <c r="K53" i="11"/>
  <c r="M53" i="11"/>
  <c r="O53" i="11"/>
  <c r="K54" i="11"/>
  <c r="M54" i="11"/>
  <c r="O54" i="11"/>
  <c r="K55" i="11"/>
  <c r="M55" i="11"/>
  <c r="O55" i="11"/>
  <c r="K56" i="11"/>
  <c r="M56" i="11"/>
  <c r="O56" i="11"/>
  <c r="K57" i="11"/>
  <c r="M57" i="11"/>
  <c r="O57" i="11"/>
  <c r="K58" i="11"/>
  <c r="M58" i="11"/>
  <c r="O58" i="11"/>
  <c r="K59" i="11"/>
  <c r="M59" i="11"/>
  <c r="O59" i="11"/>
  <c r="K60" i="11"/>
  <c r="M60" i="11"/>
  <c r="O60" i="11"/>
  <c r="K61" i="11"/>
  <c r="M61" i="11"/>
  <c r="O61" i="11"/>
  <c r="K62" i="11"/>
  <c r="M62" i="11"/>
  <c r="O62" i="11"/>
  <c r="K63" i="11"/>
  <c r="M63" i="11"/>
  <c r="O63" i="11"/>
  <c r="K64" i="11"/>
  <c r="M64" i="11"/>
  <c r="O64" i="11"/>
  <c r="K49" i="11"/>
  <c r="L49" i="11"/>
  <c r="M49" i="11"/>
  <c r="N49" i="11"/>
  <c r="O49" i="11"/>
  <c r="P49" i="11"/>
  <c r="K65" i="10"/>
  <c r="K51" i="10"/>
  <c r="M51" i="10"/>
  <c r="M65" i="10" s="1"/>
  <c r="O51" i="10"/>
  <c r="K52" i="10"/>
  <c r="M52" i="10"/>
  <c r="O52" i="10"/>
  <c r="K53" i="10"/>
  <c r="M53" i="10"/>
  <c r="O53" i="10"/>
  <c r="K54" i="10"/>
  <c r="M54" i="10"/>
  <c r="O54" i="10"/>
  <c r="K55" i="10"/>
  <c r="M55" i="10"/>
  <c r="O55" i="10"/>
  <c r="K56" i="10"/>
  <c r="M56" i="10"/>
  <c r="O56" i="10"/>
  <c r="K57" i="10"/>
  <c r="M57" i="10"/>
  <c r="O57" i="10"/>
  <c r="K58" i="10"/>
  <c r="M58" i="10"/>
  <c r="O58" i="10"/>
  <c r="K59" i="10"/>
  <c r="M59" i="10"/>
  <c r="O59" i="10"/>
  <c r="K60" i="10"/>
  <c r="M60" i="10"/>
  <c r="O60" i="10"/>
  <c r="K61" i="10"/>
  <c r="M61" i="10"/>
  <c r="O61" i="10"/>
  <c r="K62" i="10"/>
  <c r="M62" i="10"/>
  <c r="O62" i="10"/>
  <c r="K63" i="10"/>
  <c r="M63" i="10"/>
  <c r="O63" i="10"/>
  <c r="K64" i="10"/>
  <c r="M64" i="10"/>
  <c r="O64" i="10"/>
  <c r="K49" i="10"/>
  <c r="L49" i="10"/>
  <c r="M49" i="10"/>
  <c r="N49" i="10"/>
  <c r="O49" i="10"/>
  <c r="P49" i="10"/>
  <c r="G69" i="11"/>
  <c r="I69" i="11"/>
  <c r="K69" i="11"/>
  <c r="G70" i="11"/>
  <c r="G74" i="11" s="1"/>
  <c r="I70" i="11"/>
  <c r="K70" i="11"/>
  <c r="G71" i="11"/>
  <c r="I71" i="11"/>
  <c r="K71" i="11"/>
  <c r="G72" i="11"/>
  <c r="I72" i="11"/>
  <c r="K72" i="11"/>
  <c r="G73" i="11"/>
  <c r="I73" i="11"/>
  <c r="K73" i="11"/>
  <c r="G68" i="11"/>
  <c r="H68" i="11"/>
  <c r="I68" i="11"/>
  <c r="J68" i="11"/>
  <c r="K68" i="11"/>
  <c r="L68" i="11"/>
  <c r="I46" i="11"/>
  <c r="G43" i="11"/>
  <c r="G46" i="11" s="1"/>
  <c r="I43" i="11"/>
  <c r="K43" i="11"/>
  <c r="G44" i="11"/>
  <c r="I44" i="11"/>
  <c r="K44" i="11"/>
  <c r="G45" i="11"/>
  <c r="I45" i="11"/>
  <c r="K45" i="11"/>
  <c r="G42" i="11"/>
  <c r="H42" i="11"/>
  <c r="I42" i="11"/>
  <c r="J42" i="11"/>
  <c r="K42" i="11"/>
  <c r="L42" i="11"/>
  <c r="G69" i="10"/>
  <c r="I69" i="10"/>
  <c r="K69" i="10"/>
  <c r="G70" i="10"/>
  <c r="G74" i="10" s="1"/>
  <c r="I70" i="10"/>
  <c r="K70" i="10"/>
  <c r="G71" i="10"/>
  <c r="I71" i="10"/>
  <c r="K71" i="10"/>
  <c r="G72" i="10"/>
  <c r="I72" i="10"/>
  <c r="K72" i="10"/>
  <c r="K74" i="10" s="1"/>
  <c r="G73" i="10"/>
  <c r="I73" i="10"/>
  <c r="K73" i="10"/>
  <c r="G68" i="10"/>
  <c r="H68" i="10"/>
  <c r="I68" i="10"/>
  <c r="J68" i="10"/>
  <c r="K68" i="10"/>
  <c r="L68" i="10"/>
  <c r="I46" i="10"/>
  <c r="G43" i="10"/>
  <c r="I43" i="10"/>
  <c r="K43" i="10"/>
  <c r="G44" i="10"/>
  <c r="I44" i="10"/>
  <c r="K44" i="10"/>
  <c r="G45" i="10"/>
  <c r="I45" i="10"/>
  <c r="K45" i="10"/>
  <c r="G42" i="10"/>
  <c r="H42" i="10"/>
  <c r="I42" i="10"/>
  <c r="J42" i="10"/>
  <c r="K42" i="10"/>
  <c r="L42" i="10"/>
  <c r="P49" i="9"/>
  <c r="O49" i="9"/>
  <c r="N49" i="9"/>
  <c r="M49" i="9"/>
  <c r="L49" i="9"/>
  <c r="K49" i="9"/>
  <c r="L68" i="9"/>
  <c r="K68" i="9"/>
  <c r="J68" i="9"/>
  <c r="I68" i="9"/>
  <c r="H68" i="9"/>
  <c r="G68" i="9"/>
  <c r="L42" i="9"/>
  <c r="K42" i="9"/>
  <c r="J42" i="9"/>
  <c r="I42" i="9"/>
  <c r="H42" i="9"/>
  <c r="G42" i="9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M20" i="14"/>
  <c r="M21" i="14" s="1"/>
  <c r="N19" i="14"/>
  <c r="H64" i="14" s="1"/>
  <c r="M19" i="14"/>
  <c r="G64" i="14" s="1"/>
  <c r="N18" i="14"/>
  <c r="M18" i="14"/>
  <c r="G63" i="14" s="1"/>
  <c r="N17" i="14"/>
  <c r="M17" i="14"/>
  <c r="G62" i="14" s="1"/>
  <c r="N16" i="14"/>
  <c r="H61" i="14" s="1"/>
  <c r="M16" i="14"/>
  <c r="G61" i="14" s="1"/>
  <c r="N15" i="14"/>
  <c r="H60" i="14" s="1"/>
  <c r="M15" i="14"/>
  <c r="G60" i="14" s="1"/>
  <c r="N14" i="14"/>
  <c r="H58" i="14" s="1"/>
  <c r="M14" i="14"/>
  <c r="N13" i="14"/>
  <c r="M13" i="14"/>
  <c r="G57" i="14" s="1"/>
  <c r="N12" i="14"/>
  <c r="H56" i="14" s="1"/>
  <c r="M12" i="14"/>
  <c r="G56" i="14" s="1"/>
  <c r="I56" i="14" s="1"/>
  <c r="N11" i="14"/>
  <c r="H55" i="14" s="1"/>
  <c r="M11" i="14"/>
  <c r="N10" i="14"/>
  <c r="H54" i="14" s="1"/>
  <c r="M10" i="14"/>
  <c r="G54" i="14" s="1"/>
  <c r="N9" i="14"/>
  <c r="H52" i="14" s="1"/>
  <c r="M9" i="14"/>
  <c r="G52" i="14" s="1"/>
  <c r="N8" i="14"/>
  <c r="H51" i="14" s="1"/>
  <c r="M8" i="14"/>
  <c r="G51" i="14" s="1"/>
  <c r="N7" i="14"/>
  <c r="M7" i="14"/>
  <c r="H63" i="14"/>
  <c r="H62" i="14"/>
  <c r="H59" i="14"/>
  <c r="G59" i="14"/>
  <c r="G58" i="14"/>
  <c r="H57" i="14"/>
  <c r="G55" i="14"/>
  <c r="H53" i="14"/>
  <c r="G53" i="14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F10" i="14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M20" i="13"/>
  <c r="M21" i="13" s="1"/>
  <c r="N19" i="13"/>
  <c r="H64" i="13" s="1"/>
  <c r="M19" i="13"/>
  <c r="G64" i="13" s="1"/>
  <c r="N18" i="13"/>
  <c r="M18" i="13"/>
  <c r="G63" i="13" s="1"/>
  <c r="I63" i="13" s="1"/>
  <c r="N17" i="13"/>
  <c r="M17" i="13"/>
  <c r="G62" i="13" s="1"/>
  <c r="N16" i="13"/>
  <c r="H61" i="13" s="1"/>
  <c r="M16" i="13"/>
  <c r="G61" i="13" s="1"/>
  <c r="N15" i="13"/>
  <c r="M15" i="13"/>
  <c r="G60" i="13" s="1"/>
  <c r="N14" i="13"/>
  <c r="H58" i="13" s="1"/>
  <c r="M14" i="13"/>
  <c r="G58" i="13" s="1"/>
  <c r="N13" i="13"/>
  <c r="H57" i="13" s="1"/>
  <c r="M13" i="13"/>
  <c r="G57" i="13" s="1"/>
  <c r="N12" i="13"/>
  <c r="H56" i="13" s="1"/>
  <c r="M12" i="13"/>
  <c r="G56" i="13" s="1"/>
  <c r="N11" i="13"/>
  <c r="H55" i="13" s="1"/>
  <c r="M11" i="13"/>
  <c r="N10" i="13"/>
  <c r="H54" i="13" s="1"/>
  <c r="M10" i="13"/>
  <c r="G54" i="13" s="1"/>
  <c r="N9" i="13"/>
  <c r="M9" i="13"/>
  <c r="N8" i="13"/>
  <c r="H51" i="13" s="1"/>
  <c r="M8" i="13"/>
  <c r="G51" i="13" s="1"/>
  <c r="N7" i="13"/>
  <c r="M7" i="13"/>
  <c r="H63" i="13"/>
  <c r="H62" i="13"/>
  <c r="H60" i="13"/>
  <c r="H59" i="13"/>
  <c r="G59" i="13"/>
  <c r="G55" i="13"/>
  <c r="H53" i="13"/>
  <c r="G53" i="13"/>
  <c r="H52" i="13"/>
  <c r="G52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M20" i="12"/>
  <c r="M21" i="12" s="1"/>
  <c r="N19" i="12"/>
  <c r="H64" i="12" s="1"/>
  <c r="M19" i="12"/>
  <c r="N18" i="12"/>
  <c r="M18" i="12"/>
  <c r="G63" i="12" s="1"/>
  <c r="N17" i="12"/>
  <c r="M17" i="12"/>
  <c r="G62" i="12" s="1"/>
  <c r="I62" i="12" s="1"/>
  <c r="N16" i="12"/>
  <c r="H61" i="12" s="1"/>
  <c r="M16" i="12"/>
  <c r="G61" i="12" s="1"/>
  <c r="N15" i="12"/>
  <c r="H60" i="12" s="1"/>
  <c r="M15" i="12"/>
  <c r="N14" i="12"/>
  <c r="H58" i="12" s="1"/>
  <c r="M14" i="12"/>
  <c r="G58" i="12" s="1"/>
  <c r="I58" i="12" s="1"/>
  <c r="N13" i="12"/>
  <c r="M13" i="12"/>
  <c r="G57" i="12" s="1"/>
  <c r="N12" i="12"/>
  <c r="M12" i="12"/>
  <c r="G56" i="12" s="1"/>
  <c r="N11" i="12"/>
  <c r="H55" i="12" s="1"/>
  <c r="M11" i="12"/>
  <c r="G55" i="12" s="1"/>
  <c r="N10" i="12"/>
  <c r="H54" i="12" s="1"/>
  <c r="M10" i="12"/>
  <c r="G54" i="12" s="1"/>
  <c r="N9" i="12"/>
  <c r="M9" i="12"/>
  <c r="N8" i="12"/>
  <c r="H51" i="12" s="1"/>
  <c r="M8" i="12"/>
  <c r="G51" i="12" s="1"/>
  <c r="N7" i="12"/>
  <c r="M7" i="12"/>
  <c r="G64" i="12"/>
  <c r="H63" i="12"/>
  <c r="H62" i="12"/>
  <c r="G60" i="12"/>
  <c r="I60" i="12" s="1"/>
  <c r="H59" i="12"/>
  <c r="G59" i="12"/>
  <c r="H57" i="12"/>
  <c r="H56" i="12"/>
  <c r="H53" i="12"/>
  <c r="G53" i="12"/>
  <c r="H52" i="12"/>
  <c r="G52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M20" i="11"/>
  <c r="M21" i="11" s="1"/>
  <c r="N19" i="11"/>
  <c r="H64" i="11" s="1"/>
  <c r="M19" i="11"/>
  <c r="G64" i="11" s="1"/>
  <c r="N18" i="11"/>
  <c r="H63" i="11" s="1"/>
  <c r="M18" i="11"/>
  <c r="N17" i="11"/>
  <c r="H62" i="11" s="1"/>
  <c r="M17" i="11"/>
  <c r="N16" i="11"/>
  <c r="H61" i="11" s="1"/>
  <c r="M16" i="11"/>
  <c r="G61" i="11" s="1"/>
  <c r="I61" i="11" s="1"/>
  <c r="N15" i="11"/>
  <c r="M15" i="11"/>
  <c r="G60" i="11" s="1"/>
  <c r="N14" i="11"/>
  <c r="M14" i="11"/>
  <c r="G58" i="11" s="1"/>
  <c r="N13" i="11"/>
  <c r="H57" i="11" s="1"/>
  <c r="M13" i="11"/>
  <c r="N12" i="11"/>
  <c r="M12" i="11"/>
  <c r="G56" i="11" s="1"/>
  <c r="N11" i="11"/>
  <c r="M11" i="11"/>
  <c r="N10" i="11"/>
  <c r="H54" i="11" s="1"/>
  <c r="M10" i="11"/>
  <c r="G54" i="11" s="1"/>
  <c r="N9" i="11"/>
  <c r="H52" i="11" s="1"/>
  <c r="M9" i="11"/>
  <c r="G52" i="11" s="1"/>
  <c r="N8" i="11"/>
  <c r="H51" i="11" s="1"/>
  <c r="M8" i="11"/>
  <c r="G51" i="11" s="1"/>
  <c r="I51" i="11" s="1"/>
  <c r="N7" i="11"/>
  <c r="M7" i="11"/>
  <c r="G63" i="11"/>
  <c r="G62" i="11"/>
  <c r="H60" i="11"/>
  <c r="H59" i="11"/>
  <c r="G59" i="11"/>
  <c r="I59" i="11" s="1"/>
  <c r="H58" i="11"/>
  <c r="G57" i="11"/>
  <c r="H56" i="11"/>
  <c r="H55" i="11"/>
  <c r="G55" i="11"/>
  <c r="H53" i="11"/>
  <c r="G53" i="1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M20" i="10"/>
  <c r="M21" i="10" s="1"/>
  <c r="N19" i="10"/>
  <c r="H64" i="10" s="1"/>
  <c r="M19" i="10"/>
  <c r="G64" i="10" s="1"/>
  <c r="N18" i="10"/>
  <c r="M18" i="10"/>
  <c r="G63" i="10" s="1"/>
  <c r="N17" i="10"/>
  <c r="M17" i="10"/>
  <c r="G62" i="10" s="1"/>
  <c r="I62" i="10" s="1"/>
  <c r="N16" i="10"/>
  <c r="M16" i="10"/>
  <c r="G61" i="10" s="1"/>
  <c r="N15" i="10"/>
  <c r="H60" i="10" s="1"/>
  <c r="M15" i="10"/>
  <c r="G60" i="10" s="1"/>
  <c r="I60" i="10" s="1"/>
  <c r="N14" i="10"/>
  <c r="H58" i="10" s="1"/>
  <c r="M14" i="10"/>
  <c r="N13" i="10"/>
  <c r="M13" i="10"/>
  <c r="G57" i="10" s="1"/>
  <c r="I57" i="10" s="1"/>
  <c r="N12" i="10"/>
  <c r="M12" i="10"/>
  <c r="G56" i="10" s="1"/>
  <c r="N11" i="10"/>
  <c r="H55" i="10" s="1"/>
  <c r="M11" i="10"/>
  <c r="G55" i="10" s="1"/>
  <c r="N10" i="10"/>
  <c r="H54" i="10" s="1"/>
  <c r="M10" i="10"/>
  <c r="G54" i="10" s="1"/>
  <c r="N9" i="10"/>
  <c r="H52" i="10" s="1"/>
  <c r="M9" i="10"/>
  <c r="G52" i="10" s="1"/>
  <c r="I52" i="10" s="1"/>
  <c r="N8" i="10"/>
  <c r="M8" i="10"/>
  <c r="G51" i="10" s="1"/>
  <c r="N7" i="10"/>
  <c r="M7" i="10"/>
  <c r="H63" i="10"/>
  <c r="H62" i="10"/>
  <c r="H61" i="10"/>
  <c r="H59" i="10"/>
  <c r="G59" i="10"/>
  <c r="G58" i="10"/>
  <c r="I58" i="10" s="1"/>
  <c r="H57" i="10"/>
  <c r="H56" i="10"/>
  <c r="H53" i="10"/>
  <c r="G53" i="10"/>
  <c r="H51" i="10"/>
  <c r="F27" i="10"/>
  <c r="F26" i="10"/>
  <c r="F25" i="10"/>
  <c r="F24" i="10"/>
  <c r="F23" i="10"/>
  <c r="F2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D93" i="9"/>
  <c r="D90" i="9"/>
  <c r="D88" i="9"/>
  <c r="D87" i="9"/>
  <c r="D86" i="9"/>
  <c r="D85" i="9"/>
  <c r="D83" i="9"/>
  <c r="D82" i="9"/>
  <c r="D81" i="9"/>
  <c r="D8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92" i="9"/>
  <c r="D91" i="9"/>
  <c r="D89" i="9"/>
  <c r="D84" i="9"/>
  <c r="G74" i="6" l="1"/>
  <c r="I57" i="14"/>
  <c r="I57" i="12"/>
  <c r="I58" i="14"/>
  <c r="I53" i="13"/>
  <c r="I55" i="14"/>
  <c r="I59" i="14"/>
  <c r="I52" i="12"/>
  <c r="I55" i="12"/>
  <c r="I53" i="14"/>
  <c r="I51" i="12"/>
  <c r="I56" i="12"/>
  <c r="I61" i="12"/>
  <c r="I59" i="13"/>
  <c r="I51" i="13"/>
  <c r="I54" i="14"/>
  <c r="I63" i="14"/>
  <c r="G74" i="7"/>
  <c r="I74" i="7"/>
  <c r="K74" i="7"/>
  <c r="K46" i="6"/>
  <c r="M65" i="6"/>
  <c r="K65" i="6"/>
  <c r="K46" i="7"/>
  <c r="O65" i="6"/>
  <c r="G46" i="6"/>
  <c r="I74" i="6"/>
  <c r="G46" i="7"/>
  <c r="K46" i="8"/>
  <c r="O65" i="8"/>
  <c r="O65" i="10"/>
  <c r="O65" i="11"/>
  <c r="K46" i="10"/>
  <c r="K46" i="11"/>
  <c r="K74" i="11"/>
  <c r="G46" i="10"/>
  <c r="I74" i="10"/>
  <c r="I74" i="11"/>
  <c r="I53" i="11"/>
  <c r="I53" i="10"/>
  <c r="I55" i="11"/>
  <c r="I52" i="11"/>
  <c r="I62" i="11"/>
  <c r="I60" i="14"/>
  <c r="I63" i="11"/>
  <c r="I56" i="11"/>
  <c r="I56" i="13"/>
  <c r="I62" i="13"/>
  <c r="I54" i="11"/>
  <c r="I58" i="11"/>
  <c r="I52" i="13"/>
  <c r="I51" i="14"/>
  <c r="I54" i="13"/>
  <c r="I58" i="13"/>
  <c r="I52" i="14"/>
  <c r="I61" i="14"/>
  <c r="I64" i="10"/>
  <c r="I60" i="11"/>
  <c r="I64" i="11"/>
  <c r="I53" i="12"/>
  <c r="I64" i="12"/>
  <c r="I63" i="10"/>
  <c r="I59" i="10"/>
  <c r="I59" i="12"/>
  <c r="I60" i="13"/>
  <c r="I64" i="13"/>
  <c r="I62" i="14"/>
  <c r="I63" i="12"/>
  <c r="I55" i="10"/>
  <c r="I55" i="13"/>
  <c r="I51" i="10"/>
  <c r="I56" i="10"/>
  <c r="I61" i="10"/>
  <c r="I57" i="13"/>
  <c r="I57" i="11"/>
  <c r="I54" i="12"/>
  <c r="I54" i="10"/>
  <c r="I61" i="13"/>
  <c r="I64" i="14"/>
  <c r="D94" i="9"/>
  <c r="D84" i="8"/>
  <c r="D94" i="8" s="1"/>
  <c r="D92" i="7" l="1"/>
  <c r="D93" i="7"/>
  <c r="D85" i="7"/>
  <c r="D91" i="7"/>
  <c r="D90" i="7"/>
  <c r="D89" i="7"/>
  <c r="D88" i="7"/>
  <c r="D87" i="7"/>
  <c r="D86" i="7"/>
  <c r="D84" i="7"/>
  <c r="D83" i="7"/>
  <c r="D82" i="7"/>
  <c r="D81" i="7"/>
  <c r="D80" i="7"/>
  <c r="D80" i="6"/>
  <c r="D8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N51" i="7" l="1"/>
  <c r="P52" i="7"/>
  <c r="L54" i="7"/>
  <c r="N55" i="7"/>
  <c r="P56" i="7"/>
  <c r="L58" i="7"/>
  <c r="N59" i="7"/>
  <c r="P60" i="7"/>
  <c r="L62" i="7"/>
  <c r="N63" i="7"/>
  <c r="P64" i="7"/>
  <c r="J69" i="7"/>
  <c r="L70" i="7"/>
  <c r="H72" i="7"/>
  <c r="J73" i="7"/>
  <c r="H43" i="7"/>
  <c r="J44" i="7"/>
  <c r="L45" i="7"/>
  <c r="H71" i="7"/>
  <c r="L73" i="7"/>
  <c r="J43" i="7"/>
  <c r="P63" i="7"/>
  <c r="L69" i="7"/>
  <c r="J72" i="7"/>
  <c r="L44" i="7"/>
  <c r="P51" i="7"/>
  <c r="L53" i="7"/>
  <c r="N54" i="7"/>
  <c r="P55" i="7"/>
  <c r="L57" i="7"/>
  <c r="N58" i="7"/>
  <c r="P59" i="7"/>
  <c r="L61" i="7"/>
  <c r="N62" i="7"/>
  <c r="L51" i="7"/>
  <c r="N52" i="7"/>
  <c r="P53" i="7"/>
  <c r="L55" i="7"/>
  <c r="N56" i="7"/>
  <c r="P57" i="7"/>
  <c r="L59" i="7"/>
  <c r="N60" i="7"/>
  <c r="P61" i="7"/>
  <c r="L63" i="7"/>
  <c r="N64" i="7"/>
  <c r="L71" i="7"/>
  <c r="J45" i="7"/>
  <c r="H44" i="7"/>
  <c r="H73" i="7"/>
  <c r="H69" i="7"/>
  <c r="J70" i="7"/>
  <c r="L72" i="7"/>
  <c r="N65" i="7"/>
  <c r="N61" i="7"/>
  <c r="L52" i="7"/>
  <c r="L64" i="7"/>
  <c r="P58" i="7"/>
  <c r="J71" i="7"/>
  <c r="L65" i="7"/>
  <c r="H45" i="7"/>
  <c r="P62" i="7"/>
  <c r="N57" i="7"/>
  <c r="N53" i="7"/>
  <c r="J46" i="7"/>
  <c r="L56" i="7"/>
  <c r="L43" i="7"/>
  <c r="L60" i="7"/>
  <c r="P54" i="7"/>
  <c r="H70" i="7"/>
  <c r="P65" i="7"/>
  <c r="H46" i="7"/>
  <c r="L74" i="7"/>
  <c r="L46" i="7"/>
  <c r="H74" i="7"/>
  <c r="J74" i="7"/>
  <c r="N51" i="6"/>
  <c r="P52" i="6"/>
  <c r="L54" i="6"/>
  <c r="N55" i="6"/>
  <c r="P56" i="6"/>
  <c r="L58" i="6"/>
  <c r="N59" i="6"/>
  <c r="P60" i="6"/>
  <c r="L62" i="6"/>
  <c r="N63" i="6"/>
  <c r="P64" i="6"/>
  <c r="J69" i="6"/>
  <c r="L70" i="6"/>
  <c r="H72" i="6"/>
  <c r="J73" i="6"/>
  <c r="H43" i="6"/>
  <c r="J44" i="6"/>
  <c r="L45" i="6"/>
  <c r="P59" i="6"/>
  <c r="H71" i="6"/>
  <c r="J72" i="6"/>
  <c r="L73" i="6"/>
  <c r="J43" i="6"/>
  <c r="L44" i="6"/>
  <c r="L53" i="6"/>
  <c r="N54" i="6"/>
  <c r="P55" i="6"/>
  <c r="L57" i="6"/>
  <c r="N58" i="6"/>
  <c r="L61" i="6"/>
  <c r="N62" i="6"/>
  <c r="P63" i="6"/>
  <c r="P51" i="6"/>
  <c r="L69" i="6"/>
  <c r="N56" i="6"/>
  <c r="H69" i="6"/>
  <c r="N52" i="6"/>
  <c r="L63" i="6"/>
  <c r="L59" i="6"/>
  <c r="L71" i="6"/>
  <c r="L55" i="6"/>
  <c r="J45" i="6"/>
  <c r="P57" i="6"/>
  <c r="J70" i="6"/>
  <c r="L51" i="6"/>
  <c r="P53" i="6"/>
  <c r="N64" i="6"/>
  <c r="H44" i="6"/>
  <c r="N60" i="6"/>
  <c r="H73" i="6"/>
  <c r="P61" i="6"/>
  <c r="L74" i="6"/>
  <c r="L72" i="6"/>
  <c r="J71" i="6"/>
  <c r="L56" i="6"/>
  <c r="L60" i="6"/>
  <c r="L64" i="6"/>
  <c r="P58" i="6"/>
  <c r="H74" i="6"/>
  <c r="H70" i="6"/>
  <c r="P62" i="6"/>
  <c r="P54" i="6"/>
  <c r="N57" i="6"/>
  <c r="L52" i="6"/>
  <c r="L43" i="6"/>
  <c r="N61" i="6"/>
  <c r="H45" i="6"/>
  <c r="J46" i="6"/>
  <c r="N53" i="6"/>
  <c r="P65" i="6"/>
  <c r="L46" i="6"/>
  <c r="J74" i="6"/>
  <c r="N65" i="6"/>
  <c r="H46" i="6"/>
  <c r="L65" i="6"/>
  <c r="H43" i="8"/>
  <c r="J44" i="8"/>
  <c r="L45" i="8"/>
  <c r="N51" i="8"/>
  <c r="P52" i="8"/>
  <c r="L54" i="8"/>
  <c r="N55" i="8"/>
  <c r="P56" i="8"/>
  <c r="L58" i="8"/>
  <c r="N59" i="8"/>
  <c r="P60" i="8"/>
  <c r="L62" i="8"/>
  <c r="N63" i="8"/>
  <c r="P64" i="8"/>
  <c r="J69" i="8"/>
  <c r="L70" i="8"/>
  <c r="H72" i="8"/>
  <c r="J73" i="8"/>
  <c r="L69" i="8"/>
  <c r="J72" i="8"/>
  <c r="L73" i="8"/>
  <c r="J43" i="8"/>
  <c r="L44" i="8"/>
  <c r="L51" i="8"/>
  <c r="N52" i="8"/>
  <c r="P53" i="8"/>
  <c r="L55" i="8"/>
  <c r="N56" i="8"/>
  <c r="P57" i="8"/>
  <c r="L59" i="8"/>
  <c r="N60" i="8"/>
  <c r="P61" i="8"/>
  <c r="L63" i="8"/>
  <c r="N64" i="8"/>
  <c r="H69" i="8"/>
  <c r="J70" i="8"/>
  <c r="L71" i="8"/>
  <c r="H73" i="8"/>
  <c r="H44" i="8"/>
  <c r="J45" i="8"/>
  <c r="L53" i="8"/>
  <c r="H70" i="8"/>
  <c r="P59" i="8"/>
  <c r="L72" i="8"/>
  <c r="H46" i="8"/>
  <c r="P62" i="8"/>
  <c r="L57" i="8"/>
  <c r="L43" i="8"/>
  <c r="J71" i="8"/>
  <c r="P54" i="8"/>
  <c r="L60" i="8"/>
  <c r="N54" i="8"/>
  <c r="H74" i="8"/>
  <c r="H71" i="8"/>
  <c r="L52" i="8"/>
  <c r="P51" i="8"/>
  <c r="L65" i="8"/>
  <c r="P63" i="8"/>
  <c r="J74" i="8"/>
  <c r="J46" i="8"/>
  <c r="L64" i="8"/>
  <c r="P58" i="8"/>
  <c r="N65" i="8"/>
  <c r="P55" i="8"/>
  <c r="L74" i="8"/>
  <c r="N62" i="8"/>
  <c r="L61" i="8"/>
  <c r="N61" i="8"/>
  <c r="N58" i="8"/>
  <c r="L56" i="8"/>
  <c r="N53" i="8"/>
  <c r="N57" i="8"/>
  <c r="H45" i="8"/>
  <c r="P65" i="8"/>
  <c r="L46" i="8"/>
  <c r="P54" i="11"/>
  <c r="N57" i="11"/>
  <c r="P62" i="11"/>
  <c r="L52" i="11"/>
  <c r="L60" i="11"/>
  <c r="N51" i="11"/>
  <c r="N55" i="11"/>
  <c r="P56" i="11"/>
  <c r="L58" i="11"/>
  <c r="L62" i="11"/>
  <c r="P64" i="11"/>
  <c r="N53" i="11"/>
  <c r="L56" i="11"/>
  <c r="P58" i="11"/>
  <c r="N61" i="11"/>
  <c r="L64" i="11"/>
  <c r="L54" i="11"/>
  <c r="N52" i="11"/>
  <c r="P53" i="11"/>
  <c r="L55" i="11"/>
  <c r="N56" i="11"/>
  <c r="P57" i="11"/>
  <c r="L59" i="11"/>
  <c r="N60" i="11"/>
  <c r="P61" i="11"/>
  <c r="L63" i="11"/>
  <c r="N64" i="11"/>
  <c r="P52" i="11"/>
  <c r="N59" i="11"/>
  <c r="P60" i="11"/>
  <c r="N63" i="11"/>
  <c r="P63" i="11"/>
  <c r="N65" i="11"/>
  <c r="L65" i="11"/>
  <c r="L61" i="11"/>
  <c r="P51" i="11"/>
  <c r="L51" i="11"/>
  <c r="P55" i="11"/>
  <c r="N62" i="11"/>
  <c r="L53" i="11"/>
  <c r="P59" i="11"/>
  <c r="L57" i="11"/>
  <c r="N58" i="11"/>
  <c r="N54" i="11"/>
  <c r="P65" i="11"/>
  <c r="L52" i="10"/>
  <c r="N53" i="10"/>
  <c r="L56" i="10"/>
  <c r="P58" i="10"/>
  <c r="L60" i="10"/>
  <c r="P62" i="10"/>
  <c r="N55" i="10"/>
  <c r="L62" i="10"/>
  <c r="P54" i="10"/>
  <c r="N57" i="10"/>
  <c r="N61" i="10"/>
  <c r="L64" i="10"/>
  <c r="L54" i="10"/>
  <c r="P64" i="10"/>
  <c r="L51" i="10"/>
  <c r="N52" i="10"/>
  <c r="P53" i="10"/>
  <c r="L55" i="10"/>
  <c r="N56" i="10"/>
  <c r="P57" i="10"/>
  <c r="L59" i="10"/>
  <c r="N60" i="10"/>
  <c r="P61" i="10"/>
  <c r="L63" i="10"/>
  <c r="N64" i="10"/>
  <c r="P52" i="10"/>
  <c r="P56" i="10"/>
  <c r="L58" i="10"/>
  <c r="N59" i="10"/>
  <c r="P60" i="10"/>
  <c r="N63" i="10"/>
  <c r="N51" i="10"/>
  <c r="N62" i="10"/>
  <c r="P59" i="10"/>
  <c r="L65" i="10"/>
  <c r="N54" i="10"/>
  <c r="N65" i="10"/>
  <c r="P63" i="10"/>
  <c r="P51" i="10"/>
  <c r="L61" i="10"/>
  <c r="N58" i="10"/>
  <c r="L57" i="10"/>
  <c r="P55" i="10"/>
  <c r="L53" i="10"/>
  <c r="P65" i="10"/>
  <c r="H43" i="11"/>
  <c r="H44" i="11"/>
  <c r="J45" i="11"/>
  <c r="J73" i="11"/>
  <c r="L70" i="11"/>
  <c r="H70" i="11"/>
  <c r="J70" i="11"/>
  <c r="L72" i="11"/>
  <c r="J44" i="11"/>
  <c r="J43" i="11"/>
  <c r="J72" i="11"/>
  <c r="H73" i="11"/>
  <c r="L43" i="11"/>
  <c r="H46" i="11"/>
  <c r="L44" i="11"/>
  <c r="J69" i="11"/>
  <c r="H74" i="11"/>
  <c r="H71" i="11"/>
  <c r="L69" i="11"/>
  <c r="J71" i="11"/>
  <c r="H45" i="11"/>
  <c r="L71" i="11"/>
  <c r="H72" i="11"/>
  <c r="H69" i="11"/>
  <c r="J46" i="11"/>
  <c r="L45" i="11"/>
  <c r="L73" i="11"/>
  <c r="L74" i="11"/>
  <c r="L46" i="11"/>
  <c r="J74" i="11"/>
  <c r="L73" i="10"/>
  <c r="L44" i="10"/>
  <c r="J72" i="10"/>
  <c r="H71" i="10"/>
  <c r="H69" i="10"/>
  <c r="J70" i="10"/>
  <c r="L71" i="10"/>
  <c r="H73" i="10"/>
  <c r="H44" i="10"/>
  <c r="J45" i="10"/>
  <c r="L69" i="10"/>
  <c r="J43" i="10"/>
  <c r="J44" i="10"/>
  <c r="L70" i="10"/>
  <c r="H74" i="10"/>
  <c r="J46" i="10"/>
  <c r="L43" i="10"/>
  <c r="L74" i="10"/>
  <c r="J71" i="10"/>
  <c r="J69" i="10"/>
  <c r="J73" i="10"/>
  <c r="H45" i="10"/>
  <c r="H43" i="10"/>
  <c r="L45" i="10"/>
  <c r="H72" i="10"/>
  <c r="L72" i="10"/>
  <c r="H70" i="10"/>
  <c r="L46" i="10"/>
  <c r="H46" i="10"/>
  <c r="J74" i="10"/>
  <c r="D73" i="14"/>
  <c r="D72" i="14"/>
  <c r="D71" i="14"/>
  <c r="D70" i="14"/>
  <c r="D69" i="14"/>
  <c r="D74" i="14" s="1"/>
  <c r="D45" i="14"/>
  <c r="D43" i="14"/>
  <c r="D64" i="14"/>
  <c r="D63" i="14"/>
  <c r="D62" i="14"/>
  <c r="D61" i="14"/>
  <c r="D60" i="14"/>
  <c r="D59" i="14"/>
  <c r="F59" i="14" s="1"/>
  <c r="D58" i="14"/>
  <c r="F58" i="14" s="1"/>
  <c r="D57" i="14"/>
  <c r="D56" i="14"/>
  <c r="F56" i="14" s="1"/>
  <c r="D55" i="14"/>
  <c r="D54" i="14"/>
  <c r="D53" i="14"/>
  <c r="D52" i="14"/>
  <c r="D51" i="14"/>
  <c r="F51" i="14" s="1"/>
  <c r="F41" i="14"/>
  <c r="D73" i="13"/>
  <c r="D72" i="13"/>
  <c r="D71" i="13"/>
  <c r="D70" i="13"/>
  <c r="D69" i="13"/>
  <c r="D45" i="13"/>
  <c r="D44" i="13"/>
  <c r="D43" i="13"/>
  <c r="E64" i="13"/>
  <c r="E63" i="13"/>
  <c r="E62" i="13"/>
  <c r="E61" i="13"/>
  <c r="E60" i="13"/>
  <c r="E59" i="13"/>
  <c r="E58" i="13"/>
  <c r="F58" i="13" s="1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F56" i="13" s="1"/>
  <c r="D55" i="13"/>
  <c r="F55" i="13" s="1"/>
  <c r="D54" i="13"/>
  <c r="D53" i="13"/>
  <c r="F53" i="13" s="1"/>
  <c r="D52" i="13"/>
  <c r="D51" i="13"/>
  <c r="F41" i="13"/>
  <c r="D73" i="12"/>
  <c r="D72" i="12"/>
  <c r="D71" i="12"/>
  <c r="D70" i="12"/>
  <c r="D69" i="12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F55" i="12" s="1"/>
  <c r="E54" i="12"/>
  <c r="E65" i="12" s="1"/>
  <c r="E53" i="12"/>
  <c r="E52" i="12"/>
  <c r="E51" i="12"/>
  <c r="F51" i="12" s="1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F53" i="12" s="1"/>
  <c r="D52" i="12"/>
  <c r="D65" i="12" s="1"/>
  <c r="D51" i="12"/>
  <c r="F41" i="12"/>
  <c r="D73" i="11"/>
  <c r="D72" i="11"/>
  <c r="D71" i="11"/>
  <c r="D70" i="11"/>
  <c r="D69" i="11"/>
  <c r="D74" i="11" s="1"/>
  <c r="D45" i="11"/>
  <c r="D44" i="11"/>
  <c r="D43" i="11"/>
  <c r="E64" i="11"/>
  <c r="E63" i="11"/>
  <c r="E62" i="11"/>
  <c r="E61" i="11"/>
  <c r="E60" i="11"/>
  <c r="E59" i="11"/>
  <c r="E58" i="11"/>
  <c r="E57" i="11"/>
  <c r="E56" i="11"/>
  <c r="E55" i="11"/>
  <c r="E54" i="11"/>
  <c r="F54" i="11" s="1"/>
  <c r="J54" i="11" s="1"/>
  <c r="E53" i="11"/>
  <c r="E52" i="11"/>
  <c r="F52" i="11" s="1"/>
  <c r="J52" i="11" s="1"/>
  <c r="E51" i="11"/>
  <c r="D64" i="11"/>
  <c r="D63" i="11"/>
  <c r="F63" i="11" s="1"/>
  <c r="J63" i="11" s="1"/>
  <c r="D62" i="11"/>
  <c r="D61" i="11"/>
  <c r="D60" i="11"/>
  <c r="D59" i="11"/>
  <c r="D58" i="11"/>
  <c r="D57" i="11"/>
  <c r="D56" i="11"/>
  <c r="D55" i="11"/>
  <c r="F55" i="11" s="1"/>
  <c r="J55" i="11" s="1"/>
  <c r="D54" i="11"/>
  <c r="D53" i="11"/>
  <c r="D52" i="11"/>
  <c r="D51" i="11"/>
  <c r="F41" i="11"/>
  <c r="D73" i="10"/>
  <c r="D72" i="10"/>
  <c r="D71" i="10"/>
  <c r="D70" i="10"/>
  <c r="D69" i="10"/>
  <c r="D45" i="10"/>
  <c r="D44" i="10"/>
  <c r="D43" i="10"/>
  <c r="D46" i="10" s="1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F51" i="10" s="1"/>
  <c r="J51" i="10" s="1"/>
  <c r="D64" i="10"/>
  <c r="D63" i="10"/>
  <c r="F63" i="10" s="1"/>
  <c r="J63" i="10" s="1"/>
  <c r="D62" i="10"/>
  <c r="D61" i="10"/>
  <c r="D60" i="10"/>
  <c r="D59" i="10"/>
  <c r="D58" i="10"/>
  <c r="D57" i="10"/>
  <c r="D56" i="10"/>
  <c r="D55" i="10"/>
  <c r="F55" i="10" s="1"/>
  <c r="J55" i="10" s="1"/>
  <c r="D54" i="10"/>
  <c r="D53" i="10"/>
  <c r="F53" i="10" s="1"/>
  <c r="J53" i="10" s="1"/>
  <c r="D52" i="10"/>
  <c r="D51" i="10"/>
  <c r="F41" i="10"/>
  <c r="D73" i="9"/>
  <c r="D72" i="9"/>
  <c r="D71" i="9"/>
  <c r="D70" i="9"/>
  <c r="D69" i="9"/>
  <c r="D45" i="9"/>
  <c r="D44" i="9"/>
  <c r="D43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D59" i="9"/>
  <c r="D58" i="9"/>
  <c r="F58" i="9" s="1"/>
  <c r="D57" i="9"/>
  <c r="D56" i="9"/>
  <c r="D55" i="9"/>
  <c r="D54" i="9"/>
  <c r="D53" i="9"/>
  <c r="D52" i="9"/>
  <c r="D51" i="9"/>
  <c r="F41" i="9"/>
  <c r="D73" i="8"/>
  <c r="D72" i="8"/>
  <c r="D71" i="8"/>
  <c r="D70" i="8"/>
  <c r="D6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F51" i="8" s="1"/>
  <c r="D64" i="8"/>
  <c r="D63" i="8"/>
  <c r="F63" i="8" s="1"/>
  <c r="D62" i="8"/>
  <c r="D61" i="8"/>
  <c r="D60" i="8"/>
  <c r="D59" i="8"/>
  <c r="D58" i="8"/>
  <c r="D57" i="8"/>
  <c r="D56" i="8"/>
  <c r="D55" i="8"/>
  <c r="F55" i="8" s="1"/>
  <c r="D54" i="8"/>
  <c r="D53" i="8"/>
  <c r="D52" i="8"/>
  <c r="F52" i="8" s="1"/>
  <c r="D51" i="8"/>
  <c r="F41" i="8"/>
  <c r="D73" i="7"/>
  <c r="D72" i="7"/>
  <c r="D71" i="7"/>
  <c r="D70" i="7"/>
  <c r="D6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F60" i="7" s="1"/>
  <c r="D59" i="7"/>
  <c r="D58" i="7"/>
  <c r="D57" i="7"/>
  <c r="D56" i="7"/>
  <c r="D55" i="7"/>
  <c r="D54" i="7"/>
  <c r="D53" i="7"/>
  <c r="D52" i="7"/>
  <c r="F52" i="7" s="1"/>
  <c r="D51" i="7"/>
  <c r="E73" i="14"/>
  <c r="F73" i="14" s="1"/>
  <c r="E72" i="14"/>
  <c r="F72" i="14" s="1"/>
  <c r="E70" i="14"/>
  <c r="E69" i="14"/>
  <c r="F69" i="14" s="1"/>
  <c r="E65" i="14"/>
  <c r="F64" i="14"/>
  <c r="F63" i="14"/>
  <c r="F62" i="14"/>
  <c r="F61" i="14"/>
  <c r="F60" i="14"/>
  <c r="F57" i="14"/>
  <c r="F55" i="14"/>
  <c r="F54" i="14"/>
  <c r="F53" i="14"/>
  <c r="F52" i="14"/>
  <c r="E73" i="13"/>
  <c r="E72" i="13"/>
  <c r="E70" i="13"/>
  <c r="E69" i="13"/>
  <c r="F69" i="13" s="1"/>
  <c r="F64" i="13"/>
  <c r="F60" i="13"/>
  <c r="F59" i="13"/>
  <c r="F54" i="13"/>
  <c r="F52" i="13"/>
  <c r="F51" i="13"/>
  <c r="E45" i="13"/>
  <c r="E73" i="12"/>
  <c r="F73" i="12" s="1"/>
  <c r="E72" i="12"/>
  <c r="E70" i="12"/>
  <c r="E69" i="12"/>
  <c r="F64" i="12"/>
  <c r="F63" i="12"/>
  <c r="F61" i="12"/>
  <c r="F59" i="12"/>
  <c r="F57" i="12"/>
  <c r="F56" i="12"/>
  <c r="D46" i="12"/>
  <c r="E73" i="11"/>
  <c r="E72" i="11"/>
  <c r="E70" i="11"/>
  <c r="E69" i="11"/>
  <c r="F64" i="11"/>
  <c r="J64" i="11" s="1"/>
  <c r="F62" i="11"/>
  <c r="J62" i="11" s="1"/>
  <c r="F61" i="11"/>
  <c r="J61" i="11" s="1"/>
  <c r="F56" i="11"/>
  <c r="J56" i="11" s="1"/>
  <c r="E73" i="10"/>
  <c r="E72" i="10"/>
  <c r="E70" i="10"/>
  <c r="E69" i="10"/>
  <c r="F61" i="10"/>
  <c r="J61" i="10" s="1"/>
  <c r="F59" i="10"/>
  <c r="J59" i="10" s="1"/>
  <c r="F58" i="10"/>
  <c r="J58" i="10" s="1"/>
  <c r="E45" i="10"/>
  <c r="E73" i="9"/>
  <c r="E72" i="9"/>
  <c r="E70" i="9"/>
  <c r="E69" i="9"/>
  <c r="F64" i="9"/>
  <c r="F56" i="9"/>
  <c r="F55" i="9"/>
  <c r="M21" i="9"/>
  <c r="E45" i="9" s="1"/>
  <c r="H64" i="9"/>
  <c r="G64" i="9"/>
  <c r="H63" i="9"/>
  <c r="G63" i="9"/>
  <c r="H62" i="9"/>
  <c r="G62" i="9"/>
  <c r="H61" i="9"/>
  <c r="G61" i="9"/>
  <c r="H60" i="9"/>
  <c r="G60" i="9"/>
  <c r="H58" i="9"/>
  <c r="G58" i="9"/>
  <c r="H57" i="9"/>
  <c r="G57" i="9"/>
  <c r="H56" i="9"/>
  <c r="G56" i="9"/>
  <c r="H55" i="9"/>
  <c r="G55" i="9"/>
  <c r="H54" i="9"/>
  <c r="G54" i="9"/>
  <c r="G52" i="9"/>
  <c r="H51" i="9"/>
  <c r="G51" i="9"/>
  <c r="N7" i="9"/>
  <c r="M7" i="9"/>
  <c r="E73" i="8"/>
  <c r="E72" i="8"/>
  <c r="E70" i="8"/>
  <c r="E69" i="8"/>
  <c r="H59" i="8"/>
  <c r="G59" i="8"/>
  <c r="H53" i="8"/>
  <c r="G53" i="8"/>
  <c r="F53" i="8"/>
  <c r="M20" i="8"/>
  <c r="M21" i="8" s="1"/>
  <c r="E45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M9" i="8"/>
  <c r="G52" i="8" s="1"/>
  <c r="N8" i="8"/>
  <c r="H51" i="8" s="1"/>
  <c r="M8" i="8"/>
  <c r="G51" i="8" s="1"/>
  <c r="N7" i="8"/>
  <c r="M7" i="8"/>
  <c r="E73" i="7"/>
  <c r="E72" i="7"/>
  <c r="E70" i="7"/>
  <c r="E69" i="7"/>
  <c r="H59" i="7"/>
  <c r="G59" i="7"/>
  <c r="F58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G59" i="6"/>
  <c r="G53" i="6"/>
  <c r="D88" i="6"/>
  <c r="D82" i="6"/>
  <c r="H59" i="6"/>
  <c r="H53" i="6"/>
  <c r="D59" i="6"/>
  <c r="D53" i="6"/>
  <c r="D43" i="6"/>
  <c r="D44" i="6"/>
  <c r="D93" i="6"/>
  <c r="D92" i="6"/>
  <c r="D91" i="6"/>
  <c r="D90" i="6"/>
  <c r="D87" i="6"/>
  <c r="D86" i="6"/>
  <c r="D84" i="6"/>
  <c r="D83" i="6"/>
  <c r="D8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J53" i="12" l="1"/>
  <c r="K53" i="12"/>
  <c r="L53" i="12" s="1"/>
  <c r="O53" i="12"/>
  <c r="P53" i="12" s="1"/>
  <c r="M53" i="12"/>
  <c r="N53" i="12" s="1"/>
  <c r="J58" i="13"/>
  <c r="K58" i="13"/>
  <c r="L58" i="13" s="1"/>
  <c r="M58" i="13"/>
  <c r="N58" i="13" s="1"/>
  <c r="O58" i="13"/>
  <c r="P58" i="13" s="1"/>
  <c r="J51" i="14"/>
  <c r="M51" i="14"/>
  <c r="O51" i="14"/>
  <c r="K51" i="14"/>
  <c r="J59" i="14"/>
  <c r="M59" i="14"/>
  <c r="N59" i="14" s="1"/>
  <c r="O59" i="14"/>
  <c r="P59" i="14" s="1"/>
  <c r="K59" i="14"/>
  <c r="L59" i="14" s="1"/>
  <c r="J51" i="12"/>
  <c r="M51" i="12"/>
  <c r="O51" i="12"/>
  <c r="K51" i="12"/>
  <c r="J55" i="12"/>
  <c r="M55" i="12"/>
  <c r="N55" i="12" s="1"/>
  <c r="O55" i="12"/>
  <c r="P55" i="12" s="1"/>
  <c r="K55" i="12"/>
  <c r="L55" i="12" s="1"/>
  <c r="J56" i="13"/>
  <c r="O56" i="13"/>
  <c r="P56" i="13" s="1"/>
  <c r="K56" i="13"/>
  <c r="L56" i="13" s="1"/>
  <c r="M56" i="13"/>
  <c r="N56" i="13" s="1"/>
  <c r="J59" i="12"/>
  <c r="M59" i="12"/>
  <c r="N59" i="12" s="1"/>
  <c r="O59" i="12"/>
  <c r="P59" i="12" s="1"/>
  <c r="K59" i="12"/>
  <c r="L59" i="12" s="1"/>
  <c r="J51" i="13"/>
  <c r="M51" i="13"/>
  <c r="O51" i="13"/>
  <c r="K51" i="13"/>
  <c r="J55" i="14"/>
  <c r="M55" i="14"/>
  <c r="N55" i="14" s="1"/>
  <c r="O55" i="14"/>
  <c r="P55" i="14" s="1"/>
  <c r="K55" i="14"/>
  <c r="L55" i="14" s="1"/>
  <c r="J60" i="12"/>
  <c r="O60" i="12"/>
  <c r="P60" i="12" s="1"/>
  <c r="M60" i="12"/>
  <c r="N60" i="12" s="1"/>
  <c r="K60" i="12"/>
  <c r="L60" i="12" s="1"/>
  <c r="J62" i="12"/>
  <c r="K62" i="12"/>
  <c r="L62" i="12" s="1"/>
  <c r="M62" i="12"/>
  <c r="N62" i="12" s="1"/>
  <c r="O62" i="12"/>
  <c r="P62" i="12" s="1"/>
  <c r="J55" i="13"/>
  <c r="M55" i="13"/>
  <c r="N55" i="13" s="1"/>
  <c r="O55" i="13"/>
  <c r="P55" i="13" s="1"/>
  <c r="K55" i="13"/>
  <c r="L55" i="13" s="1"/>
  <c r="D46" i="14"/>
  <c r="I45" i="14"/>
  <c r="J45" i="14" s="1"/>
  <c r="J57" i="14"/>
  <c r="K57" i="14"/>
  <c r="L57" i="14" s="1"/>
  <c r="M57" i="14"/>
  <c r="N57" i="14" s="1"/>
  <c r="O57" i="14"/>
  <c r="P57" i="14" s="1"/>
  <c r="J61" i="14"/>
  <c r="K61" i="14"/>
  <c r="L61" i="14" s="1"/>
  <c r="M61" i="14"/>
  <c r="N61" i="14" s="1"/>
  <c r="O61" i="14"/>
  <c r="P61" i="14" s="1"/>
  <c r="J56" i="12"/>
  <c r="O56" i="12"/>
  <c r="P56" i="12" s="1"/>
  <c r="M56" i="12"/>
  <c r="N56" i="12" s="1"/>
  <c r="K56" i="12"/>
  <c r="L56" i="12" s="1"/>
  <c r="J59" i="13"/>
  <c r="M59" i="13"/>
  <c r="N59" i="13" s="1"/>
  <c r="O59" i="13"/>
  <c r="P59" i="13" s="1"/>
  <c r="K59" i="13"/>
  <c r="L59" i="13" s="1"/>
  <c r="J52" i="14"/>
  <c r="O52" i="14"/>
  <c r="P52" i="14" s="1"/>
  <c r="K52" i="14"/>
  <c r="L52" i="14" s="1"/>
  <c r="M52" i="14"/>
  <c r="N52" i="14" s="1"/>
  <c r="J62" i="14"/>
  <c r="K62" i="14"/>
  <c r="L62" i="14" s="1"/>
  <c r="M62" i="14"/>
  <c r="N62" i="14" s="1"/>
  <c r="O62" i="14"/>
  <c r="P62" i="14" s="1"/>
  <c r="I73" i="14"/>
  <c r="J73" i="14" s="1"/>
  <c r="K73" i="14"/>
  <c r="L73" i="14" s="1"/>
  <c r="G73" i="14"/>
  <c r="H73" i="14" s="1"/>
  <c r="J63" i="12"/>
  <c r="M63" i="12"/>
  <c r="N63" i="12" s="1"/>
  <c r="O63" i="12"/>
  <c r="P63" i="12" s="1"/>
  <c r="K63" i="12"/>
  <c r="L63" i="12" s="1"/>
  <c r="J52" i="13"/>
  <c r="O52" i="13"/>
  <c r="P52" i="13" s="1"/>
  <c r="M52" i="13"/>
  <c r="N52" i="13" s="1"/>
  <c r="K52" i="13"/>
  <c r="L52" i="13" s="1"/>
  <c r="G44" i="13"/>
  <c r="H44" i="13" s="1"/>
  <c r="I69" i="14"/>
  <c r="K69" i="14"/>
  <c r="G69" i="14"/>
  <c r="J57" i="12"/>
  <c r="K57" i="12"/>
  <c r="L57" i="12" s="1"/>
  <c r="O57" i="12"/>
  <c r="P57" i="12" s="1"/>
  <c r="M57" i="12"/>
  <c r="N57" i="12" s="1"/>
  <c r="J60" i="13"/>
  <c r="O60" i="13"/>
  <c r="P60" i="13" s="1"/>
  <c r="M60" i="13"/>
  <c r="N60" i="13" s="1"/>
  <c r="K60" i="13"/>
  <c r="L60" i="13" s="1"/>
  <c r="J53" i="14"/>
  <c r="K53" i="14"/>
  <c r="L53" i="14" s="1"/>
  <c r="M53" i="14"/>
  <c r="N53" i="14" s="1"/>
  <c r="O53" i="14"/>
  <c r="P53" i="14" s="1"/>
  <c r="J63" i="14"/>
  <c r="M63" i="14"/>
  <c r="N63" i="14" s="1"/>
  <c r="O63" i="14"/>
  <c r="P63" i="14" s="1"/>
  <c r="K63" i="14"/>
  <c r="L63" i="14" s="1"/>
  <c r="J58" i="12"/>
  <c r="K58" i="12"/>
  <c r="L58" i="12" s="1"/>
  <c r="M58" i="12"/>
  <c r="N58" i="12" s="1"/>
  <c r="O58" i="12"/>
  <c r="P58" i="12" s="1"/>
  <c r="I69" i="12"/>
  <c r="K69" i="12"/>
  <c r="G69" i="12"/>
  <c r="J53" i="13"/>
  <c r="K53" i="13"/>
  <c r="L53" i="13" s="1"/>
  <c r="O53" i="13"/>
  <c r="P53" i="13" s="1"/>
  <c r="M53" i="13"/>
  <c r="N53" i="13" s="1"/>
  <c r="J61" i="13"/>
  <c r="K61" i="13"/>
  <c r="L61" i="13" s="1"/>
  <c r="O61" i="13"/>
  <c r="P61" i="13" s="1"/>
  <c r="M61" i="13"/>
  <c r="N61" i="13" s="1"/>
  <c r="G72" i="13"/>
  <c r="H72" i="13" s="1"/>
  <c r="I72" i="13"/>
  <c r="J72" i="13" s="1"/>
  <c r="K72" i="13"/>
  <c r="L72" i="13" s="1"/>
  <c r="J56" i="14"/>
  <c r="O56" i="14"/>
  <c r="P56" i="14" s="1"/>
  <c r="K56" i="14"/>
  <c r="L56" i="14" s="1"/>
  <c r="M56" i="14"/>
  <c r="N56" i="14" s="1"/>
  <c r="J64" i="13"/>
  <c r="O64" i="13"/>
  <c r="P64" i="13" s="1"/>
  <c r="M64" i="13"/>
  <c r="N64" i="13" s="1"/>
  <c r="K64" i="13"/>
  <c r="L64" i="13" s="1"/>
  <c r="J54" i="14"/>
  <c r="K54" i="14"/>
  <c r="L54" i="14" s="1"/>
  <c r="M54" i="14"/>
  <c r="N54" i="14" s="1"/>
  <c r="O54" i="14"/>
  <c r="P54" i="14" s="1"/>
  <c r="J64" i="14"/>
  <c r="O64" i="14"/>
  <c r="P64" i="14" s="1"/>
  <c r="K64" i="14"/>
  <c r="L64" i="14" s="1"/>
  <c r="M64" i="14"/>
  <c r="N64" i="14" s="1"/>
  <c r="K70" i="12"/>
  <c r="L70" i="12" s="1"/>
  <c r="I70" i="12"/>
  <c r="J70" i="12" s="1"/>
  <c r="G70" i="12"/>
  <c r="H70" i="12" s="1"/>
  <c r="F62" i="13"/>
  <c r="I73" i="13"/>
  <c r="J73" i="13" s="1"/>
  <c r="K73" i="13"/>
  <c r="L73" i="13" s="1"/>
  <c r="G73" i="13"/>
  <c r="H73" i="13" s="1"/>
  <c r="G72" i="12"/>
  <c r="H72" i="12" s="1"/>
  <c r="I72" i="12"/>
  <c r="J72" i="12" s="1"/>
  <c r="K72" i="12"/>
  <c r="L72" i="12" s="1"/>
  <c r="J64" i="12"/>
  <c r="O64" i="12"/>
  <c r="P64" i="12" s="1"/>
  <c r="M64" i="12"/>
  <c r="N64" i="12" s="1"/>
  <c r="K64" i="12"/>
  <c r="L64" i="12" s="1"/>
  <c r="J54" i="13"/>
  <c r="K54" i="13"/>
  <c r="L54" i="13" s="1"/>
  <c r="O54" i="13"/>
  <c r="P54" i="13" s="1"/>
  <c r="M54" i="13"/>
  <c r="N54" i="13" s="1"/>
  <c r="I73" i="12"/>
  <c r="J73" i="12" s="1"/>
  <c r="K73" i="12"/>
  <c r="L73" i="12" s="1"/>
  <c r="G73" i="12"/>
  <c r="H73" i="12" s="1"/>
  <c r="K45" i="13"/>
  <c r="L45" i="13" s="1"/>
  <c r="I45" i="13"/>
  <c r="J45" i="13" s="1"/>
  <c r="G45" i="13"/>
  <c r="H45" i="13" s="1"/>
  <c r="K70" i="14"/>
  <c r="L70" i="14" s="1"/>
  <c r="G70" i="14"/>
  <c r="H70" i="14" s="1"/>
  <c r="I70" i="14"/>
  <c r="J70" i="14" s="1"/>
  <c r="J60" i="14"/>
  <c r="O60" i="14"/>
  <c r="P60" i="14" s="1"/>
  <c r="K60" i="14"/>
  <c r="L60" i="14" s="1"/>
  <c r="M60" i="14"/>
  <c r="N60" i="14" s="1"/>
  <c r="G43" i="12"/>
  <c r="I43" i="12"/>
  <c r="I69" i="13"/>
  <c r="K69" i="13"/>
  <c r="G69" i="13"/>
  <c r="J61" i="12"/>
  <c r="K61" i="12"/>
  <c r="L61" i="12" s="1"/>
  <c r="O61" i="12"/>
  <c r="P61" i="12" s="1"/>
  <c r="M61" i="12"/>
  <c r="N61" i="12" s="1"/>
  <c r="D46" i="13"/>
  <c r="J58" i="14"/>
  <c r="K58" i="14"/>
  <c r="L58" i="14" s="1"/>
  <c r="M58" i="14"/>
  <c r="N58" i="14" s="1"/>
  <c r="O58" i="14"/>
  <c r="P58" i="14" s="1"/>
  <c r="I44" i="12"/>
  <c r="J44" i="12" s="1"/>
  <c r="K44" i="12"/>
  <c r="L44" i="12" s="1"/>
  <c r="K70" i="13"/>
  <c r="L70" i="13" s="1"/>
  <c r="I70" i="13"/>
  <c r="J70" i="13" s="1"/>
  <c r="G70" i="13"/>
  <c r="H70" i="13" s="1"/>
  <c r="G72" i="14"/>
  <c r="H72" i="14" s="1"/>
  <c r="I72" i="14"/>
  <c r="J72" i="14" s="1"/>
  <c r="K72" i="14"/>
  <c r="L72" i="14" s="1"/>
  <c r="F72" i="7"/>
  <c r="F60" i="10"/>
  <c r="J60" i="10" s="1"/>
  <c r="F45" i="10"/>
  <c r="F53" i="11"/>
  <c r="J53" i="11" s="1"/>
  <c r="F70" i="11"/>
  <c r="F58" i="11"/>
  <c r="J58" i="11" s="1"/>
  <c r="F56" i="10"/>
  <c r="J56" i="10" s="1"/>
  <c r="F64" i="10"/>
  <c r="J64" i="10" s="1"/>
  <c r="F51" i="11"/>
  <c r="J51" i="11" s="1"/>
  <c r="F59" i="11"/>
  <c r="J59" i="11" s="1"/>
  <c r="K69" i="9"/>
  <c r="G69" i="9"/>
  <c r="I69" i="9"/>
  <c r="F63" i="9"/>
  <c r="K72" i="9"/>
  <c r="L72" i="9" s="1"/>
  <c r="I72" i="9"/>
  <c r="J72" i="9" s="1"/>
  <c r="G72" i="9"/>
  <c r="H72" i="9" s="1"/>
  <c r="I73" i="9"/>
  <c r="J73" i="9" s="1"/>
  <c r="G73" i="9"/>
  <c r="H73" i="9" s="1"/>
  <c r="K73" i="9"/>
  <c r="L73" i="9" s="1"/>
  <c r="F45" i="9"/>
  <c r="I70" i="9"/>
  <c r="J70" i="9" s="1"/>
  <c r="G70" i="9"/>
  <c r="H70" i="9" s="1"/>
  <c r="K70" i="9"/>
  <c r="L70" i="9" s="1"/>
  <c r="I45" i="9"/>
  <c r="J45" i="9" s="1"/>
  <c r="K45" i="9"/>
  <c r="L45" i="9" s="1"/>
  <c r="G45" i="9"/>
  <c r="H45" i="9" s="1"/>
  <c r="F59" i="7"/>
  <c r="F54" i="8"/>
  <c r="F62" i="8"/>
  <c r="F57" i="9"/>
  <c r="E65" i="9"/>
  <c r="D65" i="10"/>
  <c r="E65" i="10"/>
  <c r="D74" i="10"/>
  <c r="D46" i="11"/>
  <c r="F53" i="9"/>
  <c r="F60" i="9"/>
  <c r="F60" i="11"/>
  <c r="J60" i="11" s="1"/>
  <c r="F69" i="12"/>
  <c r="F61" i="9"/>
  <c r="D46" i="9"/>
  <c r="F54" i="9"/>
  <c r="F62" i="9"/>
  <c r="D74" i="12"/>
  <c r="D74" i="13"/>
  <c r="G65" i="3"/>
  <c r="F52" i="9"/>
  <c r="F55" i="7"/>
  <c r="F63" i="7"/>
  <c r="F64" i="8"/>
  <c r="F59" i="9"/>
  <c r="F54" i="10"/>
  <c r="J54" i="10" s="1"/>
  <c r="L51" i="3"/>
  <c r="L59" i="3"/>
  <c r="D65" i="11"/>
  <c r="D65" i="13"/>
  <c r="F60" i="8"/>
  <c r="D74" i="9"/>
  <c r="F70" i="7"/>
  <c r="E65" i="11"/>
  <c r="D65" i="14"/>
  <c r="F61" i="7"/>
  <c r="F51" i="9"/>
  <c r="F62" i="10"/>
  <c r="J62" i="10" s="1"/>
  <c r="F70" i="14"/>
  <c r="F57" i="10"/>
  <c r="J57" i="10" s="1"/>
  <c r="F56" i="8"/>
  <c r="D65" i="9"/>
  <c r="F53" i="7"/>
  <c r="F57" i="11"/>
  <c r="E65" i="13"/>
  <c r="F54" i="12"/>
  <c r="F59" i="8"/>
  <c r="D74" i="8"/>
  <c r="F63" i="13"/>
  <c r="F57" i="13"/>
  <c r="F61" i="8"/>
  <c r="F58" i="8"/>
  <c r="F73" i="8"/>
  <c r="F45" i="8"/>
  <c r="F57" i="8"/>
  <c r="E65" i="8"/>
  <c r="D46" i="8"/>
  <c r="D65" i="8"/>
  <c r="F62" i="7"/>
  <c r="F52" i="12"/>
  <c r="G65" i="7"/>
  <c r="E43" i="7" s="1"/>
  <c r="F73" i="9"/>
  <c r="F69" i="8"/>
  <c r="F54" i="7"/>
  <c r="L52" i="3"/>
  <c r="F52" i="10"/>
  <c r="K58" i="3"/>
  <c r="F54" i="3"/>
  <c r="F57" i="7"/>
  <c r="I54" i="9"/>
  <c r="I63" i="9"/>
  <c r="J63" i="9" s="1"/>
  <c r="F68" i="3"/>
  <c r="F60" i="3"/>
  <c r="G66" i="3"/>
  <c r="H66" i="3" s="1"/>
  <c r="I62" i="9"/>
  <c r="F65" i="14"/>
  <c r="E65" i="7"/>
  <c r="D74" i="7"/>
  <c r="I55" i="8"/>
  <c r="F72" i="12"/>
  <c r="F70" i="8"/>
  <c r="I56" i="9"/>
  <c r="J56" i="9" s="1"/>
  <c r="F72" i="11"/>
  <c r="E44" i="10"/>
  <c r="E44" i="14"/>
  <c r="F56" i="7"/>
  <c r="F64" i="7"/>
  <c r="D94" i="7"/>
  <c r="H55" i="7"/>
  <c r="E44" i="7"/>
  <c r="I54" i="7"/>
  <c r="I52" i="7"/>
  <c r="I61" i="7"/>
  <c r="F69" i="7"/>
  <c r="D46" i="7"/>
  <c r="D65" i="7"/>
  <c r="F51" i="7"/>
  <c r="I51" i="9"/>
  <c r="I53" i="7"/>
  <c r="J53" i="7" s="1"/>
  <c r="E44" i="13"/>
  <c r="K44" i="13" s="1"/>
  <c r="L44" i="13" s="1"/>
  <c r="K50" i="3"/>
  <c r="K49" i="3"/>
  <c r="I62" i="7"/>
  <c r="J62" i="7" s="1"/>
  <c r="E44" i="8"/>
  <c r="E71" i="9"/>
  <c r="F71" i="9" s="1"/>
  <c r="I55" i="9"/>
  <c r="J55" i="9" s="1"/>
  <c r="I64" i="9"/>
  <c r="K64" i="9" s="1"/>
  <c r="L64" i="9" s="1"/>
  <c r="F73" i="10"/>
  <c r="F66" i="3"/>
  <c r="K57" i="3"/>
  <c r="K53" i="3"/>
  <c r="D94" i="14"/>
  <c r="F72" i="8"/>
  <c r="I59" i="9"/>
  <c r="J59" i="9" s="1"/>
  <c r="D94" i="11"/>
  <c r="F73" i="13"/>
  <c r="I63" i="7"/>
  <c r="F70" i="12"/>
  <c r="I56" i="8"/>
  <c r="H52" i="8"/>
  <c r="E44" i="12"/>
  <c r="G44" i="12" s="1"/>
  <c r="H44" i="12" s="1"/>
  <c r="D94" i="13"/>
  <c r="I53" i="6"/>
  <c r="D94" i="10"/>
  <c r="D94" i="12"/>
  <c r="D94" i="6"/>
  <c r="I57" i="8"/>
  <c r="I56" i="7"/>
  <c r="F45" i="7"/>
  <c r="I60" i="8"/>
  <c r="J60" i="8" s="1"/>
  <c r="I57" i="9"/>
  <c r="J57" i="9" s="1"/>
  <c r="I57" i="7"/>
  <c r="I59" i="7"/>
  <c r="I61" i="9"/>
  <c r="G65" i="12"/>
  <c r="E43" i="12" s="1"/>
  <c r="K43" i="12" s="1"/>
  <c r="I62" i="8"/>
  <c r="I58" i="9"/>
  <c r="J58" i="9" s="1"/>
  <c r="E44" i="11"/>
  <c r="E45" i="11"/>
  <c r="E71" i="11"/>
  <c r="E74" i="11" s="1"/>
  <c r="F74" i="11" s="1"/>
  <c r="G65" i="14"/>
  <c r="E43" i="14" s="1"/>
  <c r="G43" i="14" s="1"/>
  <c r="E71" i="14"/>
  <c r="E74" i="14" s="1"/>
  <c r="F74" i="14" s="1"/>
  <c r="E45" i="14"/>
  <c r="K45" i="14" s="1"/>
  <c r="L45" i="14" s="1"/>
  <c r="I64" i="8"/>
  <c r="J64" i="8" s="1"/>
  <c r="I51" i="7"/>
  <c r="I61" i="8"/>
  <c r="I60" i="9"/>
  <c r="J60" i="9" s="1"/>
  <c r="F73" i="7"/>
  <c r="I58" i="8"/>
  <c r="F69" i="9"/>
  <c r="E71" i="7"/>
  <c r="E74" i="7" s="1"/>
  <c r="G65" i="8"/>
  <c r="E43" i="8" s="1"/>
  <c r="I63" i="8"/>
  <c r="J63" i="8" s="1"/>
  <c r="I53" i="9"/>
  <c r="J53" i="9" s="1"/>
  <c r="I58" i="7"/>
  <c r="E71" i="8"/>
  <c r="E74" i="8" s="1"/>
  <c r="F74" i="8" s="1"/>
  <c r="F69" i="10"/>
  <c r="I60" i="7"/>
  <c r="I64" i="7"/>
  <c r="I54" i="8"/>
  <c r="J54" i="8" s="1"/>
  <c r="I51" i="8"/>
  <c r="I53" i="8"/>
  <c r="I59" i="8"/>
  <c r="E44" i="9"/>
  <c r="F44" i="9" s="1"/>
  <c r="H52" i="9"/>
  <c r="G65" i="10"/>
  <c r="E43" i="10" s="1"/>
  <c r="F72" i="10"/>
  <c r="G65" i="13"/>
  <c r="E43" i="13" s="1"/>
  <c r="G43" i="13" s="1"/>
  <c r="F72" i="13"/>
  <c r="F73" i="11"/>
  <c r="G65" i="11"/>
  <c r="E43" i="11" s="1"/>
  <c r="G65" i="9"/>
  <c r="E43" i="9" s="1"/>
  <c r="F43" i="9" s="1"/>
  <c r="E71" i="10"/>
  <c r="E74" i="10" s="1"/>
  <c r="F74" i="10" s="1"/>
  <c r="F45" i="13"/>
  <c r="F69" i="11"/>
  <c r="E71" i="12"/>
  <c r="G71" i="12" s="1"/>
  <c r="H71" i="12" s="1"/>
  <c r="E45" i="12"/>
  <c r="K45" i="12" s="1"/>
  <c r="L45" i="12" s="1"/>
  <c r="F70" i="10"/>
  <c r="F70" i="13"/>
  <c r="F70" i="9"/>
  <c r="F72" i="9"/>
  <c r="E71" i="13"/>
  <c r="G71" i="13" s="1"/>
  <c r="H71" i="13" s="1"/>
  <c r="H65" i="13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H43" i="13" l="1"/>
  <c r="G46" i="13"/>
  <c r="H46" i="13" s="1"/>
  <c r="L43" i="12"/>
  <c r="K46" i="12"/>
  <c r="L46" i="12" s="1"/>
  <c r="H43" i="14"/>
  <c r="G46" i="14"/>
  <c r="H46" i="14" s="1"/>
  <c r="K43" i="13"/>
  <c r="J69" i="13"/>
  <c r="H43" i="12"/>
  <c r="G46" i="12"/>
  <c r="H46" i="12" s="1"/>
  <c r="M63" i="13"/>
  <c r="N63" i="13" s="1"/>
  <c r="O63" i="13"/>
  <c r="P63" i="13" s="1"/>
  <c r="K63" i="13"/>
  <c r="L63" i="13" s="1"/>
  <c r="L69" i="13"/>
  <c r="G45" i="14"/>
  <c r="H45" i="14" s="1"/>
  <c r="G74" i="14"/>
  <c r="H74" i="14" s="1"/>
  <c r="H69" i="14"/>
  <c r="I43" i="13"/>
  <c r="G74" i="12"/>
  <c r="H74" i="12" s="1"/>
  <c r="H69" i="12"/>
  <c r="L69" i="14"/>
  <c r="K74" i="14"/>
  <c r="L74" i="14" s="1"/>
  <c r="I71" i="13"/>
  <c r="J71" i="13" s="1"/>
  <c r="J54" i="12"/>
  <c r="K54" i="12"/>
  <c r="L54" i="12" s="1"/>
  <c r="M54" i="12"/>
  <c r="N54" i="12" s="1"/>
  <c r="O54" i="12"/>
  <c r="P54" i="12" s="1"/>
  <c r="J43" i="12"/>
  <c r="I46" i="12"/>
  <c r="J46" i="12" s="1"/>
  <c r="J62" i="13"/>
  <c r="K62" i="13"/>
  <c r="L62" i="13" s="1"/>
  <c r="M62" i="13"/>
  <c r="N62" i="13" s="1"/>
  <c r="O62" i="13"/>
  <c r="P62" i="13" s="1"/>
  <c r="L69" i="12"/>
  <c r="K74" i="12"/>
  <c r="L74" i="12" s="1"/>
  <c r="J69" i="14"/>
  <c r="I74" i="14"/>
  <c r="J74" i="14" s="1"/>
  <c r="K71" i="13"/>
  <c r="L71" i="13" s="1"/>
  <c r="P51" i="13"/>
  <c r="P51" i="12"/>
  <c r="P51" i="14"/>
  <c r="O65" i="14"/>
  <c r="P65" i="14" s="1"/>
  <c r="L51" i="13"/>
  <c r="L51" i="12"/>
  <c r="J52" i="12"/>
  <c r="O52" i="12"/>
  <c r="P52" i="12" s="1"/>
  <c r="M52" i="12"/>
  <c r="N52" i="12" s="1"/>
  <c r="K52" i="12"/>
  <c r="L52" i="12" s="1"/>
  <c r="I71" i="12"/>
  <c r="J71" i="12" s="1"/>
  <c r="K43" i="14"/>
  <c r="I71" i="14"/>
  <c r="J71" i="14" s="1"/>
  <c r="I44" i="13"/>
  <c r="J44" i="13" s="1"/>
  <c r="N51" i="13"/>
  <c r="N51" i="12"/>
  <c r="M65" i="12"/>
  <c r="N65" i="12" s="1"/>
  <c r="N51" i="14"/>
  <c r="M65" i="14"/>
  <c r="N65" i="14" s="1"/>
  <c r="I44" i="14"/>
  <c r="J44" i="14" s="1"/>
  <c r="K44" i="14"/>
  <c r="L44" i="14" s="1"/>
  <c r="G44" i="14"/>
  <c r="H44" i="14" s="1"/>
  <c r="K71" i="14"/>
  <c r="L71" i="14" s="1"/>
  <c r="J69" i="12"/>
  <c r="I74" i="12"/>
  <c r="J74" i="12" s="1"/>
  <c r="K65" i="14"/>
  <c r="L65" i="14" s="1"/>
  <c r="L51" i="14"/>
  <c r="G71" i="14"/>
  <c r="H71" i="14" s="1"/>
  <c r="G45" i="12"/>
  <c r="H45" i="12" s="1"/>
  <c r="K71" i="12"/>
  <c r="L71" i="12" s="1"/>
  <c r="I43" i="14"/>
  <c r="I45" i="12"/>
  <c r="J45" i="12" s="1"/>
  <c r="J57" i="13"/>
  <c r="M57" i="13"/>
  <c r="N57" i="13" s="1"/>
  <c r="K57" i="13"/>
  <c r="L57" i="13" s="1"/>
  <c r="O57" i="13"/>
  <c r="P57" i="13" s="1"/>
  <c r="G74" i="13"/>
  <c r="H74" i="13" s="1"/>
  <c r="H69" i="13"/>
  <c r="J56" i="8"/>
  <c r="J59" i="7"/>
  <c r="J54" i="7"/>
  <c r="I43" i="9"/>
  <c r="J43" i="9" s="1"/>
  <c r="M64" i="9"/>
  <c r="N64" i="9" s="1"/>
  <c r="G43" i="9"/>
  <c r="O64" i="9"/>
  <c r="P64" i="9" s="1"/>
  <c r="G71" i="9"/>
  <c r="H71" i="9" s="1"/>
  <c r="I71" i="9"/>
  <c r="J71" i="9" s="1"/>
  <c r="K43" i="9"/>
  <c r="L43" i="9" s="1"/>
  <c r="O61" i="9"/>
  <c r="P61" i="9" s="1"/>
  <c r="M61" i="9"/>
  <c r="N61" i="9" s="1"/>
  <c r="K61" i="9"/>
  <c r="L61" i="9" s="1"/>
  <c r="M56" i="9"/>
  <c r="N56" i="9" s="1"/>
  <c r="K62" i="9"/>
  <c r="L62" i="9" s="1"/>
  <c r="O62" i="9"/>
  <c r="P62" i="9" s="1"/>
  <c r="M62" i="9"/>
  <c r="N62" i="9" s="1"/>
  <c r="O53" i="9"/>
  <c r="P53" i="9" s="1"/>
  <c r="M53" i="9"/>
  <c r="N53" i="9" s="1"/>
  <c r="K53" i="9"/>
  <c r="L53" i="9" s="1"/>
  <c r="I44" i="9"/>
  <c r="J44" i="9" s="1"/>
  <c r="O54" i="9"/>
  <c r="P54" i="9" s="1"/>
  <c r="M54" i="9"/>
  <c r="N54" i="9" s="1"/>
  <c r="K54" i="9"/>
  <c r="L54" i="9" s="1"/>
  <c r="M55" i="9"/>
  <c r="N55" i="9" s="1"/>
  <c r="K56" i="9"/>
  <c r="L56" i="9" s="1"/>
  <c r="K58" i="9"/>
  <c r="L58" i="9" s="1"/>
  <c r="O56" i="9"/>
  <c r="P56" i="9" s="1"/>
  <c r="K59" i="9"/>
  <c r="L59" i="9" s="1"/>
  <c r="M59" i="9"/>
  <c r="N59" i="9" s="1"/>
  <c r="O59" i="9"/>
  <c r="P59" i="9" s="1"/>
  <c r="O57" i="9"/>
  <c r="P57" i="9" s="1"/>
  <c r="M57" i="9"/>
  <c r="N57" i="9" s="1"/>
  <c r="K57" i="9"/>
  <c r="L57" i="9" s="1"/>
  <c r="O55" i="9"/>
  <c r="P55" i="9" s="1"/>
  <c r="G44" i="9"/>
  <c r="H44" i="9" s="1"/>
  <c r="K63" i="9"/>
  <c r="L63" i="9" s="1"/>
  <c r="O63" i="9"/>
  <c r="P63" i="9" s="1"/>
  <c r="M63" i="9"/>
  <c r="N63" i="9" s="1"/>
  <c r="M58" i="9"/>
  <c r="N58" i="9" s="1"/>
  <c r="I74" i="9"/>
  <c r="J74" i="9" s="1"/>
  <c r="J69" i="9"/>
  <c r="J61" i="9"/>
  <c r="L69" i="9"/>
  <c r="K51" i="9"/>
  <c r="O51" i="9"/>
  <c r="M51" i="9"/>
  <c r="M60" i="9"/>
  <c r="N60" i="9" s="1"/>
  <c r="K60" i="9"/>
  <c r="L60" i="9" s="1"/>
  <c r="O60" i="9"/>
  <c r="P60" i="9" s="1"/>
  <c r="K55" i="9"/>
  <c r="L55" i="9" s="1"/>
  <c r="K44" i="9"/>
  <c r="L44" i="9" s="1"/>
  <c r="K71" i="9"/>
  <c r="L71" i="9" s="1"/>
  <c r="O58" i="9"/>
  <c r="P58" i="9" s="1"/>
  <c r="F65" i="10"/>
  <c r="J52" i="10"/>
  <c r="F65" i="13"/>
  <c r="J63" i="13"/>
  <c r="F65" i="11"/>
  <c r="J57" i="11"/>
  <c r="J54" i="9"/>
  <c r="F65" i="8"/>
  <c r="J58" i="8"/>
  <c r="E46" i="9"/>
  <c r="F46" i="9" s="1"/>
  <c r="J61" i="7"/>
  <c r="M58" i="3"/>
  <c r="N58" i="3" s="1"/>
  <c r="F74" i="7"/>
  <c r="F65" i="12"/>
  <c r="F65" i="9"/>
  <c r="J62" i="9"/>
  <c r="F44" i="10"/>
  <c r="J61" i="8"/>
  <c r="J59" i="8"/>
  <c r="J57" i="7"/>
  <c r="J56" i="7"/>
  <c r="F44" i="8"/>
  <c r="I52" i="8"/>
  <c r="J52" i="8" s="1"/>
  <c r="J52" i="7"/>
  <c r="G42" i="3"/>
  <c r="H42" i="3" s="1"/>
  <c r="F65" i="7"/>
  <c r="H65" i="10"/>
  <c r="M53" i="3"/>
  <c r="N53" i="3" s="1"/>
  <c r="J55" i="8"/>
  <c r="H65" i="8"/>
  <c r="M51" i="3"/>
  <c r="N51" i="3" s="1"/>
  <c r="F44" i="14"/>
  <c r="M59" i="3"/>
  <c r="N59" i="3" s="1"/>
  <c r="F44" i="13"/>
  <c r="J64" i="9"/>
  <c r="H65" i="12"/>
  <c r="E70" i="3"/>
  <c r="F70" i="3" s="1"/>
  <c r="J53" i="3"/>
  <c r="J64" i="7"/>
  <c r="I55" i="7"/>
  <c r="J55" i="7" s="1"/>
  <c r="F43" i="7"/>
  <c r="J63" i="7"/>
  <c r="H65" i="7"/>
  <c r="J51" i="9"/>
  <c r="F44" i="12"/>
  <c r="G41" i="3"/>
  <c r="M50" i="3"/>
  <c r="N50" i="3" s="1"/>
  <c r="G67" i="3"/>
  <c r="H67" i="3" s="1"/>
  <c r="E74" i="9"/>
  <c r="F74" i="9" s="1"/>
  <c r="I65" i="14"/>
  <c r="J65" i="14" s="1"/>
  <c r="F71" i="13"/>
  <c r="F45" i="12"/>
  <c r="E46" i="8"/>
  <c r="F46" i="8" s="1"/>
  <c r="F43" i="8"/>
  <c r="F71" i="7"/>
  <c r="F44" i="7"/>
  <c r="I65" i="11"/>
  <c r="J58" i="7"/>
  <c r="F43" i="13"/>
  <c r="E46" i="13"/>
  <c r="F46" i="13" s="1"/>
  <c r="I65" i="13"/>
  <c r="E46" i="12"/>
  <c r="F46" i="12" s="1"/>
  <c r="F43" i="12"/>
  <c r="E74" i="13"/>
  <c r="F74" i="13" s="1"/>
  <c r="E46" i="11"/>
  <c r="F46" i="11" s="1"/>
  <c r="F43" i="11"/>
  <c r="I65" i="10"/>
  <c r="J65" i="10" s="1"/>
  <c r="F71" i="11"/>
  <c r="H65" i="9"/>
  <c r="J51" i="7"/>
  <c r="H69" i="9"/>
  <c r="F45" i="14"/>
  <c r="F43" i="14"/>
  <c r="E46" i="14"/>
  <c r="F46" i="14" s="1"/>
  <c r="F45" i="11"/>
  <c r="E46" i="7"/>
  <c r="F46" i="7" s="1"/>
  <c r="I52" i="9"/>
  <c r="M52" i="9" s="1"/>
  <c r="N52" i="9" s="1"/>
  <c r="F71" i="10"/>
  <c r="F43" i="10"/>
  <c r="E46" i="10"/>
  <c r="F46" i="10" s="1"/>
  <c r="J53" i="8"/>
  <c r="J60" i="7"/>
  <c r="F71" i="14"/>
  <c r="H65" i="11"/>
  <c r="J62" i="8"/>
  <c r="J57" i="8"/>
  <c r="H65" i="14"/>
  <c r="E74" i="12"/>
  <c r="F74" i="12" s="1"/>
  <c r="F71" i="12"/>
  <c r="J51" i="8"/>
  <c r="F71" i="8"/>
  <c r="F44" i="1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I46" i="9" l="1"/>
  <c r="J46" i="9" s="1"/>
  <c r="L43" i="14"/>
  <c r="K46" i="14"/>
  <c r="L46" i="14" s="1"/>
  <c r="M65" i="13"/>
  <c r="N65" i="13" s="1"/>
  <c r="O65" i="12"/>
  <c r="P65" i="12" s="1"/>
  <c r="J43" i="13"/>
  <c r="I46" i="13"/>
  <c r="J46" i="13" s="1"/>
  <c r="K74" i="13"/>
  <c r="L74" i="13" s="1"/>
  <c r="K65" i="13"/>
  <c r="L65" i="13" s="1"/>
  <c r="L43" i="13"/>
  <c r="K46" i="13"/>
  <c r="L46" i="13" s="1"/>
  <c r="J43" i="14"/>
  <c r="I46" i="14"/>
  <c r="J46" i="14" s="1"/>
  <c r="J65" i="13"/>
  <c r="K65" i="12"/>
  <c r="L65" i="12" s="1"/>
  <c r="O65" i="13"/>
  <c r="P65" i="13" s="1"/>
  <c r="I74" i="13"/>
  <c r="J74" i="13" s="1"/>
  <c r="I65" i="8"/>
  <c r="J65" i="8" s="1"/>
  <c r="J65" i="11"/>
  <c r="O52" i="9"/>
  <c r="P52" i="9" s="1"/>
  <c r="K52" i="9"/>
  <c r="L52" i="9" s="1"/>
  <c r="M65" i="9"/>
  <c r="N65" i="9" s="1"/>
  <c r="N51" i="9"/>
  <c r="O65" i="9"/>
  <c r="P65" i="9" s="1"/>
  <c r="P51" i="9"/>
  <c r="L51" i="9"/>
  <c r="K46" i="9"/>
  <c r="L46" i="9" s="1"/>
  <c r="K74" i="9"/>
  <c r="L74" i="9" s="1"/>
  <c r="G74" i="9"/>
  <c r="H74" i="9" s="1"/>
  <c r="I65" i="12"/>
  <c r="J65" i="12" s="1"/>
  <c r="G70" i="3"/>
  <c r="H70" i="3" s="1"/>
  <c r="I65" i="7"/>
  <c r="J65" i="7" s="1"/>
  <c r="G44" i="3"/>
  <c r="H44" i="3" s="1"/>
  <c r="J52" i="9"/>
  <c r="I65" i="9"/>
  <c r="J65" i="9" s="1"/>
  <c r="G46" i="9"/>
  <c r="H46" i="9" s="1"/>
  <c r="H43" i="9"/>
  <c r="J61" i="3"/>
  <c r="N49" i="3"/>
  <c r="M61" i="3"/>
  <c r="N61" i="3" s="1"/>
  <c r="K65" i="9" l="1"/>
  <c r="L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72" i="6"/>
  <c r="D7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69" i="6"/>
  <c r="E69" i="6"/>
  <c r="D70" i="6"/>
  <c r="E70" i="6"/>
  <c r="D71" i="6"/>
  <c r="D73" i="6"/>
  <c r="E7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I54" i="4" l="1"/>
  <c r="I58" i="4"/>
  <c r="E67" i="5"/>
  <c r="E67" i="4"/>
  <c r="F67" i="4" s="1"/>
  <c r="E43" i="5"/>
  <c r="G43" i="5" s="1"/>
  <c r="H43" i="5" s="1"/>
  <c r="E41" i="4"/>
  <c r="F41" i="4" s="1"/>
  <c r="G66" i="4"/>
  <c r="H66" i="4" s="1"/>
  <c r="E70" i="5"/>
  <c r="M54" i="4"/>
  <c r="N54" i="4" s="1"/>
  <c r="G50" i="4"/>
  <c r="I50" i="4" s="1"/>
  <c r="J50" i="4" s="1"/>
  <c r="I58" i="6"/>
  <c r="E65" i="6"/>
  <c r="D65" i="6"/>
  <c r="G65" i="6"/>
  <c r="E43" i="6" s="1"/>
  <c r="H65" i="6"/>
  <c r="F58" i="6"/>
  <c r="F52" i="6"/>
  <c r="F73" i="6"/>
  <c r="K58" i="4"/>
  <c r="E41" i="5"/>
  <c r="G41" i="5" s="1"/>
  <c r="M58" i="4"/>
  <c r="N58" i="4" s="1"/>
  <c r="E43" i="4"/>
  <c r="I56" i="4"/>
  <c r="J56" i="4" s="1"/>
  <c r="G69" i="4"/>
  <c r="H69" i="4" s="1"/>
  <c r="F69" i="6"/>
  <c r="F70" i="6"/>
  <c r="F62" i="6"/>
  <c r="F61" i="6"/>
  <c r="F56" i="6"/>
  <c r="E71" i="6"/>
  <c r="F71" i="6" s="1"/>
  <c r="J58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F51" i="6"/>
  <c r="F72" i="6"/>
  <c r="F64" i="6"/>
  <c r="F57" i="6"/>
  <c r="I61" i="6"/>
  <c r="I64" i="6"/>
  <c r="I51" i="6"/>
  <c r="I63" i="6"/>
  <c r="I62" i="6"/>
  <c r="I55" i="6"/>
  <c r="I54" i="6"/>
  <c r="I60" i="6"/>
  <c r="E44" i="6"/>
  <c r="I56" i="6"/>
  <c r="F45" i="6"/>
  <c r="I57" i="6"/>
  <c r="D74" i="6"/>
  <c r="F63" i="6"/>
  <c r="F54" i="6"/>
  <c r="I52" i="6"/>
  <c r="F60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7" i="4" l="1"/>
  <c r="H67" i="4" s="1"/>
  <c r="M50" i="4"/>
  <c r="N50" i="4" s="1"/>
  <c r="L61" i="4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I65" i="6"/>
  <c r="F65" i="6"/>
  <c r="J58" i="6"/>
  <c r="G70" i="4"/>
  <c r="H70" i="4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J63" i="6"/>
  <c r="F44" i="6"/>
  <c r="F43" i="6"/>
  <c r="J54" i="6"/>
  <c r="E74" i="6"/>
  <c r="F7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J65" i="6" l="1"/>
  <c r="J61" i="4"/>
  <c r="G44" i="4"/>
  <c r="H44" i="4" s="1"/>
  <c r="N49" i="4"/>
  <c r="M61" i="4"/>
  <c r="N61" i="4" s="1"/>
  <c r="G44" i="5"/>
  <c r="H44" i="5" s="1"/>
  <c r="G70" i="5"/>
  <c r="H70" i="5" s="1"/>
  <c r="M61" i="5"/>
  <c r="N61" i="5" s="1"/>
  <c r="J49" i="5"/>
  <c r="I61" i="5"/>
  <c r="J61" i="5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sharedStrings.xml><?xml version="1.0" encoding="utf-8"?>
<sst xmlns="http://schemas.openxmlformats.org/spreadsheetml/2006/main" count="1843" uniqueCount="193">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</sst>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7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36" fillId="15" borderId="2" xfId="0" applyFont="1" applyFill="1" applyBorder="1" applyAlignment="1">
      <alignment horizontal="center" vertical="center" wrapText="1"/>
    </xf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41" fontId="0" fillId="0" borderId="4" xfId="0" applyNumberFormat="1" applyBorder="1"/>
    <xf numFmtId="0" fontId="0" fillId="0" borderId="4" xfId="0" applyBorder="1"/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on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41" fontId="24" fillId="18" borderId="4" xfId="0" applyNumberFormat="1" applyFont="1" applyFill="1" applyBorder="1" applyAlignment="1">
      <alignment horizontal="centerContinuous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on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on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4" fillId="18" borderId="4" xfId="0" applyNumberFormat="1" applyFont="1" applyFill="1" applyBorder="1" applyAlignment="1">
      <alignment horizontal="centerContinuous" vertical="center" wrapText="1"/>
    </xf>
    <xf numFmtId="41" fontId="35" fillId="0" borderId="4" xfId="0" applyNumberFormat="1" applyFont="1" applyBorder="1"/>
    <xf numFmtId="0" fontId="35" fillId="0" borderId="4" xfId="0" applyFont="1" applyBorder="1"/>
    <xf numFmtId="41" fontId="49" fillId="33" borderId="4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4" t="s">
        <v>0</v>
      </c>
      <c r="C1" s="234"/>
    </row>
    <row r="3" spans="2:3" x14ac:dyDescent="0.25">
      <c r="B3" s="235" t="s">
        <v>1</v>
      </c>
      <c r="C3" s="235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6" t="s">
        <v>14</v>
      </c>
      <c r="C11" s="236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6" zoomScale="110" zoomScaleNormal="110" workbookViewId="0">
      <selection activeCell="K22" sqref="K22:K24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42578125" customWidth="1"/>
    <col min="15" max="15" width="9.85546875" customWidth="1"/>
    <col min="16" max="17" width="10.8554687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35" t="s">
        <v>28</v>
      </c>
      <c r="C3" s="235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1" t="s">
        <v>69</v>
      </c>
      <c r="C6" s="132" t="s">
        <v>70</v>
      </c>
      <c r="D6" s="133">
        <v>1058997546</v>
      </c>
      <c r="E6" s="133">
        <v>173866062</v>
      </c>
      <c r="F6" s="133">
        <v>1018372028</v>
      </c>
      <c r="G6" s="133">
        <v>159266402</v>
      </c>
      <c r="H6" s="133">
        <v>1009948386</v>
      </c>
      <c r="I6" s="133">
        <v>172865092</v>
      </c>
      <c r="J6" s="133">
        <v>535182371</v>
      </c>
      <c r="K6" s="133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37" t="s">
        <v>175</v>
      </c>
      <c r="C7" s="138" t="s">
        <v>176</v>
      </c>
      <c r="D7" s="139">
        <v>241473268</v>
      </c>
      <c r="E7" s="139">
        <v>0</v>
      </c>
      <c r="F7" s="139">
        <v>0</v>
      </c>
      <c r="G7" s="139">
        <v>0</v>
      </c>
      <c r="H7" s="139">
        <v>0</v>
      </c>
      <c r="I7" s="139">
        <v>0</v>
      </c>
      <c r="J7" s="139">
        <v>241473268</v>
      </c>
      <c r="K7" s="139">
        <v>0</v>
      </c>
      <c r="L7" s="130">
        <v>241473268</v>
      </c>
      <c r="M7" s="7"/>
      <c r="N7" s="7">
        <v>241473268</v>
      </c>
      <c r="O7" s="7"/>
      <c r="P7" s="7">
        <v>248955573.78787571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34" t="s">
        <v>71</v>
      </c>
      <c r="C8" s="135" t="s">
        <v>72</v>
      </c>
      <c r="D8" s="136">
        <v>491334077</v>
      </c>
      <c r="E8" s="136">
        <v>28700620</v>
      </c>
      <c r="F8" s="136">
        <v>471021318</v>
      </c>
      <c r="G8" s="136">
        <v>21400790</v>
      </c>
      <c r="H8" s="136">
        <v>466809497</v>
      </c>
      <c r="I8" s="136">
        <v>28200135</v>
      </c>
      <c r="J8" s="136">
        <v>590712471.92289722</v>
      </c>
      <c r="K8" s="136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1" t="s">
        <v>78</v>
      </c>
      <c r="C12" s="132" t="s">
        <v>79</v>
      </c>
      <c r="D12" s="133">
        <v>988070138</v>
      </c>
      <c r="E12" s="133">
        <v>45600197</v>
      </c>
      <c r="F12" s="133">
        <v>967757378</v>
      </c>
      <c r="G12" s="133">
        <v>38300367</v>
      </c>
      <c r="H12" s="133">
        <v>963545558</v>
      </c>
      <c r="I12" s="133">
        <v>45099712</v>
      </c>
      <c r="J12" s="133">
        <v>485287059</v>
      </c>
      <c r="K12" s="133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37" t="s">
        <v>175</v>
      </c>
      <c r="C13" s="138" t="s">
        <v>177</v>
      </c>
      <c r="D13" s="139">
        <v>404133664</v>
      </c>
      <c r="E13" s="139">
        <v>0</v>
      </c>
      <c r="F13" s="139">
        <v>0</v>
      </c>
      <c r="G13" s="139">
        <v>0</v>
      </c>
      <c r="H13" s="139">
        <v>0</v>
      </c>
      <c r="I13" s="139">
        <v>0</v>
      </c>
      <c r="J13" s="139">
        <v>404133664</v>
      </c>
      <c r="K13" s="139">
        <v>0</v>
      </c>
      <c r="L13" s="130">
        <v>404133664</v>
      </c>
      <c r="M13" s="7"/>
      <c r="N13" s="7">
        <v>404133664</v>
      </c>
      <c r="O13" s="7"/>
      <c r="P13" s="7">
        <v>429849184.30128497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34" t="s">
        <v>80</v>
      </c>
      <c r="C14" s="135" t="s">
        <v>81</v>
      </c>
      <c r="D14" s="136">
        <v>479914486</v>
      </c>
      <c r="E14" s="136">
        <v>120283183</v>
      </c>
      <c r="F14" s="136">
        <v>459601727</v>
      </c>
      <c r="G14" s="136">
        <v>112983353</v>
      </c>
      <c r="H14" s="136">
        <v>455389906</v>
      </c>
      <c r="I14" s="136">
        <v>119782698</v>
      </c>
      <c r="J14" s="136">
        <v>384017309.32355773</v>
      </c>
      <c r="K14" s="136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37" t="s">
        <v>102</v>
      </c>
      <c r="C29" s="237"/>
      <c r="D29" s="237"/>
      <c r="E29" s="237"/>
      <c r="F29" s="237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39" t="s">
        <v>146</v>
      </c>
      <c r="C44" s="240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41" t="s">
        <v>41</v>
      </c>
      <c r="C47" s="241" t="s">
        <v>42</v>
      </c>
      <c r="D47" s="242" t="s">
        <v>138</v>
      </c>
      <c r="E47" s="243"/>
      <c r="F47" s="244"/>
      <c r="G47" s="101" t="s">
        <v>139</v>
      </c>
      <c r="H47" s="101"/>
      <c r="I47" s="101"/>
      <c r="J47" s="241" t="s">
        <v>140</v>
      </c>
      <c r="K47" s="102" t="s">
        <v>148</v>
      </c>
      <c r="L47" s="102"/>
      <c r="M47" s="102"/>
      <c r="N47" s="238" t="s">
        <v>149</v>
      </c>
    </row>
    <row r="48" spans="2:14" ht="15.75" x14ac:dyDescent="0.25">
      <c r="B48" s="241"/>
      <c r="C48" s="24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41"/>
      <c r="K48" s="104" t="s">
        <v>143</v>
      </c>
      <c r="L48" s="104" t="s">
        <v>111</v>
      </c>
      <c r="M48" s="104" t="s">
        <v>146</v>
      </c>
      <c r="N48" s="238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39" t="s">
        <v>146</v>
      </c>
      <c r="C44" s="240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41" t="s">
        <v>41</v>
      </c>
      <c r="C47" s="241" t="s">
        <v>42</v>
      </c>
      <c r="D47" s="242" t="s">
        <v>138</v>
      </c>
      <c r="E47" s="243"/>
      <c r="F47" s="244"/>
      <c r="G47" s="101" t="s">
        <v>139</v>
      </c>
      <c r="H47" s="101"/>
      <c r="I47" s="101"/>
      <c r="J47" s="241" t="s">
        <v>140</v>
      </c>
      <c r="K47" s="102" t="s">
        <v>148</v>
      </c>
      <c r="L47" s="102"/>
      <c r="M47" s="102"/>
      <c r="N47" s="238" t="s">
        <v>149</v>
      </c>
    </row>
    <row r="48" spans="2:14" ht="15.75" x14ac:dyDescent="0.25">
      <c r="B48" s="241"/>
      <c r="C48" s="24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41"/>
      <c r="K48" s="104" t="s">
        <v>143</v>
      </c>
      <c r="L48" s="104" t="s">
        <v>111</v>
      </c>
      <c r="M48" s="104" t="s">
        <v>146</v>
      </c>
      <c r="N48" s="238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49" t="s">
        <v>146</v>
      </c>
      <c r="C44" s="250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1" t="s">
        <v>41</v>
      </c>
      <c r="C47" s="251" t="s">
        <v>42</v>
      </c>
      <c r="D47" s="246" t="s">
        <v>138</v>
      </c>
      <c r="E47" s="247"/>
      <c r="F47" s="248"/>
      <c r="G47" s="70" t="s">
        <v>139</v>
      </c>
      <c r="H47" s="70"/>
      <c r="I47" s="70"/>
      <c r="J47" s="251" t="s">
        <v>140</v>
      </c>
      <c r="K47" s="35" t="s">
        <v>148</v>
      </c>
      <c r="L47" s="35"/>
      <c r="M47" s="35"/>
      <c r="N47" s="245" t="s">
        <v>149</v>
      </c>
    </row>
    <row r="48" spans="2:17" ht="15.75" x14ac:dyDescent="0.25">
      <c r="B48" s="251"/>
      <c r="C48" s="251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51"/>
      <c r="K48" s="34" t="s">
        <v>143</v>
      </c>
      <c r="L48" s="34" t="s">
        <v>111</v>
      </c>
      <c r="M48" s="34" t="s">
        <v>146</v>
      </c>
      <c r="N48" s="245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I49" sqref="I49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6" customWidth="1"/>
    <col min="10" max="18" width="15.28515625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42"/>
      <c r="D15" s="142" t="s">
        <v>168</v>
      </c>
      <c r="E15" s="142"/>
      <c r="F15" s="142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9" x14ac:dyDescent="0.25">
      <c r="B33" s="84" t="s">
        <v>133</v>
      </c>
      <c r="C33" s="15">
        <v>449933743.924721</v>
      </c>
    </row>
    <row r="34" spans="2:19" x14ac:dyDescent="0.25">
      <c r="B34" s="84" t="s">
        <v>134</v>
      </c>
      <c r="C34" s="15">
        <v>318278585.086043</v>
      </c>
    </row>
    <row r="35" spans="2:19" x14ac:dyDescent="0.25">
      <c r="B35" s="84" t="s">
        <v>135</v>
      </c>
      <c r="C35" s="15">
        <v>267561093.287265</v>
      </c>
    </row>
    <row r="36" spans="2:19" x14ac:dyDescent="0.25">
      <c r="B36" s="84" t="s">
        <v>136</v>
      </c>
      <c r="C36" s="15">
        <v>311290805.19997603</v>
      </c>
    </row>
    <row r="37" spans="2:19" x14ac:dyDescent="0.25">
      <c r="B37" s="84"/>
      <c r="C37" s="85"/>
    </row>
    <row r="38" spans="2:19" x14ac:dyDescent="0.25">
      <c r="B38" s="76"/>
      <c r="C38" s="85"/>
    </row>
    <row r="40" spans="2:19" x14ac:dyDescent="0.25">
      <c r="S40" s="191" t="s">
        <v>188</v>
      </c>
    </row>
    <row r="41" spans="2:19" ht="27.95" customHeight="1" x14ac:dyDescent="0.25">
      <c r="B41" s="252" t="s">
        <v>181</v>
      </c>
      <c r="C41" s="253"/>
      <c r="D41" s="254"/>
      <c r="E41" s="67" t="s">
        <v>138</v>
      </c>
      <c r="F41" s="185">
        <v>1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187">
        <f>IFERROR(E43/D43,0)</f>
        <v>0.84857499817777438</v>
      </c>
      <c r="G43" s="197">
        <f>D43*$H$41-E43</f>
        <v>340396451.76468086</v>
      </c>
      <c r="H43" s="197">
        <f ca="1">IFERROR(G43/$C$3,0)</f>
        <v>0</v>
      </c>
      <c r="I43" s="218">
        <f>D43*$J$41-E43</f>
        <v>671360418.41792393</v>
      </c>
      <c r="J43" s="218">
        <f ca="1">IFERROR(I43/$C$3,0)</f>
        <v>0</v>
      </c>
      <c r="K43" s="198">
        <f>D43*$L$41-E43</f>
        <v>1002324385.071167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187">
        <f>IFERROR(E44/D44,0)</f>
        <v>0.76899057819092842</v>
      </c>
      <c r="G44" s="197">
        <f>D44*$H$41-E44</f>
        <v>166351337.26681495</v>
      </c>
      <c r="H44" s="197">
        <f ca="1">IFERROR(G44/$C$3,0)</f>
        <v>0</v>
      </c>
      <c r="I44" s="218">
        <f>D44*$J$41-E44</f>
        <v>229839647.86681485</v>
      </c>
      <c r="J44" s="218">
        <f ca="1">IFERROR(I44/$C$3,0)</f>
        <v>0</v>
      </c>
      <c r="K44" s="198">
        <f>D44*$L$41-E44</f>
        <v>293327958.46681499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187">
        <f>IFERROR(E45/D45,0)</f>
        <v>0.88602358411334747</v>
      </c>
      <c r="G45" s="197">
        <f>D45*$H$41-E45</f>
        <v>25038600.375662804</v>
      </c>
      <c r="H45" s="197">
        <f ca="1">IFERROR(G45/$C$3,0)</f>
        <v>0</v>
      </c>
      <c r="I45" s="218">
        <f>D45*$J$41-E45</f>
        <v>114613068.46076894</v>
      </c>
      <c r="J45" s="218">
        <f ca="1">IFERROR(I45/$C$3,0)</f>
        <v>0</v>
      </c>
      <c r="K45" s="198">
        <f>D45*$L$41-E45</f>
        <v>204187536.54587555</v>
      </c>
      <c r="L45" s="198">
        <f ca="1">IFERROR(K45/$C$3,0)</f>
        <v>0</v>
      </c>
      <c r="S45" s="184">
        <v>0.9</v>
      </c>
    </row>
    <row r="46" spans="2:19" ht="20.100000000000001" customHeight="1" x14ac:dyDescent="0.25">
      <c r="B46" s="249" t="s">
        <v>146</v>
      </c>
      <c r="C46" s="250"/>
      <c r="D46" s="47">
        <f>D43+D44+D45</f>
        <v>9680534906.7669907</v>
      </c>
      <c r="E46" s="47">
        <f>E43+E44+E45</f>
        <v>8180695026.6831322</v>
      </c>
      <c r="F46" s="188">
        <f>IFERROR(E46/D46,0)</f>
        <v>0.84506642509646601</v>
      </c>
      <c r="G46" s="194">
        <f>G43+G44+G45</f>
        <v>531786389.40715861</v>
      </c>
      <c r="H46" s="194">
        <f ca="1">IFERROR(G46/$C$3,0)</f>
        <v>0</v>
      </c>
      <c r="I46" s="199">
        <f>I43+I44+I45</f>
        <v>1015813134.7455077</v>
      </c>
      <c r="J46" s="199">
        <f ca="1">IFERROR(I46/$C$3,0)</f>
        <v>0</v>
      </c>
      <c r="K46" s="199">
        <f>K43+K44+K45</f>
        <v>1499839880.0838575</v>
      </c>
      <c r="L46" s="199">
        <f ca="1">IFERROR(K46/$C$3,0)</f>
        <v>0</v>
      </c>
      <c r="S46" s="184">
        <v>0.95</v>
      </c>
    </row>
    <row r="47" spans="2:19" x14ac:dyDescent="0.25">
      <c r="S47" s="184">
        <v>1</v>
      </c>
    </row>
    <row r="48" spans="2:19" s="148" customFormat="1" ht="20.100000000000001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189</v>
      </c>
      <c r="L48" s="262"/>
      <c r="M48" s="262"/>
      <c r="N48" s="262"/>
      <c r="O48" s="262"/>
      <c r="P48" s="263"/>
      <c r="Q48"/>
      <c r="R48"/>
    </row>
    <row r="49" spans="2:18" s="148" customFormat="1" ht="33.950000000000003" customHeight="1" x14ac:dyDescent="0.25">
      <c r="B49" s="260" t="s">
        <v>41</v>
      </c>
      <c r="C49" s="260" t="s">
        <v>42</v>
      </c>
      <c r="D49" s="257" t="s">
        <v>138</v>
      </c>
      <c r="E49" s="258"/>
      <c r="F49" s="259"/>
      <c r="G49" s="149" t="s">
        <v>139</v>
      </c>
      <c r="H49" s="149"/>
      <c r="I49" s="149"/>
      <c r="J49" s="257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02" t="str">
        <f>"PER HARI"&amp;CHAR(10)&amp;TEXT($J$41,"0%")</f>
        <v>PER HARI
95%</v>
      </c>
      <c r="O49" s="196" t="str">
        <f>"SELISIH"&amp;CHAR(10)&amp;TEXT($L$41,"0%")</f>
        <v>SELISIH
100%</v>
      </c>
      <c r="P49" s="268" t="str">
        <f>"PER HARI"&amp;CHAR(10)&amp;TEXT($L$41,"0%")</f>
        <v>PER HARI
100%</v>
      </c>
      <c r="Q49"/>
      <c r="R49"/>
    </row>
    <row r="50" spans="2:18" s="148" customFormat="1" ht="20.100000000000001" customHeight="1" x14ac:dyDescent="0.25">
      <c r="B50" s="260"/>
      <c r="C50" s="260"/>
      <c r="D50" s="150" t="s">
        <v>150</v>
      </c>
      <c r="E50" s="150" t="s">
        <v>151</v>
      </c>
      <c r="F50" s="150" t="s">
        <v>131</v>
      </c>
      <c r="G50" s="151" t="s">
        <v>150</v>
      </c>
      <c r="H50" s="151" t="s">
        <v>151</v>
      </c>
      <c r="I50" s="151" t="s">
        <v>131</v>
      </c>
      <c r="J50" s="257"/>
      <c r="K50" s="265"/>
      <c r="L50" s="265"/>
      <c r="M50" s="267"/>
      <c r="N50" s="202"/>
      <c r="O50" s="196"/>
      <c r="P50" s="269"/>
      <c r="Q50"/>
      <c r="R50"/>
    </row>
    <row r="51" spans="2:18" s="148" customFormat="1" ht="20.100000000000001" customHeight="1" x14ac:dyDescent="0.25">
      <c r="B51" s="159" t="s">
        <v>67</v>
      </c>
      <c r="C51" s="160" t="s">
        <v>68</v>
      </c>
      <c r="D51" s="153">
        <f>TARGETS!J5</f>
        <v>396683478.3262167</v>
      </c>
      <c r="E51" s="153">
        <f>TARGETS!K5</f>
        <v>49588709</v>
      </c>
      <c r="F51" s="153">
        <f t="shared" ref="F51:F64" si="0">D51+E51</f>
        <v>446272187.3262167</v>
      </c>
      <c r="G51" s="154">
        <f>M8</f>
        <v>299770568.60838997</v>
      </c>
      <c r="H51" s="154">
        <f>N8</f>
        <v>45375105.343964003</v>
      </c>
      <c r="I51" s="154">
        <f t="shared" ref="I51:I64" si="1">G51+H51</f>
        <v>345145673.95235395</v>
      </c>
      <c r="J51" s="219">
        <f t="shared" ref="J51:J64" si="2">IFERROR(I51/F51,0)</f>
        <v>0.77339723100435753</v>
      </c>
      <c r="K51" s="225">
        <f t="shared" ref="K51:K64" si="3">F51*$H$41-I51</f>
        <v>56499294.641241074</v>
      </c>
      <c r="L51" s="225">
        <f t="shared" ref="L51:L65" ca="1" si="4">IFERROR(K51/$C$3,0)</f>
        <v>0</v>
      </c>
      <c r="M51" s="231">
        <f t="shared" ref="M51:M64" si="5">F51*$J$41-I51</f>
        <v>78812904.007551908</v>
      </c>
      <c r="N51" s="231">
        <f t="shared" ref="N51:N65" ca="1" si="6">IFERROR(M51/$C$3,0)</f>
        <v>0</v>
      </c>
      <c r="O51" s="227">
        <f t="shared" ref="O51:O64" si="7">F51*$L$41-I51</f>
        <v>101126513.37386274</v>
      </c>
      <c r="P51" s="227">
        <f t="shared" ref="P51:P65" ca="1" si="8">IFERROR(O51/$C$3,0)</f>
        <v>0</v>
      </c>
      <c r="Q51"/>
      <c r="R51"/>
    </row>
    <row r="52" spans="2:18" s="148" customFormat="1" ht="20.100000000000001" customHeight="1" x14ac:dyDescent="0.25">
      <c r="B52" s="161" t="s">
        <v>69</v>
      </c>
      <c r="C52" s="162" t="s">
        <v>70</v>
      </c>
      <c r="D52" s="155">
        <f>TARGETS!J6</f>
        <v>535182371</v>
      </c>
      <c r="E52" s="155">
        <f>TARGETS!K6</f>
        <v>172865092</v>
      </c>
      <c r="F52" s="155">
        <f t="shared" si="0"/>
        <v>708047463</v>
      </c>
      <c r="G52" s="154">
        <f>M9</f>
        <v>491669786.60148901</v>
      </c>
      <c r="H52" s="154">
        <f>N9</f>
        <v>120248212.43861198</v>
      </c>
      <c r="I52" s="154">
        <f t="shared" si="1"/>
        <v>611917999.04010105</v>
      </c>
      <c r="J52" s="219">
        <f t="shared" si="2"/>
        <v>0.86423302252563972</v>
      </c>
      <c r="K52" s="225">
        <f t="shared" si="3"/>
        <v>25324717.659898996</v>
      </c>
      <c r="L52" s="225">
        <f t="shared" ca="1" si="4"/>
        <v>0</v>
      </c>
      <c r="M52" s="231">
        <f t="shared" si="5"/>
        <v>60727090.809898973</v>
      </c>
      <c r="N52" s="231">
        <f t="shared" ca="1" si="6"/>
        <v>0</v>
      </c>
      <c r="O52" s="227">
        <f t="shared" si="7"/>
        <v>96129463.959898949</v>
      </c>
      <c r="P52" s="227">
        <f t="shared" ca="1" si="8"/>
        <v>0</v>
      </c>
      <c r="Q52"/>
      <c r="R52"/>
    </row>
    <row r="53" spans="2:18" s="148" customFormat="1" ht="20.100000000000001" customHeight="1" x14ac:dyDescent="0.25">
      <c r="B53" s="163" t="s">
        <v>175</v>
      </c>
      <c r="C53" s="164" t="s">
        <v>176</v>
      </c>
      <c r="D53" s="156">
        <f>TARGETS!J7</f>
        <v>241473268</v>
      </c>
      <c r="E53" s="156">
        <f>TARGETS!K7</f>
        <v>0</v>
      </c>
      <c r="F53" s="156">
        <f>D53+E53</f>
        <v>241473268</v>
      </c>
      <c r="G53" s="154">
        <f>C22</f>
        <v>38884328.600000001</v>
      </c>
      <c r="H53" s="154">
        <f>IF(D22="",0,D22)</f>
        <v>0</v>
      </c>
      <c r="I53" s="154">
        <f>G53+H53</f>
        <v>38884328.600000001</v>
      </c>
      <c r="J53" s="219">
        <f>IFERROR(I53/F53,0)</f>
        <v>0.1610295372322538</v>
      </c>
      <c r="K53" s="225">
        <f t="shared" si="3"/>
        <v>178441612.60000002</v>
      </c>
      <c r="L53" s="225">
        <f t="shared" ca="1" si="4"/>
        <v>0</v>
      </c>
      <c r="M53" s="231">
        <f t="shared" si="5"/>
        <v>190515276</v>
      </c>
      <c r="N53" s="231">
        <f t="shared" ca="1" si="6"/>
        <v>0</v>
      </c>
      <c r="O53" s="227">
        <f t="shared" si="7"/>
        <v>202588939.40000001</v>
      </c>
      <c r="P53" s="227">
        <f t="shared" ca="1" si="8"/>
        <v>0</v>
      </c>
      <c r="Q53"/>
      <c r="R53"/>
    </row>
    <row r="54" spans="2:18" s="148" customFormat="1" ht="20.100000000000001" customHeight="1" x14ac:dyDescent="0.25">
      <c r="B54" s="161" t="s">
        <v>71</v>
      </c>
      <c r="C54" s="162" t="s">
        <v>72</v>
      </c>
      <c r="D54" s="155">
        <f>TARGETS!J8</f>
        <v>590712471.92289722</v>
      </c>
      <c r="E54" s="155">
        <f>TARGETS!K8</f>
        <v>28200135</v>
      </c>
      <c r="F54" s="155">
        <f t="shared" si="0"/>
        <v>618912606.92289722</v>
      </c>
      <c r="G54" s="154">
        <f>M10</f>
        <v>537997275.46389103</v>
      </c>
      <c r="H54" s="154">
        <f t="shared" ref="H54:H58" si="9">N10</f>
        <v>21205741.099730998</v>
      </c>
      <c r="I54" s="154">
        <f t="shared" si="1"/>
        <v>559203016.563622</v>
      </c>
      <c r="J54" s="219">
        <f t="shared" si="2"/>
        <v>0.90352500548318337</v>
      </c>
      <c r="K54" s="225">
        <f t="shared" si="3"/>
        <v>-2181670.3330144882</v>
      </c>
      <c r="L54" s="225">
        <f t="shared" ca="1" si="4"/>
        <v>0</v>
      </c>
      <c r="M54" s="231">
        <f t="shared" si="5"/>
        <v>28763960.013130307</v>
      </c>
      <c r="N54" s="231">
        <f t="shared" ca="1" si="6"/>
        <v>0</v>
      </c>
      <c r="O54" s="227">
        <f t="shared" si="7"/>
        <v>59709590.359275222</v>
      </c>
      <c r="P54" s="227">
        <f t="shared" ca="1" si="8"/>
        <v>0</v>
      </c>
      <c r="Q54"/>
      <c r="R54"/>
    </row>
    <row r="55" spans="2:18" s="148" customFormat="1" ht="20.100000000000001" customHeight="1" x14ac:dyDescent="0.25">
      <c r="B55" s="159" t="s">
        <v>73</v>
      </c>
      <c r="C55" s="160" t="s">
        <v>74</v>
      </c>
      <c r="D55" s="153">
        <f>TARGETS!J9</f>
        <v>395063284.19152415</v>
      </c>
      <c r="E55" s="153">
        <f>TARGETS!K9</f>
        <v>73528469</v>
      </c>
      <c r="F55" s="153">
        <f t="shared" si="0"/>
        <v>468591753.19152415</v>
      </c>
      <c r="G55" s="154">
        <f>M11</f>
        <v>355626119.92999297</v>
      </c>
      <c r="H55" s="154">
        <f t="shared" si="9"/>
        <v>44657675.509999998</v>
      </c>
      <c r="I55" s="154">
        <f t="shared" si="1"/>
        <v>400283795.43999296</v>
      </c>
      <c r="J55" s="219">
        <f t="shared" si="2"/>
        <v>0.85422714487334961</v>
      </c>
      <c r="K55" s="225">
        <f t="shared" si="3"/>
        <v>21448782.432378769</v>
      </c>
      <c r="L55" s="225">
        <f t="shared" ca="1" si="4"/>
        <v>0</v>
      </c>
      <c r="M55" s="231">
        <f t="shared" si="5"/>
        <v>44878370.091954947</v>
      </c>
      <c r="N55" s="231">
        <f t="shared" ca="1" si="6"/>
        <v>0</v>
      </c>
      <c r="O55" s="227">
        <f t="shared" si="7"/>
        <v>68307957.751531184</v>
      </c>
      <c r="P55" s="227">
        <f t="shared" ca="1" si="8"/>
        <v>0</v>
      </c>
      <c r="Q55"/>
      <c r="R55"/>
    </row>
    <row r="56" spans="2:18" s="148" customFormat="1" ht="20.100000000000001" customHeight="1" x14ac:dyDescent="0.25">
      <c r="B56" s="161" t="s">
        <v>75</v>
      </c>
      <c r="C56" s="162" t="s">
        <v>74</v>
      </c>
      <c r="D56" s="155">
        <f>TARGETS!J10</f>
        <v>463918832.1226536</v>
      </c>
      <c r="E56" s="155">
        <f>TARGETS!K10</f>
        <v>71898548</v>
      </c>
      <c r="F56" s="155">
        <f t="shared" si="0"/>
        <v>535817380.1226536</v>
      </c>
      <c r="G56" s="154">
        <f>M12</f>
        <v>449682614.319305</v>
      </c>
      <c r="H56" s="154">
        <f t="shared" si="9"/>
        <v>60505589.095815003</v>
      </c>
      <c r="I56" s="154">
        <f t="shared" si="1"/>
        <v>510188203.41512001</v>
      </c>
      <c r="J56" s="219">
        <f t="shared" si="2"/>
        <v>0.95216807506007584</v>
      </c>
      <c r="K56" s="225">
        <f t="shared" si="3"/>
        <v>-27952561.304731727</v>
      </c>
      <c r="L56" s="225">
        <f t="shared" ca="1" si="4"/>
        <v>0</v>
      </c>
      <c r="M56" s="231">
        <f t="shared" si="5"/>
        <v>-1161692.298599124</v>
      </c>
      <c r="N56" s="231">
        <f t="shared" ca="1" si="6"/>
        <v>0</v>
      </c>
      <c r="O56" s="227">
        <f t="shared" si="7"/>
        <v>25629176.707533598</v>
      </c>
      <c r="P56" s="227">
        <f t="shared" ca="1" si="8"/>
        <v>0</v>
      </c>
      <c r="Q56"/>
      <c r="R56"/>
    </row>
    <row r="57" spans="2:18" s="148" customFormat="1" ht="20.100000000000001" customHeight="1" x14ac:dyDescent="0.25">
      <c r="B57" s="159" t="s">
        <v>76</v>
      </c>
      <c r="C57" s="160" t="s">
        <v>77</v>
      </c>
      <c r="D57" s="153">
        <f>TARGETS!J11</f>
        <v>941758345.44471872</v>
      </c>
      <c r="E57" s="153">
        <f>TARGETS!K11</f>
        <v>73246884</v>
      </c>
      <c r="F57" s="153">
        <f t="shared" si="0"/>
        <v>1015005229.4447187</v>
      </c>
      <c r="G57" s="154">
        <f>M13</f>
        <v>1030915377.322188</v>
      </c>
      <c r="H57" s="154">
        <f t="shared" si="9"/>
        <v>59498535.799857996</v>
      </c>
      <c r="I57" s="154">
        <f t="shared" si="1"/>
        <v>1090413913.122046</v>
      </c>
      <c r="J57" s="219">
        <f t="shared" si="2"/>
        <v>1.0742938868586729</v>
      </c>
      <c r="K57" s="225">
        <f t="shared" si="3"/>
        <v>-176909206.62179911</v>
      </c>
      <c r="L57" s="225">
        <f t="shared" ca="1" si="4"/>
        <v>0</v>
      </c>
      <c r="M57" s="231">
        <f t="shared" si="5"/>
        <v>-126158945.14956331</v>
      </c>
      <c r="N57" s="231">
        <f t="shared" ca="1" si="6"/>
        <v>0</v>
      </c>
      <c r="O57" s="227">
        <f t="shared" si="7"/>
        <v>-75408683.677327275</v>
      </c>
      <c r="P57" s="227">
        <f t="shared" ca="1" si="8"/>
        <v>0</v>
      </c>
      <c r="Q57"/>
      <c r="R57"/>
    </row>
    <row r="58" spans="2:18" s="148" customFormat="1" ht="20.100000000000001" customHeight="1" x14ac:dyDescent="0.25">
      <c r="B58" s="161" t="s">
        <v>78</v>
      </c>
      <c r="C58" s="162" t="s">
        <v>79</v>
      </c>
      <c r="D58" s="155">
        <f>TARGETS!J12</f>
        <v>485287059</v>
      </c>
      <c r="E58" s="155">
        <f>TARGETS!K12</f>
        <v>45099712</v>
      </c>
      <c r="F58" s="155">
        <f t="shared" si="0"/>
        <v>530386771</v>
      </c>
      <c r="G58" s="154">
        <f>M14</f>
        <v>378754537.60554802</v>
      </c>
      <c r="H58" s="154">
        <f t="shared" si="9"/>
        <v>62284984.519973002</v>
      </c>
      <c r="I58" s="154">
        <f>G58+H58</f>
        <v>441039522.125521</v>
      </c>
      <c r="J58" s="219">
        <f>IFERROR(I58/F58,0)</f>
        <v>0.83154321759190519</v>
      </c>
      <c r="K58" s="225">
        <f t="shared" si="3"/>
        <v>36308571.774479032</v>
      </c>
      <c r="L58" s="225">
        <f t="shared" ca="1" si="4"/>
        <v>0</v>
      </c>
      <c r="M58" s="231">
        <f t="shared" si="5"/>
        <v>62827910.324478984</v>
      </c>
      <c r="N58" s="231">
        <f t="shared" ca="1" si="6"/>
        <v>0</v>
      </c>
      <c r="O58" s="227">
        <f t="shared" si="7"/>
        <v>89347248.874478996</v>
      </c>
      <c r="P58" s="227">
        <f t="shared" ca="1" si="8"/>
        <v>0</v>
      </c>
      <c r="Q58"/>
      <c r="R58"/>
    </row>
    <row r="59" spans="2:18" s="148" customFormat="1" ht="20.100000000000001" customHeight="1" x14ac:dyDescent="0.25">
      <c r="B59" s="163" t="s">
        <v>175</v>
      </c>
      <c r="C59" s="164" t="s">
        <v>177</v>
      </c>
      <c r="D59" s="156">
        <f>TARGETS!J13</f>
        <v>404133664</v>
      </c>
      <c r="E59" s="156">
        <f>TARGETS!K13</f>
        <v>0</v>
      </c>
      <c r="F59" s="156">
        <f>D59+E59</f>
        <v>404133664</v>
      </c>
      <c r="G59" s="154">
        <f>C23</f>
        <v>120550492.72</v>
      </c>
      <c r="H59" s="154">
        <f>IF(D23="",0,D23)</f>
        <v>0</v>
      </c>
      <c r="I59" s="154">
        <f>G59+H59</f>
        <v>120550492.72</v>
      </c>
      <c r="J59" s="219">
        <f>IFERROR(I59/F59,0)</f>
        <v>0.29829361782640307</v>
      </c>
      <c r="K59" s="225">
        <f t="shared" si="3"/>
        <v>243169804.88000003</v>
      </c>
      <c r="L59" s="225">
        <f t="shared" ca="1" si="4"/>
        <v>0</v>
      </c>
      <c r="M59" s="231">
        <f t="shared" si="5"/>
        <v>263376488.07999995</v>
      </c>
      <c r="N59" s="231">
        <f t="shared" ca="1" si="6"/>
        <v>0</v>
      </c>
      <c r="O59" s="227">
        <f t="shared" si="7"/>
        <v>283583171.27999997</v>
      </c>
      <c r="P59" s="227">
        <f t="shared" ca="1" si="8"/>
        <v>0</v>
      </c>
      <c r="Q59"/>
      <c r="R59"/>
    </row>
    <row r="60" spans="2:18" s="148" customFormat="1" ht="20.100000000000001" customHeight="1" x14ac:dyDescent="0.25">
      <c r="B60" s="161" t="s">
        <v>80</v>
      </c>
      <c r="C60" s="162" t="s">
        <v>81</v>
      </c>
      <c r="D60" s="155">
        <f>TARGETS!J14</f>
        <v>384017309.32355773</v>
      </c>
      <c r="E60" s="155">
        <f>TARGETS!K14</f>
        <v>119782698</v>
      </c>
      <c r="F60" s="155">
        <f t="shared" si="0"/>
        <v>503800007.32355773</v>
      </c>
      <c r="G60" s="154">
        <f>M15</f>
        <v>304137742.30899602</v>
      </c>
      <c r="H60" s="154">
        <f t="shared" ref="H60:H64" si="10">N15</f>
        <v>119707150.766315</v>
      </c>
      <c r="I60" s="154">
        <f t="shared" si="1"/>
        <v>423844893.07531101</v>
      </c>
      <c r="J60" s="219">
        <f t="shared" si="2"/>
        <v>0.84129592479958659</v>
      </c>
      <c r="K60" s="225">
        <f t="shared" si="3"/>
        <v>29575113.515890956</v>
      </c>
      <c r="L60" s="225">
        <f t="shared" ca="1" si="4"/>
        <v>0</v>
      </c>
      <c r="M60" s="231">
        <f t="shared" si="5"/>
        <v>54765113.882068813</v>
      </c>
      <c r="N60" s="231">
        <f t="shared" ca="1" si="6"/>
        <v>0</v>
      </c>
      <c r="O60" s="227">
        <f t="shared" si="7"/>
        <v>79955114.248246729</v>
      </c>
      <c r="P60" s="227">
        <f t="shared" ca="1" si="8"/>
        <v>0</v>
      </c>
      <c r="Q60"/>
      <c r="R60"/>
    </row>
    <row r="61" spans="2:18" s="148" customFormat="1" ht="20.100000000000001" customHeight="1" x14ac:dyDescent="0.25">
      <c r="B61" s="159" t="s">
        <v>82</v>
      </c>
      <c r="C61" s="160" t="s">
        <v>83</v>
      </c>
      <c r="D61" s="153">
        <f>TARGETS!J15</f>
        <v>611629595.7161876</v>
      </c>
      <c r="E61" s="153">
        <f>TARGETS!K15</f>
        <v>40059909</v>
      </c>
      <c r="F61" s="153">
        <f t="shared" si="0"/>
        <v>651689504.7161876</v>
      </c>
      <c r="G61" s="154">
        <f>M16</f>
        <v>479291727.990435</v>
      </c>
      <c r="H61" s="154">
        <f t="shared" si="10"/>
        <v>61629599.543938003</v>
      </c>
      <c r="I61" s="154">
        <f t="shared" si="1"/>
        <v>540921327.53437304</v>
      </c>
      <c r="J61" s="219">
        <f t="shared" si="2"/>
        <v>0.8300292142497302</v>
      </c>
      <c r="K61" s="225">
        <f t="shared" si="3"/>
        <v>45599226.71019578</v>
      </c>
      <c r="L61" s="225">
        <f t="shared" ca="1" si="4"/>
        <v>0</v>
      </c>
      <c r="M61" s="231">
        <f t="shared" si="5"/>
        <v>78183701.946005106</v>
      </c>
      <c r="N61" s="231">
        <f t="shared" ca="1" si="6"/>
        <v>0</v>
      </c>
      <c r="O61" s="227">
        <f t="shared" si="7"/>
        <v>110768177.18181455</v>
      </c>
      <c r="P61" s="227">
        <f t="shared" ca="1" si="8"/>
        <v>0</v>
      </c>
      <c r="Q61"/>
      <c r="R61"/>
    </row>
    <row r="62" spans="2:18" s="148" customFormat="1" ht="20.100000000000001" customHeight="1" x14ac:dyDescent="0.25">
      <c r="B62" s="161" t="s">
        <v>84</v>
      </c>
      <c r="C62" s="162" t="s">
        <v>85</v>
      </c>
      <c r="D62" s="155">
        <f>TARGETS!J16</f>
        <v>366543022.9053762</v>
      </c>
      <c r="E62" s="155">
        <f>TARGETS!K16</f>
        <v>45082463</v>
      </c>
      <c r="F62" s="155">
        <f t="shared" si="0"/>
        <v>411625485.9053762</v>
      </c>
      <c r="G62" s="154">
        <f>M17</f>
        <v>303439555.68576801</v>
      </c>
      <c r="H62" s="154">
        <f t="shared" si="10"/>
        <v>28364314.698472001</v>
      </c>
      <c r="I62" s="154">
        <f t="shared" si="1"/>
        <v>331803870.38424003</v>
      </c>
      <c r="J62" s="219">
        <f t="shared" si="2"/>
        <v>0.80608194036973346</v>
      </c>
      <c r="K62" s="225">
        <f t="shared" si="3"/>
        <v>38659066.930598557</v>
      </c>
      <c r="L62" s="225">
        <f t="shared" ca="1" si="4"/>
        <v>0</v>
      </c>
      <c r="M62" s="231">
        <f t="shared" si="5"/>
        <v>59240341.225867331</v>
      </c>
      <c r="N62" s="231">
        <f t="shared" ca="1" si="6"/>
        <v>0</v>
      </c>
      <c r="O62" s="227">
        <f t="shared" si="7"/>
        <v>79821615.521136165</v>
      </c>
      <c r="P62" s="227">
        <f t="shared" ca="1" si="8"/>
        <v>0</v>
      </c>
      <c r="Q62"/>
      <c r="R62"/>
    </row>
    <row r="63" spans="2:18" s="148" customFormat="1" ht="20.100000000000001" customHeight="1" x14ac:dyDescent="0.25">
      <c r="B63" s="159" t="s">
        <v>86</v>
      </c>
      <c r="C63" s="160" t="s">
        <v>87</v>
      </c>
      <c r="D63" s="153">
        <f>TARGETS!J17</f>
        <v>563350942.09827971</v>
      </c>
      <c r="E63" s="153">
        <f>TARGETS!K17</f>
        <v>311125253</v>
      </c>
      <c r="F63" s="153">
        <f t="shared" si="0"/>
        <v>874476195.09827971</v>
      </c>
      <c r="G63" s="154">
        <f>M18</f>
        <v>663559823.79009497</v>
      </c>
      <c r="H63" s="154">
        <f t="shared" si="10"/>
        <v>200253231.98958299</v>
      </c>
      <c r="I63" s="154">
        <f t="shared" si="1"/>
        <v>863813055.77967799</v>
      </c>
      <c r="J63" s="219">
        <f t="shared" si="2"/>
        <v>0.98780625547227918</v>
      </c>
      <c r="K63" s="225">
        <f t="shared" si="3"/>
        <v>-76784480.191226244</v>
      </c>
      <c r="L63" s="225">
        <f t="shared" ca="1" si="4"/>
        <v>0</v>
      </c>
      <c r="M63" s="231">
        <f t="shared" si="5"/>
        <v>-33060670.436312318</v>
      </c>
      <c r="N63" s="231">
        <f t="shared" ca="1" si="6"/>
        <v>0</v>
      </c>
      <c r="O63" s="227">
        <f t="shared" si="7"/>
        <v>10663139.318601727</v>
      </c>
      <c r="P63" s="227">
        <f t="shared" ca="1" si="8"/>
        <v>0</v>
      </c>
      <c r="Q63"/>
      <c r="R63"/>
    </row>
    <row r="64" spans="2:18" s="148" customFormat="1" ht="20.100000000000001" customHeight="1" x14ac:dyDescent="0.25">
      <c r="B64" s="161" t="s">
        <v>88</v>
      </c>
      <c r="C64" s="162" t="s">
        <v>89</v>
      </c>
      <c r="D64" s="155">
        <f>TARGETS!J18</f>
        <v>239525689.01344877</v>
      </c>
      <c r="E64" s="155">
        <f>TARGETS!K18</f>
        <v>239288340</v>
      </c>
      <c r="F64" s="155">
        <f t="shared" si="0"/>
        <v>478814029.01344877</v>
      </c>
      <c r="G64" s="154">
        <f>M19</f>
        <v>162674997.04759601</v>
      </c>
      <c r="H64" s="154">
        <f t="shared" si="10"/>
        <v>152708112.726924</v>
      </c>
      <c r="I64" s="154">
        <f t="shared" si="1"/>
        <v>315383109.77452004</v>
      </c>
      <c r="J64" s="219">
        <f t="shared" si="2"/>
        <v>0.65867558313681251</v>
      </c>
      <c r="K64" s="225">
        <f t="shared" si="3"/>
        <v>115549516.33758384</v>
      </c>
      <c r="L64" s="225">
        <f t="shared" ca="1" si="4"/>
        <v>0</v>
      </c>
      <c r="M64" s="231">
        <f t="shared" si="5"/>
        <v>139490217.78825629</v>
      </c>
      <c r="N64" s="231">
        <f t="shared" ca="1" si="6"/>
        <v>0</v>
      </c>
      <c r="O64" s="227">
        <f t="shared" si="7"/>
        <v>163430919.23892874</v>
      </c>
      <c r="P64" s="227">
        <f t="shared" ca="1" si="8"/>
        <v>0</v>
      </c>
      <c r="Q64"/>
      <c r="R64"/>
    </row>
    <row r="65" spans="1:19" s="148" customFormat="1" ht="20.100000000000001" customHeight="1" x14ac:dyDescent="0.25">
      <c r="B65" s="165" t="s">
        <v>152</v>
      </c>
      <c r="C65" s="166"/>
      <c r="D65" s="157">
        <f>SUM(D51:D64)</f>
        <v>6619279333.0648613</v>
      </c>
      <c r="E65" s="157">
        <f t="shared" ref="E65" si="11">SUM(E51:E52,E54:E58,E60:E64)</f>
        <v>1269766212</v>
      </c>
      <c r="F65" s="157">
        <f>SUM(F51:F64)</f>
        <v>7889045545.0648613</v>
      </c>
      <c r="G65" s="158">
        <f>SUM(G51:G64)</f>
        <v>5616954947.9936943</v>
      </c>
      <c r="H65" s="158">
        <f>SUM(H51:H64)</f>
        <v>976438253.53318501</v>
      </c>
      <c r="I65" s="158">
        <f>SUM(I51:I64)</f>
        <v>6593393201.5268793</v>
      </c>
      <c r="J65" s="230">
        <f>IFERROR(I65/F65,0)</f>
        <v>0.83576564032533673</v>
      </c>
      <c r="K65" s="228">
        <f>SUM(K51:K64)</f>
        <v>506747789.03149545</v>
      </c>
      <c r="L65" s="228">
        <f t="shared" ca="1" si="4"/>
        <v>0</v>
      </c>
      <c r="M65" s="228">
        <f>SUM(M51:M64)</f>
        <v>901200066.28473783</v>
      </c>
      <c r="N65" s="228">
        <f t="shared" ca="1" si="6"/>
        <v>0</v>
      </c>
      <c r="O65" s="229">
        <f>SUM(O51:O64)</f>
        <v>1295652343.537981</v>
      </c>
      <c r="P65" s="229">
        <f t="shared" ca="1" si="8"/>
        <v>0</v>
      </c>
      <c r="Q65"/>
      <c r="R65"/>
    </row>
    <row r="67" spans="1:19" ht="18.75" x14ac:dyDescent="0.25">
      <c r="A67" s="148"/>
      <c r="B67" s="255" t="s">
        <v>145</v>
      </c>
      <c r="C67" s="256"/>
      <c r="D67" s="256"/>
      <c r="E67" s="256"/>
      <c r="F67" s="256"/>
      <c r="G67" s="221"/>
      <c r="H67" s="221"/>
      <c r="I67" s="222"/>
      <c r="J67" s="223"/>
      <c r="K67" s="223"/>
      <c r="L67" s="223"/>
      <c r="M67" s="148"/>
      <c r="N67" s="148"/>
      <c r="O67" s="148"/>
      <c r="P67" s="148"/>
      <c r="Q67" s="148"/>
      <c r="R67" s="148"/>
      <c r="S67" s="148"/>
    </row>
    <row r="68" spans="1:19" ht="33.950000000000003" customHeight="1" x14ac:dyDescent="0.25">
      <c r="A68" s="148"/>
      <c r="B68" s="152" t="s">
        <v>153</v>
      </c>
      <c r="C68" s="152" t="s">
        <v>42</v>
      </c>
      <c r="D68" s="152" t="s">
        <v>138</v>
      </c>
      <c r="E68" s="152" t="s">
        <v>139</v>
      </c>
      <c r="F68" s="182" t="s">
        <v>140</v>
      </c>
      <c r="G68" s="224" t="str">
        <f>"SELISIH"&amp;CHAR(10)&amp;TEXT($H$41,"0%")</f>
        <v>SELISIH
90%</v>
      </c>
      <c r="H68" s="224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  <c r="M68" s="148"/>
      <c r="N68" s="148"/>
      <c r="O68" s="148"/>
      <c r="P68" s="148"/>
      <c r="Q68" s="148"/>
      <c r="R68" s="148"/>
      <c r="S68" s="148"/>
    </row>
    <row r="69" spans="1:19" ht="15.75" x14ac:dyDescent="0.25">
      <c r="A69" s="148"/>
      <c r="B69" s="159" t="s">
        <v>92</v>
      </c>
      <c r="C69" s="160" t="s">
        <v>93</v>
      </c>
      <c r="D69" s="170">
        <f>TARGETS!G22</f>
        <v>279391895.3166402</v>
      </c>
      <c r="E69" s="154">
        <f>IFERROR(C32,0)</f>
        <v>240237597.65824801</v>
      </c>
      <c r="F69" s="219">
        <f t="shared" ref="F69:F74" si="12">IFERROR(E69/D69,0)</f>
        <v>0.85985886378694742</v>
      </c>
      <c r="G69" s="225">
        <f>D69*$H$41-E69</f>
        <v>11215108.126728177</v>
      </c>
      <c r="H69" s="225">
        <f t="shared" ref="H69:H74" ca="1" si="13">IFERROR(G69/$C$3,0)</f>
        <v>0</v>
      </c>
      <c r="I69" s="226">
        <f>D69*$J$41-E69</f>
        <v>25184702.892560154</v>
      </c>
      <c r="J69" s="226">
        <f t="shared" ref="J69:J74" ca="1" si="14">IFERROR(I69/$C$3,0)</f>
        <v>0</v>
      </c>
      <c r="K69" s="227">
        <f>D69*$L$41-E69</f>
        <v>39154297.658392191</v>
      </c>
      <c r="L69" s="227">
        <f t="shared" ref="L69:L74" ca="1" si="15">IFERROR(K69/$C$3,0)</f>
        <v>0</v>
      </c>
      <c r="M69" s="148"/>
      <c r="N69" s="148"/>
      <c r="O69" s="148"/>
      <c r="P69" s="148"/>
      <c r="Q69" s="148"/>
      <c r="R69" s="148"/>
      <c r="S69" s="148"/>
    </row>
    <row r="70" spans="1:19" ht="15.75" x14ac:dyDescent="0.25">
      <c r="A70" s="148"/>
      <c r="B70" s="174" t="s">
        <v>94</v>
      </c>
      <c r="C70" s="175" t="s">
        <v>95</v>
      </c>
      <c r="D70" s="176">
        <f>TARGETS!G23</f>
        <v>419611959.16831887</v>
      </c>
      <c r="E70" s="154">
        <f>IFERROR(C33,0)</f>
        <v>449933743.924721</v>
      </c>
      <c r="F70" s="219">
        <f t="shared" si="12"/>
        <v>1.0722614884868884</v>
      </c>
      <c r="G70" s="225">
        <f>D70*$H$41-E70</f>
        <v>-72282980.673233986</v>
      </c>
      <c r="H70" s="225">
        <f t="shared" ca="1" si="13"/>
        <v>0</v>
      </c>
      <c r="I70" s="226">
        <f>D70*$J$41-E70</f>
        <v>-51302382.71481812</v>
      </c>
      <c r="J70" s="226">
        <f t="shared" ca="1" si="14"/>
        <v>0</v>
      </c>
      <c r="K70" s="227">
        <f>D70*$L$41-E70</f>
        <v>-30321784.756402135</v>
      </c>
      <c r="L70" s="227">
        <f t="shared" ca="1" si="15"/>
        <v>0</v>
      </c>
      <c r="M70" s="148"/>
      <c r="N70" s="148"/>
      <c r="O70" s="148"/>
      <c r="P70" s="148"/>
      <c r="Q70" s="148"/>
      <c r="R70" s="148"/>
      <c r="S70" s="148"/>
    </row>
    <row r="71" spans="1:19" ht="15.75" x14ac:dyDescent="0.25">
      <c r="A71" s="148"/>
      <c r="B71" s="159" t="s">
        <v>96</v>
      </c>
      <c r="C71" s="160" t="s">
        <v>97</v>
      </c>
      <c r="D71" s="170">
        <f>TARGETS!G24</f>
        <v>1092485507.2171693</v>
      </c>
      <c r="E71" s="154">
        <f>M21+M7</f>
        <v>897130483.57328391</v>
      </c>
      <c r="F71" s="219">
        <f t="shared" si="12"/>
        <v>0.82118296091496634</v>
      </c>
      <c r="G71" s="225">
        <f>D71*$H$41-E71</f>
        <v>86106472.922168493</v>
      </c>
      <c r="H71" s="225">
        <f t="shared" ca="1" si="13"/>
        <v>0</v>
      </c>
      <c r="I71" s="226">
        <f>D71*$J$41-E71</f>
        <v>140730748.28302681</v>
      </c>
      <c r="J71" s="226">
        <f t="shared" ca="1" si="14"/>
        <v>0</v>
      </c>
      <c r="K71" s="227">
        <f>D71*$L$41-E71</f>
        <v>195355023.64388537</v>
      </c>
      <c r="L71" s="227">
        <f t="shared" ca="1" si="15"/>
        <v>0</v>
      </c>
      <c r="M71" s="148"/>
      <c r="N71" s="148"/>
      <c r="O71" s="148"/>
      <c r="P71" s="148"/>
      <c r="Q71" s="148"/>
      <c r="R71" s="148"/>
      <c r="S71" s="148"/>
    </row>
    <row r="72" spans="1:19" ht="15.75" x14ac:dyDescent="0.25">
      <c r="A72" s="148"/>
      <c r="B72" s="161" t="s">
        <v>98</v>
      </c>
      <c r="C72" s="162" t="s">
        <v>99</v>
      </c>
      <c r="D72" s="171">
        <f>TARGETS!G25</f>
        <v>0</v>
      </c>
      <c r="E72" s="154">
        <f>0</f>
        <v>0</v>
      </c>
      <c r="F72" s="219">
        <f t="shared" si="12"/>
        <v>0</v>
      </c>
      <c r="G72" s="225">
        <f>D72*$H$41-E72</f>
        <v>0</v>
      </c>
      <c r="H72" s="225">
        <f t="shared" ca="1" si="13"/>
        <v>0</v>
      </c>
      <c r="I72" s="226">
        <f>D72*$J$41-E72</f>
        <v>0</v>
      </c>
      <c r="J72" s="226">
        <f t="shared" ca="1" si="14"/>
        <v>0</v>
      </c>
      <c r="K72" s="227">
        <f>D72*$L$41-E72</f>
        <v>0</v>
      </c>
      <c r="L72" s="227">
        <f t="shared" ca="1" si="15"/>
        <v>0</v>
      </c>
      <c r="M72" s="148"/>
      <c r="N72" s="148"/>
      <c r="O72" s="148"/>
      <c r="P72" s="148"/>
      <c r="Q72" s="148"/>
      <c r="R72" s="148"/>
      <c r="S72" s="148"/>
    </row>
    <row r="73" spans="1:19" ht="15.75" x14ac:dyDescent="0.25">
      <c r="A73" s="148"/>
      <c r="B73" s="159" t="s">
        <v>100</v>
      </c>
      <c r="C73" s="172" t="s">
        <v>101</v>
      </c>
      <c r="D73" s="170">
        <f>TARGETS!G26</f>
        <v>0</v>
      </c>
      <c r="E73" s="154">
        <f>0</f>
        <v>0</v>
      </c>
      <c r="F73" s="219">
        <f t="shared" si="12"/>
        <v>0</v>
      </c>
      <c r="G73" s="225">
        <f>D73*$H$41-E73</f>
        <v>0</v>
      </c>
      <c r="H73" s="225">
        <f t="shared" ca="1" si="13"/>
        <v>0</v>
      </c>
      <c r="I73" s="226">
        <f>D73*$J$41-E73</f>
        <v>0</v>
      </c>
      <c r="J73" s="226">
        <f t="shared" ca="1" si="14"/>
        <v>0</v>
      </c>
      <c r="K73" s="227">
        <f>D73*$L$41-E73</f>
        <v>0</v>
      </c>
      <c r="L73" s="227">
        <f t="shared" ca="1" si="15"/>
        <v>0</v>
      </c>
      <c r="M73" s="148"/>
      <c r="N73" s="148"/>
      <c r="O73" s="148"/>
      <c r="P73" s="148"/>
      <c r="Q73" s="148"/>
      <c r="R73" s="148"/>
      <c r="S73" s="148"/>
    </row>
    <row r="74" spans="1:19" ht="15.75" x14ac:dyDescent="0.25">
      <c r="A74" s="148"/>
      <c r="B74" s="165" t="s">
        <v>152</v>
      </c>
      <c r="C74" s="166"/>
      <c r="D74" s="173">
        <f>SUM(D69:D73)</f>
        <v>1791489361.7021284</v>
      </c>
      <c r="E74" s="173">
        <f>SUM(E69:E73)</f>
        <v>1587301825.1562529</v>
      </c>
      <c r="F74" s="220">
        <f t="shared" si="12"/>
        <v>0.88602358411334747</v>
      </c>
      <c r="G74" s="228">
        <f>SUM(G69:G73)</f>
        <v>25038600.375662684</v>
      </c>
      <c r="H74" s="228">
        <f t="shared" ca="1" si="13"/>
        <v>0</v>
      </c>
      <c r="I74" s="229">
        <f>SUM(I69:I73)</f>
        <v>114613068.46076885</v>
      </c>
      <c r="J74" s="229">
        <f t="shared" ca="1" si="14"/>
        <v>0</v>
      </c>
      <c r="K74" s="229">
        <f>SUM(K69:K73)</f>
        <v>204187536.54587543</v>
      </c>
      <c r="L74" s="229">
        <f t="shared" ca="1" si="15"/>
        <v>0</v>
      </c>
      <c r="M74" s="148"/>
      <c r="N74" s="148"/>
      <c r="O74" s="148"/>
      <c r="P74" s="148"/>
      <c r="Q74" s="148"/>
      <c r="R74" s="148"/>
      <c r="S74" s="148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127" t="s">
        <v>174</v>
      </c>
      <c r="C77" s="128"/>
      <c r="D77" s="129"/>
      <c r="G77"/>
      <c r="H77"/>
      <c r="I77"/>
    </row>
    <row r="78" spans="1:19" ht="20.100000000000001" customHeight="1" x14ac:dyDescent="0.25">
      <c r="B78" s="251" t="s">
        <v>41</v>
      </c>
      <c r="C78" s="251" t="s">
        <v>42</v>
      </c>
      <c r="D78" s="126" t="s">
        <v>139</v>
      </c>
      <c r="G78"/>
      <c r="H78"/>
      <c r="I78"/>
    </row>
    <row r="79" spans="1:19" ht="20.100000000000001" customHeight="1" x14ac:dyDescent="0.25">
      <c r="B79" s="251"/>
      <c r="C79" s="251"/>
      <c r="D79" s="71" t="s">
        <v>171</v>
      </c>
      <c r="G79"/>
      <c r="H79"/>
      <c r="I79"/>
    </row>
    <row r="80" spans="1:19" s="148" customFormat="1" ht="20.100000000000001" customHeight="1" x14ac:dyDescent="0.25">
      <c r="B80" s="159" t="s">
        <v>67</v>
      </c>
      <c r="C80" s="160" t="s">
        <v>68</v>
      </c>
      <c r="D80" s="167">
        <f>IF(E24="",0,E24)</f>
        <v>24325368.979991999</v>
      </c>
    </row>
    <row r="81" spans="2:4" s="148" customFormat="1" ht="20.100000000000001" customHeight="1" x14ac:dyDescent="0.25">
      <c r="B81" s="161" t="s">
        <v>69</v>
      </c>
      <c r="C81" s="162" t="s">
        <v>70</v>
      </c>
      <c r="D81" s="168">
        <f>IF(E12="",0,E12)+IF(E13="",0,E13)</f>
        <v>81902340.960000008</v>
      </c>
    </row>
    <row r="82" spans="2:4" s="148" customFormat="1" ht="20.100000000000001" customHeight="1" x14ac:dyDescent="0.25">
      <c r="B82" s="161" t="s">
        <v>175</v>
      </c>
      <c r="C82" s="162" t="s">
        <v>176</v>
      </c>
      <c r="D82" s="168">
        <f>IF(E22="",0,E22)</f>
        <v>12315315.119999999</v>
      </c>
    </row>
    <row r="83" spans="2:4" s="148" customFormat="1" ht="20.100000000000001" customHeight="1" x14ac:dyDescent="0.25">
      <c r="B83" s="159" t="s">
        <v>71</v>
      </c>
      <c r="C83" s="160" t="s">
        <v>72</v>
      </c>
      <c r="D83" s="167">
        <f>IF(E14="",0,E14)</f>
        <v>66130323.599985003</v>
      </c>
    </row>
    <row r="84" spans="2:4" s="148" customFormat="1" ht="20.100000000000001" customHeight="1" x14ac:dyDescent="0.25">
      <c r="B84" s="161" t="s">
        <v>73</v>
      </c>
      <c r="C84" s="162" t="s">
        <v>74</v>
      </c>
      <c r="D84" s="168">
        <f>0</f>
        <v>0</v>
      </c>
    </row>
    <row r="85" spans="2:4" s="148" customFormat="1" ht="20.100000000000001" customHeight="1" x14ac:dyDescent="0.25">
      <c r="B85" s="159" t="s">
        <v>75</v>
      </c>
      <c r="C85" s="160" t="s">
        <v>74</v>
      </c>
      <c r="D85" s="167">
        <v>2883783.76</v>
      </c>
    </row>
    <row r="86" spans="2:4" s="148" customFormat="1" ht="20.100000000000001" customHeight="1" x14ac:dyDescent="0.25">
      <c r="B86" s="161" t="s">
        <v>76</v>
      </c>
      <c r="C86" s="162" t="s">
        <v>77</v>
      </c>
      <c r="D86" s="168">
        <f>IF(E19="",0,E19)</f>
        <v>287203621.35000002</v>
      </c>
    </row>
    <row r="87" spans="2:4" s="148" customFormat="1" ht="20.100000000000001" customHeight="1" x14ac:dyDescent="0.25">
      <c r="B87" s="159" t="s">
        <v>78</v>
      </c>
      <c r="C87" s="160" t="s">
        <v>79</v>
      </c>
      <c r="D87" s="167">
        <f>IF(E25="",0,E25)</f>
        <v>26407801.439994998</v>
      </c>
    </row>
    <row r="88" spans="2:4" s="148" customFormat="1" ht="20.100000000000001" customHeight="1" x14ac:dyDescent="0.25">
      <c r="B88" s="161" t="s">
        <v>175</v>
      </c>
      <c r="C88" s="162" t="s">
        <v>177</v>
      </c>
      <c r="D88" s="168">
        <f>IF(E23="",0,E23)</f>
        <v>17151621.32</v>
      </c>
    </row>
    <row r="89" spans="2:4" s="148" customFormat="1" ht="20.100000000000001" customHeight="1" x14ac:dyDescent="0.25">
      <c r="B89" s="161" t="s">
        <v>80</v>
      </c>
      <c r="C89" s="162" t="s">
        <v>81</v>
      </c>
      <c r="D89" s="168">
        <f>IF(E11="",0,E11)</f>
        <v>34053355</v>
      </c>
    </row>
    <row r="90" spans="2:4" s="148" customFormat="1" ht="20.100000000000001" customHeight="1" x14ac:dyDescent="0.25">
      <c r="B90" s="159" t="s">
        <v>82</v>
      </c>
      <c r="C90" s="160" t="s">
        <v>83</v>
      </c>
      <c r="D90" s="167">
        <f>IF(E26="",0,E26)</f>
        <v>112736039.39988001</v>
      </c>
    </row>
    <row r="91" spans="2:4" s="148" customFormat="1" ht="20.100000000000001" customHeight="1" x14ac:dyDescent="0.25">
      <c r="B91" s="161" t="s">
        <v>84</v>
      </c>
      <c r="C91" s="162" t="s">
        <v>85</v>
      </c>
      <c r="D91" s="168">
        <f>IF(E10="",0,E10)</f>
        <v>61031205.54998</v>
      </c>
    </row>
    <row r="92" spans="2:4" s="148" customFormat="1" ht="20.100000000000001" customHeight="1" x14ac:dyDescent="0.25">
      <c r="B92" s="159" t="s">
        <v>86</v>
      </c>
      <c r="C92" s="160" t="s">
        <v>87</v>
      </c>
      <c r="D92" s="167">
        <f>0</f>
        <v>0</v>
      </c>
    </row>
    <row r="93" spans="2:4" s="148" customFormat="1" ht="20.100000000000001" customHeight="1" x14ac:dyDescent="0.25">
      <c r="B93" s="161" t="s">
        <v>88</v>
      </c>
      <c r="C93" s="162" t="s">
        <v>89</v>
      </c>
      <c r="D93" s="168">
        <f>0</f>
        <v>0</v>
      </c>
    </row>
    <row r="94" spans="2:4" s="148" customFormat="1" ht="20.100000000000001" customHeight="1" x14ac:dyDescent="0.25">
      <c r="B94" s="165" t="s">
        <v>152</v>
      </c>
      <c r="C94" s="166"/>
      <c r="D94" s="169">
        <f>SUM(D80:D93)</f>
        <v>726140776.47983217</v>
      </c>
    </row>
  </sheetData>
  <mergeCells count="15">
    <mergeCell ref="B78:B79"/>
    <mergeCell ref="C78:C79"/>
    <mergeCell ref="K48:P48"/>
    <mergeCell ref="K49:K50"/>
    <mergeCell ref="L49:L50"/>
    <mergeCell ref="M49:M50"/>
    <mergeCell ref="P49:P50"/>
    <mergeCell ref="B41:D41"/>
    <mergeCell ref="B48:J48"/>
    <mergeCell ref="B67:F67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A69" sqref="A1:XFD1048576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1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9" x14ac:dyDescent="0.25">
      <c r="B33" s="84" t="s">
        <v>133</v>
      </c>
      <c r="C33" s="15">
        <v>436148035.92440403</v>
      </c>
      <c r="G33" s="116"/>
      <c r="H33" s="116"/>
      <c r="I33" s="116"/>
    </row>
    <row r="34" spans="2:19" x14ac:dyDescent="0.25">
      <c r="B34" s="84" t="s">
        <v>134</v>
      </c>
      <c r="C34" s="15">
        <v>135628039.89320499</v>
      </c>
      <c r="G34" s="116"/>
      <c r="H34" s="116"/>
      <c r="I34" s="116"/>
    </row>
    <row r="35" spans="2:19" x14ac:dyDescent="0.25">
      <c r="B35" s="84" t="s">
        <v>135</v>
      </c>
      <c r="C35" s="15">
        <v>513829145.026452</v>
      </c>
      <c r="G35" s="116"/>
      <c r="H35" s="116"/>
      <c r="I35" s="116"/>
    </row>
    <row r="36" spans="2:19" x14ac:dyDescent="0.25">
      <c r="B36" s="84" t="s">
        <v>136</v>
      </c>
      <c r="C36" s="15">
        <v>296173392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188</v>
      </c>
    </row>
    <row r="41" spans="2:19" ht="27.95" customHeight="1" x14ac:dyDescent="0.25">
      <c r="B41" s="270" t="s">
        <v>182</v>
      </c>
      <c r="C41" s="271"/>
      <c r="D41" s="272"/>
      <c r="E41" s="67" t="s">
        <v>138</v>
      </c>
      <c r="F41" s="185">
        <v>0.97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187">
        <f>IFERROR(E43/D43,0)</f>
        <v>0.90747649723109647</v>
      </c>
      <c r="G43" s="197">
        <f>D43*$H$41-E43</f>
        <v>-51133852.98839283</v>
      </c>
      <c r="H43" s="197">
        <f ca="1">IFERROR(G43/$C$3,0)</f>
        <v>-51133852.98839283</v>
      </c>
      <c r="I43" s="218">
        <f>D43*$J$41-E43</f>
        <v>290830113.6116066</v>
      </c>
      <c r="J43" s="218">
        <f ca="1">IFERROR(I43/$C$3,0)</f>
        <v>290830113.6116066</v>
      </c>
      <c r="K43" s="198">
        <f>D43*$L$41-E43</f>
        <v>632794080.21160698</v>
      </c>
      <c r="L43" s="198">
        <f ca="1">IFERROR(K43/$C$3,0)</f>
        <v>632794080.21160698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187">
        <f>IFERROR(E44/D44,0)</f>
        <v>0.62339823969550423</v>
      </c>
      <c r="G44" s="197">
        <f>D44*$H$41-E44</f>
        <v>408060847.29465461</v>
      </c>
      <c r="H44" s="197">
        <f ca="1">IFERROR(G44/$C$3,0)</f>
        <v>408060847.29465461</v>
      </c>
      <c r="I44" s="218">
        <f>D44*$J$41-E44</f>
        <v>481824088.50567269</v>
      </c>
      <c r="J44" s="218">
        <f ca="1">IFERROR(I44/$C$3,0)</f>
        <v>481824088.50567269</v>
      </c>
      <c r="K44" s="198">
        <f>D44*$L$41-E44</f>
        <v>555587329.71669078</v>
      </c>
      <c r="L44" s="198">
        <f ca="1">IFERROR(K44/$C$3,0)</f>
        <v>555587329.71669078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187">
        <f>IFERROR(E45/D45,0)</f>
        <v>0.93843307645863372</v>
      </c>
      <c r="G45" s="197">
        <f>D45*$H$41-E45</f>
        <v>-68525357.600712776</v>
      </c>
      <c r="H45" s="197">
        <f ca="1">IFERROR(G45/$C$3,0)</f>
        <v>-68525357.600712776</v>
      </c>
      <c r="I45" s="218">
        <f>D45*$J$41-E45</f>
        <v>20623578.569499731</v>
      </c>
      <c r="J45" s="218">
        <f ca="1">IFERROR(I45/$C$3,0)</f>
        <v>20623578.569499731</v>
      </c>
      <c r="K45" s="198">
        <f>D45*$L$41-E45</f>
        <v>109772514.73971272</v>
      </c>
      <c r="L45" s="198">
        <f ca="1">IFERROR(K45/$C$3,0)</f>
        <v>109772514.73971272</v>
      </c>
      <c r="S45" s="184">
        <v>0.9</v>
      </c>
    </row>
    <row r="46" spans="2:19" ht="18.75" customHeight="1" x14ac:dyDescent="0.25">
      <c r="B46" s="249" t="s">
        <v>146</v>
      </c>
      <c r="C46" s="250"/>
      <c r="D46" s="47">
        <f>D43+D44+D45</f>
        <v>10097522879.624619</v>
      </c>
      <c r="E46" s="47">
        <f>E43+E44+E45</f>
        <v>8799368954.9566078</v>
      </c>
      <c r="F46" s="188">
        <f>IFERROR(E46/D46,0)</f>
        <v>0.87143837749677178</v>
      </c>
      <c r="G46" s="194">
        <f>G43+G44+G45</f>
        <v>288401636.705549</v>
      </c>
      <c r="H46" s="194">
        <f ca="1">IFERROR(G46/$C$3,0)</f>
        <v>288401636.705549</v>
      </c>
      <c r="I46" s="199">
        <f>I43+I44+I45</f>
        <v>793277780.68677902</v>
      </c>
      <c r="J46" s="199">
        <f ca="1">IFERROR(I46/$C$3,0)</f>
        <v>793277780.68677902</v>
      </c>
      <c r="K46" s="199">
        <f>K43+K44+K45</f>
        <v>1298153924.6680105</v>
      </c>
      <c r="L46" s="199">
        <f ca="1">IFERROR(K46/$C$3,0)</f>
        <v>1298153924.6680105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25.5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189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22.5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ht="20.100000000000001" customHeight="1" x14ac:dyDescent="0.25">
      <c r="B51" s="177" t="s">
        <v>67</v>
      </c>
      <c r="C51" s="178" t="s">
        <v>68</v>
      </c>
      <c r="D51" s="180">
        <f>TARGETS!L5</f>
        <v>416683478</v>
      </c>
      <c r="E51" s="180">
        <f>TARGETS!M5</f>
        <v>68270401.220654309</v>
      </c>
      <c r="F51" s="180">
        <f t="shared" ref="F51:F64" si="0">D51+E51</f>
        <v>484953879.22065431</v>
      </c>
      <c r="G51" s="119">
        <f>M8</f>
        <v>288424016.78064901</v>
      </c>
      <c r="H51" s="119">
        <f>N8</f>
        <v>44585739.113441996</v>
      </c>
      <c r="I51" s="119">
        <f t="shared" ref="I51:I64" si="1">G51+H51</f>
        <v>333009755.89409101</v>
      </c>
      <c r="J51" s="200">
        <f t="shared" ref="J51:J64" si="2">IFERROR(I51/F51,0)</f>
        <v>0.68668335312474404</v>
      </c>
      <c r="K51" s="197">
        <f t="shared" ref="K51:K64" si="3">F51*$H$41-I51</f>
        <v>103448735.40449786</v>
      </c>
      <c r="L51" s="197">
        <f t="shared" ref="L51:L65" ca="1" si="4">IFERROR(K51/$C$3,0)</f>
        <v>103448735.40449786</v>
      </c>
      <c r="M51" s="193">
        <f t="shared" ref="M51:M64" si="5">F51*$J$41-I51</f>
        <v>127696429.36553055</v>
      </c>
      <c r="N51" s="193">
        <f t="shared" ref="N51:N65" ca="1" si="6">IFERROR(M51/$C$3,0)</f>
        <v>127696429.36553055</v>
      </c>
      <c r="O51" s="198">
        <f t="shared" ref="O51:O64" si="7">F51*$L$41-I51</f>
        <v>151944123.3265633</v>
      </c>
      <c r="P51" s="198">
        <f t="shared" ref="P51:P65" ca="1" si="8">IFERROR(O51/$C$3,0)</f>
        <v>151944123.3265633</v>
      </c>
    </row>
    <row r="52" spans="2:16" ht="20.100000000000001" customHeight="1" x14ac:dyDescent="0.25">
      <c r="B52" s="177" t="s">
        <v>69</v>
      </c>
      <c r="C52" s="178" t="s">
        <v>70</v>
      </c>
      <c r="D52" s="180">
        <f>TARGETS!L6</f>
        <v>555182371</v>
      </c>
      <c r="E52" s="180">
        <f>TARGETS!M6</f>
        <v>191546784</v>
      </c>
      <c r="F52" s="180">
        <f t="shared" si="0"/>
        <v>746729155</v>
      </c>
      <c r="G52" s="119">
        <f>M9</f>
        <v>514873412.84566295</v>
      </c>
      <c r="H52" s="119">
        <f>N9</f>
        <v>95906107.167067006</v>
      </c>
      <c r="I52" s="119">
        <f t="shared" si="1"/>
        <v>610779520.01273</v>
      </c>
      <c r="J52" s="200">
        <f t="shared" si="2"/>
        <v>0.81793983256583846</v>
      </c>
      <c r="K52" s="197">
        <f t="shared" si="3"/>
        <v>61276719.487269998</v>
      </c>
      <c r="L52" s="197">
        <f t="shared" ca="1" si="4"/>
        <v>61276719.487269998</v>
      </c>
      <c r="M52" s="193">
        <f t="shared" si="5"/>
        <v>98613177.237269998</v>
      </c>
      <c r="N52" s="193">
        <f t="shared" ca="1" si="6"/>
        <v>98613177.237269998</v>
      </c>
      <c r="O52" s="198">
        <f t="shared" si="7"/>
        <v>135949634.98727</v>
      </c>
      <c r="P52" s="198">
        <f t="shared" ca="1" si="8"/>
        <v>135949634.98727</v>
      </c>
    </row>
    <row r="53" spans="2:16" ht="20.100000000000001" customHeight="1" x14ac:dyDescent="0.25">
      <c r="B53" s="145" t="s">
        <v>175</v>
      </c>
      <c r="C53" s="146" t="s">
        <v>176</v>
      </c>
      <c r="D53" s="147">
        <f>TARGETS!L7</f>
        <v>241473268</v>
      </c>
      <c r="E53" s="147">
        <f>TARGETS!M7</f>
        <v>0</v>
      </c>
      <c r="F53" s="147">
        <f>D53+E53</f>
        <v>241473268</v>
      </c>
      <c r="G53" s="119">
        <f>C22</f>
        <v>197567845.80000001</v>
      </c>
      <c r="H53" s="119">
        <f>IF(D22="",0,D22)</f>
        <v>0</v>
      </c>
      <c r="I53" s="119">
        <f>G53+H53</f>
        <v>197567845.80000001</v>
      </c>
      <c r="J53" s="200">
        <f>IFERROR(I53/F53,0)</f>
        <v>0.81817688324821114</v>
      </c>
      <c r="K53" s="197">
        <f t="shared" si="3"/>
        <v>19758095.400000006</v>
      </c>
      <c r="L53" s="197">
        <f t="shared" ca="1" si="4"/>
        <v>19758095.400000006</v>
      </c>
      <c r="M53" s="193">
        <f t="shared" si="5"/>
        <v>31831758.799999982</v>
      </c>
      <c r="N53" s="193">
        <f t="shared" ca="1" si="6"/>
        <v>31831758.799999982</v>
      </c>
      <c r="O53" s="198">
        <f t="shared" si="7"/>
        <v>43905422.199999988</v>
      </c>
      <c r="P53" s="198">
        <f t="shared" ca="1" si="8"/>
        <v>43905422.199999988</v>
      </c>
    </row>
    <row r="54" spans="2:16" ht="20.100000000000001" customHeight="1" x14ac:dyDescent="0.25">
      <c r="B54" s="177" t="s">
        <v>71</v>
      </c>
      <c r="C54" s="178" t="s">
        <v>72</v>
      </c>
      <c r="D54" s="180">
        <f>TARGETS!L8</f>
        <v>610712472</v>
      </c>
      <c r="E54" s="180">
        <f>TARGETS!M8</f>
        <v>46881826.81733489</v>
      </c>
      <c r="F54" s="180">
        <f t="shared" si="0"/>
        <v>657594298.81733489</v>
      </c>
      <c r="G54" s="119">
        <f>M10</f>
        <v>670664362.43227303</v>
      </c>
      <c r="H54" s="119">
        <f t="shared" ref="H54:H58" si="9">N10</f>
        <v>27278643.871089</v>
      </c>
      <c r="I54" s="119">
        <f t="shared" si="1"/>
        <v>697943006.30336201</v>
      </c>
      <c r="J54" s="200">
        <f t="shared" si="2"/>
        <v>1.0613580555041204</v>
      </c>
      <c r="K54" s="197">
        <f t="shared" si="3"/>
        <v>-106108137.36776054</v>
      </c>
      <c r="L54" s="197">
        <f t="shared" ca="1" si="4"/>
        <v>-106108137.36776054</v>
      </c>
      <c r="M54" s="193">
        <f t="shared" si="5"/>
        <v>-73228422.42689395</v>
      </c>
      <c r="N54" s="193">
        <f t="shared" ca="1" si="6"/>
        <v>-73228422.42689395</v>
      </c>
      <c r="O54" s="198">
        <f t="shared" si="7"/>
        <v>-40348707.486027122</v>
      </c>
      <c r="P54" s="198">
        <f t="shared" ca="1" si="8"/>
        <v>-40348707.486027122</v>
      </c>
    </row>
    <row r="55" spans="2:16" ht="20.100000000000001" customHeight="1" x14ac:dyDescent="0.25">
      <c r="B55" s="177" t="s">
        <v>73</v>
      </c>
      <c r="C55" s="178" t="s">
        <v>74</v>
      </c>
      <c r="D55" s="180">
        <f>TARGETS!L9</f>
        <v>405063284</v>
      </c>
      <c r="E55" s="180">
        <f>TARGETS!M9</f>
        <v>82869315.191524148</v>
      </c>
      <c r="F55" s="180">
        <f t="shared" si="0"/>
        <v>487932599.19152415</v>
      </c>
      <c r="G55" s="119">
        <f>M11</f>
        <v>314350697.279998</v>
      </c>
      <c r="H55" s="119">
        <f t="shared" si="9"/>
        <v>42787524.299999997</v>
      </c>
      <c r="I55" s="119">
        <f t="shared" si="1"/>
        <v>357138221.57999802</v>
      </c>
      <c r="J55" s="200">
        <f t="shared" si="2"/>
        <v>0.73194171115386675</v>
      </c>
      <c r="K55" s="197">
        <f t="shared" si="3"/>
        <v>82001117.692373753</v>
      </c>
      <c r="L55" s="197">
        <f t="shared" ca="1" si="4"/>
        <v>82001117.692373753</v>
      </c>
      <c r="M55" s="193">
        <f t="shared" si="5"/>
        <v>106397747.65194988</v>
      </c>
      <c r="N55" s="193">
        <f t="shared" ca="1" si="6"/>
        <v>106397747.65194988</v>
      </c>
      <c r="O55" s="198">
        <f t="shared" si="7"/>
        <v>130794377.61152613</v>
      </c>
      <c r="P55" s="198">
        <f t="shared" ca="1" si="8"/>
        <v>130794377.61152613</v>
      </c>
    </row>
    <row r="56" spans="2:16" ht="20.100000000000001" customHeight="1" x14ac:dyDescent="0.25">
      <c r="B56" s="177" t="s">
        <v>75</v>
      </c>
      <c r="C56" s="178" t="s">
        <v>74</v>
      </c>
      <c r="D56" s="180">
        <f>TARGETS!L10</f>
        <v>473918832</v>
      </c>
      <c r="E56" s="180">
        <f>TARGETS!M10</f>
        <v>81239394.122653604</v>
      </c>
      <c r="F56" s="180">
        <f t="shared" si="0"/>
        <v>555158226.1226536</v>
      </c>
      <c r="G56" s="119">
        <f>M12</f>
        <v>413013469.09840298</v>
      </c>
      <c r="H56" s="119">
        <f t="shared" si="9"/>
        <v>61457252.569306999</v>
      </c>
      <c r="I56" s="119">
        <f t="shared" si="1"/>
        <v>474470721.66770995</v>
      </c>
      <c r="J56" s="200">
        <f t="shared" si="2"/>
        <v>0.85465854479274705</v>
      </c>
      <c r="K56" s="197">
        <f t="shared" si="3"/>
        <v>25171681.842678308</v>
      </c>
      <c r="L56" s="197">
        <f t="shared" ca="1" si="4"/>
        <v>25171681.842678308</v>
      </c>
      <c r="M56" s="193">
        <f t="shared" si="5"/>
        <v>52929593.148810923</v>
      </c>
      <c r="N56" s="193">
        <f t="shared" ca="1" si="6"/>
        <v>52929593.148810923</v>
      </c>
      <c r="O56" s="198">
        <f t="shared" si="7"/>
        <v>80687504.454943657</v>
      </c>
      <c r="P56" s="198">
        <f t="shared" ca="1" si="8"/>
        <v>80687504.454943657</v>
      </c>
    </row>
    <row r="57" spans="2:16" ht="20.100000000000001" customHeight="1" x14ac:dyDescent="0.25">
      <c r="B57" s="177" t="s">
        <v>76</v>
      </c>
      <c r="C57" s="178" t="s">
        <v>77</v>
      </c>
      <c r="D57" s="180">
        <f>TARGETS!L11</f>
        <v>961758345</v>
      </c>
      <c r="E57" s="180">
        <f>TARGETS!M11</f>
        <v>91928576.339156389</v>
      </c>
      <c r="F57" s="180">
        <f t="shared" si="0"/>
        <v>1053686921.3391564</v>
      </c>
      <c r="G57" s="119">
        <f>M13</f>
        <v>1005613301.6380841</v>
      </c>
      <c r="H57" s="119">
        <f t="shared" si="9"/>
        <v>73190755.369811997</v>
      </c>
      <c r="I57" s="119">
        <f t="shared" si="1"/>
        <v>1078804057.0078959</v>
      </c>
      <c r="J57" s="200">
        <f t="shared" si="2"/>
        <v>1.0238373801174427</v>
      </c>
      <c r="K57" s="197">
        <f t="shared" si="3"/>
        <v>-130485827.80265522</v>
      </c>
      <c r="L57" s="197">
        <f t="shared" ca="1" si="4"/>
        <v>-130485827.80265522</v>
      </c>
      <c r="M57" s="193">
        <f t="shared" si="5"/>
        <v>-77801481.735697389</v>
      </c>
      <c r="N57" s="193">
        <f t="shared" ca="1" si="6"/>
        <v>-77801481.735697389</v>
      </c>
      <c r="O57" s="198">
        <f t="shared" si="7"/>
        <v>-25117135.668739557</v>
      </c>
      <c r="P57" s="198">
        <f t="shared" ca="1" si="8"/>
        <v>-25117135.668739557</v>
      </c>
    </row>
    <row r="58" spans="2:16" ht="20.100000000000001" customHeight="1" x14ac:dyDescent="0.25">
      <c r="B58" s="177" t="s">
        <v>78</v>
      </c>
      <c r="C58" s="178" t="s">
        <v>79</v>
      </c>
      <c r="D58" s="180">
        <f>TARGETS!L12</f>
        <v>505287059</v>
      </c>
      <c r="E58" s="180">
        <f>TARGETS!M12</f>
        <v>63781404</v>
      </c>
      <c r="F58" s="180">
        <f t="shared" si="0"/>
        <v>569068463</v>
      </c>
      <c r="G58" s="119">
        <f>M14</f>
        <v>389875776.90495598</v>
      </c>
      <c r="H58" s="119">
        <f t="shared" si="9"/>
        <v>68378257.859753996</v>
      </c>
      <c r="I58" s="119">
        <f>G58+H58</f>
        <v>458254034.76470995</v>
      </c>
      <c r="J58" s="200">
        <f>IFERROR(I58/F58,0)</f>
        <v>0.805270480723705</v>
      </c>
      <c r="K58" s="197">
        <f t="shared" si="3"/>
        <v>53907581.935290039</v>
      </c>
      <c r="L58" s="197">
        <f t="shared" ca="1" si="4"/>
        <v>53907581.935290039</v>
      </c>
      <c r="M58" s="193">
        <f t="shared" si="5"/>
        <v>82361005.085290074</v>
      </c>
      <c r="N58" s="193">
        <f t="shared" ca="1" si="6"/>
        <v>82361005.085290074</v>
      </c>
      <c r="O58" s="198">
        <f t="shared" si="7"/>
        <v>110814428.23529005</v>
      </c>
      <c r="P58" s="198">
        <f t="shared" ca="1" si="8"/>
        <v>110814428.23529005</v>
      </c>
    </row>
    <row r="59" spans="2:16" ht="20.100000000000001" customHeight="1" x14ac:dyDescent="0.25">
      <c r="B59" s="145" t="s">
        <v>175</v>
      </c>
      <c r="C59" s="146" t="s">
        <v>177</v>
      </c>
      <c r="D59" s="147">
        <f>TARGETS!L13</f>
        <v>404133664</v>
      </c>
      <c r="E59" s="147">
        <f>TARGETS!M13</f>
        <v>0</v>
      </c>
      <c r="F59" s="147">
        <f>D59+E59</f>
        <v>404133664</v>
      </c>
      <c r="G59" s="119">
        <f>C23</f>
        <v>300521523.82997501</v>
      </c>
      <c r="H59" s="119">
        <f>IF(D23="",0,D23)</f>
        <v>0</v>
      </c>
      <c r="I59" s="119">
        <f>G59+H59</f>
        <v>300521523.82997501</v>
      </c>
      <c r="J59" s="200">
        <f>IFERROR(I59/F59,0)</f>
        <v>0.74361913050127648</v>
      </c>
      <c r="K59" s="197">
        <f t="shared" si="3"/>
        <v>63198773.770025015</v>
      </c>
      <c r="L59" s="197">
        <f t="shared" ca="1" si="4"/>
        <v>63198773.770025015</v>
      </c>
      <c r="M59" s="193">
        <f t="shared" si="5"/>
        <v>83405456.970024943</v>
      </c>
      <c r="N59" s="193">
        <f t="shared" ca="1" si="6"/>
        <v>83405456.970024943</v>
      </c>
      <c r="O59" s="198">
        <f t="shared" si="7"/>
        <v>103612140.17002499</v>
      </c>
      <c r="P59" s="198">
        <f t="shared" ca="1" si="8"/>
        <v>103612140.17002499</v>
      </c>
    </row>
    <row r="60" spans="2:16" ht="20.100000000000001" customHeight="1" x14ac:dyDescent="0.25">
      <c r="B60" s="177" t="s">
        <v>80</v>
      </c>
      <c r="C60" s="178" t="s">
        <v>81</v>
      </c>
      <c r="D60" s="180">
        <f>TARGETS!L14</f>
        <v>404017309</v>
      </c>
      <c r="E60" s="180">
        <f>TARGETS!M14</f>
        <v>138464390.21799541</v>
      </c>
      <c r="F60" s="180">
        <f t="shared" si="0"/>
        <v>542481699.21799541</v>
      </c>
      <c r="G60" s="119">
        <f>M15</f>
        <v>374466810.62618703</v>
      </c>
      <c r="H60" s="119">
        <f t="shared" ref="H60:H64" si="10">N15</f>
        <v>92402940.934527993</v>
      </c>
      <c r="I60" s="119">
        <f t="shared" si="1"/>
        <v>466869751.56071502</v>
      </c>
      <c r="J60" s="200">
        <f t="shared" si="2"/>
        <v>0.86061843603889787</v>
      </c>
      <c r="K60" s="197">
        <f t="shared" si="3"/>
        <v>21363777.735480845</v>
      </c>
      <c r="L60" s="197">
        <f t="shared" ca="1" si="4"/>
        <v>21363777.735480845</v>
      </c>
      <c r="M60" s="193">
        <f t="shared" si="5"/>
        <v>48487862.696380615</v>
      </c>
      <c r="N60" s="193">
        <f t="shared" ca="1" si="6"/>
        <v>48487862.696380615</v>
      </c>
      <c r="O60" s="198">
        <f t="shared" si="7"/>
        <v>75611947.657280385</v>
      </c>
      <c r="P60" s="198">
        <f t="shared" ca="1" si="8"/>
        <v>75611947.657280385</v>
      </c>
    </row>
    <row r="61" spans="2:16" ht="20.100000000000001" customHeight="1" x14ac:dyDescent="0.25">
      <c r="B61" s="177" t="s">
        <v>82</v>
      </c>
      <c r="C61" s="178" t="s">
        <v>83</v>
      </c>
      <c r="D61" s="180">
        <f>TARGETS!L15</f>
        <v>631629596</v>
      </c>
      <c r="E61" s="180">
        <f>TARGETS!M15</f>
        <v>58741600.610625267</v>
      </c>
      <c r="F61" s="180">
        <f t="shared" si="0"/>
        <v>690371196.61062527</v>
      </c>
      <c r="G61" s="119">
        <f>M16</f>
        <v>454249976.114806</v>
      </c>
      <c r="H61" s="119">
        <f t="shared" si="10"/>
        <v>58885063.089941002</v>
      </c>
      <c r="I61" s="119">
        <f t="shared" si="1"/>
        <v>513135039.20474702</v>
      </c>
      <c r="J61" s="200">
        <f t="shared" si="2"/>
        <v>0.74327411358408568</v>
      </c>
      <c r="K61" s="197">
        <f t="shared" si="3"/>
        <v>108199037.74481577</v>
      </c>
      <c r="L61" s="197">
        <f t="shared" ca="1" si="4"/>
        <v>108199037.74481577</v>
      </c>
      <c r="M61" s="193">
        <f t="shared" si="5"/>
        <v>142717597.57534701</v>
      </c>
      <c r="N61" s="193">
        <f t="shared" ca="1" si="6"/>
        <v>142717597.57534701</v>
      </c>
      <c r="O61" s="198">
        <f t="shared" si="7"/>
        <v>177236157.40587825</v>
      </c>
      <c r="P61" s="198">
        <f t="shared" ca="1" si="8"/>
        <v>177236157.40587825</v>
      </c>
    </row>
    <row r="62" spans="2:16" ht="20.100000000000001" customHeight="1" x14ac:dyDescent="0.25">
      <c r="B62" s="177" t="s">
        <v>84</v>
      </c>
      <c r="C62" s="178" t="s">
        <v>85</v>
      </c>
      <c r="D62" s="180">
        <f>TARGETS!L16</f>
        <v>386543023</v>
      </c>
      <c r="E62" s="180">
        <f>TARGETS!M16</f>
        <v>63764154.799813807</v>
      </c>
      <c r="F62" s="180">
        <f t="shared" si="0"/>
        <v>450307177.79981381</v>
      </c>
      <c r="G62" s="119">
        <f>M17</f>
        <v>297882183.23181498</v>
      </c>
      <c r="H62" s="119">
        <f t="shared" si="10"/>
        <v>34050666.405826002</v>
      </c>
      <c r="I62" s="119">
        <f t="shared" si="1"/>
        <v>331932849.63764095</v>
      </c>
      <c r="J62" s="200">
        <f t="shared" si="2"/>
        <v>0.7371253801892611</v>
      </c>
      <c r="K62" s="197">
        <f t="shared" si="3"/>
        <v>73343610.382191479</v>
      </c>
      <c r="L62" s="197">
        <f t="shared" ca="1" si="4"/>
        <v>73343610.382191479</v>
      </c>
      <c r="M62" s="193">
        <f t="shared" si="5"/>
        <v>95858969.272182167</v>
      </c>
      <c r="N62" s="193">
        <f t="shared" ca="1" si="6"/>
        <v>95858969.272182167</v>
      </c>
      <c r="O62" s="198">
        <f t="shared" si="7"/>
        <v>118374328.16217285</v>
      </c>
      <c r="P62" s="198">
        <f t="shared" ca="1" si="8"/>
        <v>118374328.16217285</v>
      </c>
    </row>
    <row r="63" spans="2:16" ht="20.100000000000001" customHeight="1" x14ac:dyDescent="0.25">
      <c r="B63" s="177" t="s">
        <v>86</v>
      </c>
      <c r="C63" s="178" t="s">
        <v>87</v>
      </c>
      <c r="D63" s="180">
        <f>TARGETS!L17</f>
        <v>583350942</v>
      </c>
      <c r="E63" s="180">
        <f>TARGETS!M17</f>
        <v>329806944.99271739</v>
      </c>
      <c r="F63" s="180">
        <f t="shared" si="0"/>
        <v>913157886.99271739</v>
      </c>
      <c r="G63" s="119">
        <f>M18</f>
        <v>686645252.87729704</v>
      </c>
      <c r="H63" s="119">
        <f t="shared" si="10"/>
        <v>191906951.15242499</v>
      </c>
      <c r="I63" s="119">
        <f t="shared" si="1"/>
        <v>878552204.02972198</v>
      </c>
      <c r="J63" s="200">
        <f t="shared" si="2"/>
        <v>0.96210328634737907</v>
      </c>
      <c r="K63" s="197">
        <f t="shared" si="3"/>
        <v>-56710105.736276269</v>
      </c>
      <c r="L63" s="197">
        <f t="shared" ca="1" si="4"/>
        <v>-56710105.736276269</v>
      </c>
      <c r="M63" s="193">
        <f t="shared" si="5"/>
        <v>-11052211.386640549</v>
      </c>
      <c r="N63" s="193">
        <f t="shared" ca="1" si="6"/>
        <v>-11052211.386640549</v>
      </c>
      <c r="O63" s="198">
        <f t="shared" si="7"/>
        <v>34605682.96299541</v>
      </c>
      <c r="P63" s="198">
        <f t="shared" ca="1" si="8"/>
        <v>34605682.96299541</v>
      </c>
    </row>
    <row r="64" spans="2:16" ht="20.100000000000001" customHeight="1" x14ac:dyDescent="0.25">
      <c r="B64" s="177" t="s">
        <v>88</v>
      </c>
      <c r="C64" s="178" t="s">
        <v>89</v>
      </c>
      <c r="D64" s="180">
        <f>TARGETS!L18</f>
        <v>259525689</v>
      </c>
      <c r="E64" s="180">
        <f>TARGETS!M18</f>
        <v>257970031.90788639</v>
      </c>
      <c r="F64" s="180">
        <f t="shared" si="0"/>
        <v>517495720.90788639</v>
      </c>
      <c r="G64" s="119">
        <f>M19</f>
        <v>298336622.32828599</v>
      </c>
      <c r="H64" s="119">
        <f t="shared" si="10"/>
        <v>128847592.67048</v>
      </c>
      <c r="I64" s="119">
        <f t="shared" si="1"/>
        <v>427184214.99876601</v>
      </c>
      <c r="J64" s="200">
        <f t="shared" si="2"/>
        <v>0.82548356969854886</v>
      </c>
      <c r="K64" s="197">
        <f t="shared" si="3"/>
        <v>38561933.818331778</v>
      </c>
      <c r="L64" s="197">
        <f t="shared" ca="1" si="4"/>
        <v>38561933.818331778</v>
      </c>
      <c r="M64" s="193">
        <f t="shared" si="5"/>
        <v>64436719.86372602</v>
      </c>
      <c r="N64" s="193">
        <f t="shared" ca="1" si="6"/>
        <v>64436719.86372602</v>
      </c>
      <c r="O64" s="198">
        <f t="shared" si="7"/>
        <v>90311505.909120381</v>
      </c>
      <c r="P64" s="198">
        <f t="shared" ca="1" si="8"/>
        <v>90311505.909120381</v>
      </c>
    </row>
    <row r="65" spans="2:16" ht="20.100000000000001" customHeight="1" x14ac:dyDescent="0.25">
      <c r="B65" s="57" t="s">
        <v>152</v>
      </c>
      <c r="C65" s="58"/>
      <c r="D65" s="143">
        <f>SUM(D51:D64)</f>
        <v>6839279332</v>
      </c>
      <c r="E65" s="143">
        <f t="shared" ref="E65" si="11">SUM(E51:E52,E54:E58,E60:E64)</f>
        <v>1475264824.2203617</v>
      </c>
      <c r="F65" s="143">
        <f>SUM(F51:F64)</f>
        <v>8314544156.2203627</v>
      </c>
      <c r="G65" s="144">
        <f>SUM(G51:G64)</f>
        <v>6206485251.788393</v>
      </c>
      <c r="H65" s="144">
        <f>SUM(H51:H64)</f>
        <v>919677494.50367093</v>
      </c>
      <c r="I65" s="144">
        <f>SUM(I51:I64)</f>
        <v>7126162746.2920628</v>
      </c>
      <c r="J65" s="203">
        <f>IFERROR(I65/F65,0)</f>
        <v>0.85707197080200292</v>
      </c>
      <c r="K65" s="194">
        <f>SUM(K51:K64)</f>
        <v>356926994.30626285</v>
      </c>
      <c r="L65" s="194">
        <f t="shared" ca="1" si="4"/>
        <v>356926994.30626285</v>
      </c>
      <c r="M65" s="194">
        <f>SUM(M51:M64)</f>
        <v>772654202.11728036</v>
      </c>
      <c r="N65" s="194">
        <f t="shared" ca="1" si="6"/>
        <v>772654202.11728036</v>
      </c>
      <c r="O65" s="199">
        <f>SUM(O51:O64)</f>
        <v>1188381409.9282987</v>
      </c>
      <c r="P65" s="199">
        <f t="shared" ca="1" si="8"/>
        <v>1188381409.9282987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177" t="s">
        <v>92</v>
      </c>
      <c r="C69" s="178" t="s">
        <v>93</v>
      </c>
      <c r="D69" s="179">
        <f>TARGETS!H22</f>
        <v>278064617.90420955</v>
      </c>
      <c r="E69" s="119">
        <f>IFERROR(C32,0)</f>
        <v>291427595.82048202</v>
      </c>
      <c r="F69" s="200">
        <f t="shared" ref="F69:F74" si="12">IFERROR(E69/D69,0)</f>
        <v>1.0480570955664552</v>
      </c>
      <c r="G69" s="197">
        <f>D69*$H$41-E69</f>
        <v>-41169439.706693411</v>
      </c>
      <c r="H69" s="197">
        <f t="shared" ref="H69:H74" ca="1" si="13">IFERROR(G69/$C$3,0)</f>
        <v>-41169439.706693411</v>
      </c>
      <c r="I69" s="218">
        <f>D69*$J$41-E69</f>
        <v>-27266208.811482966</v>
      </c>
      <c r="J69" s="218">
        <f t="shared" ref="J69:J74" ca="1" si="14">IFERROR(I69/$C$3,0)</f>
        <v>-27266208.811482966</v>
      </c>
      <c r="K69" s="198">
        <f>D69*$L$41-E69</f>
        <v>-13362977.916272461</v>
      </c>
      <c r="L69" s="198">
        <f t="shared" ref="L69:L74" ca="1" si="15">IFERROR(K69/$C$3,0)</f>
        <v>-13362977.916272461</v>
      </c>
    </row>
    <row r="70" spans="2:16" x14ac:dyDescent="0.25">
      <c r="B70" s="177" t="s">
        <v>94</v>
      </c>
      <c r="C70" s="178" t="s">
        <v>95</v>
      </c>
      <c r="D70" s="179">
        <f>TARGETS!H23</f>
        <v>417618553.18652159</v>
      </c>
      <c r="E70" s="119">
        <f>IFERROR(C33,0)</f>
        <v>436148035.92440403</v>
      </c>
      <c r="F70" s="200">
        <f t="shared" si="12"/>
        <v>1.0443693954602793</v>
      </c>
      <c r="G70" s="197">
        <f>D70*$H$41-E70</f>
        <v>-60291338.056534588</v>
      </c>
      <c r="H70" s="197">
        <f t="shared" ca="1" si="13"/>
        <v>-60291338.056534588</v>
      </c>
      <c r="I70" s="218">
        <f>D70*$J$41-E70</f>
        <v>-39410410.397208512</v>
      </c>
      <c r="J70" s="218">
        <f t="shared" ca="1" si="14"/>
        <v>-39410410.397208512</v>
      </c>
      <c r="K70" s="198">
        <f>D70*$L$41-E70</f>
        <v>-18529482.737882435</v>
      </c>
      <c r="L70" s="198">
        <f t="shared" ca="1" si="15"/>
        <v>-18529482.737882435</v>
      </c>
    </row>
    <row r="71" spans="2:16" x14ac:dyDescent="0.25">
      <c r="B71" s="177" t="s">
        <v>96</v>
      </c>
      <c r="C71" s="178" t="s">
        <v>97</v>
      </c>
      <c r="D71" s="179">
        <f>TARGETS!H24</f>
        <v>1087295552.3135247</v>
      </c>
      <c r="E71" s="119">
        <f>M21+M7</f>
        <v>945630576.91965699</v>
      </c>
      <c r="F71" s="200">
        <f t="shared" si="12"/>
        <v>0.86970886150280302</v>
      </c>
      <c r="G71" s="197">
        <f>D71*$H$41-E71</f>
        <v>32935420.162515283</v>
      </c>
      <c r="H71" s="197">
        <f t="shared" ca="1" si="13"/>
        <v>32935420.162515283</v>
      </c>
      <c r="I71" s="218">
        <f>D71*$J$41-E71</f>
        <v>87300197.778191447</v>
      </c>
      <c r="J71" s="218">
        <f t="shared" ca="1" si="14"/>
        <v>87300197.778191447</v>
      </c>
      <c r="K71" s="198">
        <f>D71*$L$41-E71</f>
        <v>141664975.39386773</v>
      </c>
      <c r="L71" s="198">
        <f t="shared" ca="1" si="15"/>
        <v>141664975.39386773</v>
      </c>
    </row>
    <row r="72" spans="2:16" x14ac:dyDescent="0.25">
      <c r="B72" s="53" t="s">
        <v>98</v>
      </c>
      <c r="C72" s="56" t="s">
        <v>99</v>
      </c>
      <c r="D72" s="122">
        <f>TARGETS!H25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x14ac:dyDescent="0.25">
      <c r="B73" s="50" t="s">
        <v>100</v>
      </c>
      <c r="C73" s="113" t="s">
        <v>101</v>
      </c>
      <c r="D73" s="121">
        <f>TARGETS!H26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1782978723.4042559</v>
      </c>
      <c r="E74" s="120">
        <f>SUM(E69:E73)</f>
        <v>1673206208.6645432</v>
      </c>
      <c r="F74" s="188">
        <f t="shared" si="12"/>
        <v>0.93843307645863372</v>
      </c>
      <c r="G74" s="194">
        <f>SUM(G69:G73)</f>
        <v>-68525357.600712717</v>
      </c>
      <c r="H74" s="194">
        <f t="shared" ca="1" si="13"/>
        <v>-68525357.600712717</v>
      </c>
      <c r="I74" s="199">
        <f>SUM(I69:I73)</f>
        <v>20623578.569499969</v>
      </c>
      <c r="J74" s="199">
        <f t="shared" ca="1" si="14"/>
        <v>20623578.569499969</v>
      </c>
      <c r="K74" s="199">
        <f>SUM(K69:K73)</f>
        <v>109772514.73971283</v>
      </c>
      <c r="L74" s="199">
        <f t="shared" ca="1" si="15"/>
        <v>109772514.73971283</v>
      </c>
    </row>
    <row r="77" spans="2:16" ht="18.75" x14ac:dyDescent="0.25">
      <c r="B77" s="127" t="s">
        <v>174</v>
      </c>
      <c r="C77" s="128"/>
      <c r="D77" s="129"/>
    </row>
    <row r="78" spans="2:16" ht="18.75" customHeight="1" x14ac:dyDescent="0.25">
      <c r="B78" s="251" t="s">
        <v>41</v>
      </c>
      <c r="C78" s="251" t="s">
        <v>42</v>
      </c>
      <c r="D78" s="126" t="s">
        <v>139</v>
      </c>
    </row>
    <row r="79" spans="2:16" ht="18" customHeight="1" x14ac:dyDescent="0.25">
      <c r="B79" s="251"/>
      <c r="C79" s="251"/>
      <c r="D79" s="71" t="s">
        <v>171</v>
      </c>
    </row>
    <row r="80" spans="2:16" ht="20.100000000000001" customHeight="1" x14ac:dyDescent="0.25">
      <c r="B80" s="177" t="s">
        <v>67</v>
      </c>
      <c r="C80" s="178" t="s">
        <v>68</v>
      </c>
      <c r="D80" s="167">
        <f>IF(E24="",0,E24)</f>
        <v>126214286.45999999</v>
      </c>
    </row>
    <row r="81" spans="2:4" ht="20.100000000000001" customHeight="1" x14ac:dyDescent="0.25">
      <c r="B81" s="177" t="s">
        <v>69</v>
      </c>
      <c r="C81" s="178" t="s">
        <v>70</v>
      </c>
      <c r="D81" s="168">
        <f>IF(E12="",0,E12)+IF(E13="",0,E13)</f>
        <v>93672971.199999988</v>
      </c>
    </row>
    <row r="82" spans="2:4" ht="20.100000000000001" customHeight="1" x14ac:dyDescent="0.25">
      <c r="B82" s="177" t="s">
        <v>175</v>
      </c>
      <c r="C82" s="178" t="s">
        <v>176</v>
      </c>
      <c r="D82" s="168">
        <f>IF(E22="",0,E22)</f>
        <v>12832432.08</v>
      </c>
    </row>
    <row r="83" spans="2:4" ht="20.100000000000001" customHeight="1" x14ac:dyDescent="0.25">
      <c r="B83" s="177" t="s">
        <v>71</v>
      </c>
      <c r="C83" s="178" t="s">
        <v>72</v>
      </c>
      <c r="D83" s="167">
        <f>IF(E14="",0,E14)</f>
        <v>260324322.93000001</v>
      </c>
    </row>
    <row r="84" spans="2:4" ht="20.100000000000001" customHeight="1" x14ac:dyDescent="0.25">
      <c r="B84" s="177" t="s">
        <v>73</v>
      </c>
      <c r="C84" s="178" t="s">
        <v>74</v>
      </c>
      <c r="D84" s="168">
        <f>0</f>
        <v>0</v>
      </c>
    </row>
    <row r="85" spans="2:4" ht="20.100000000000001" customHeight="1" x14ac:dyDescent="0.25">
      <c r="B85" s="177" t="s">
        <v>75</v>
      </c>
      <c r="C85" s="178" t="s">
        <v>74</v>
      </c>
      <c r="D85" s="168">
        <f>IF(E16="",0,E16)</f>
        <v>14439639.5</v>
      </c>
    </row>
    <row r="86" spans="2:4" ht="20.100000000000001" customHeight="1" x14ac:dyDescent="0.25">
      <c r="B86" s="177" t="s">
        <v>76</v>
      </c>
      <c r="C86" s="178" t="s">
        <v>77</v>
      </c>
      <c r="D86" s="168">
        <f>IF(E19="",0,E19)</f>
        <v>709237967.049927</v>
      </c>
    </row>
    <row r="87" spans="2:4" ht="20.100000000000001" customHeight="1" x14ac:dyDescent="0.25">
      <c r="B87" s="177" t="s">
        <v>78</v>
      </c>
      <c r="C87" s="178" t="s">
        <v>79</v>
      </c>
      <c r="D87" s="167">
        <f>IF(E25="",0,E25)</f>
        <v>247976756.949745</v>
      </c>
    </row>
    <row r="88" spans="2:4" ht="20.100000000000001" customHeight="1" x14ac:dyDescent="0.25">
      <c r="B88" s="177" t="s">
        <v>175</v>
      </c>
      <c r="C88" s="178" t="s">
        <v>177</v>
      </c>
      <c r="D88" s="168">
        <f>IF(E23="",0,E23)</f>
        <v>13813693.32</v>
      </c>
    </row>
    <row r="89" spans="2:4" ht="20.100000000000001" customHeight="1" x14ac:dyDescent="0.25">
      <c r="B89" s="177" t="s">
        <v>80</v>
      </c>
      <c r="C89" s="178" t="s">
        <v>81</v>
      </c>
      <c r="D89" s="168">
        <f>IF(E11="",0,E11)</f>
        <v>40868468.799999997</v>
      </c>
    </row>
    <row r="90" spans="2:4" ht="20.100000000000001" customHeight="1" x14ac:dyDescent="0.25">
      <c r="B90" s="177" t="s">
        <v>82</v>
      </c>
      <c r="C90" s="178" t="s">
        <v>83</v>
      </c>
      <c r="D90" s="167">
        <f>IF(E26="",0,E26)</f>
        <v>469103962.04973102</v>
      </c>
    </row>
    <row r="91" spans="2:4" ht="20.100000000000001" customHeight="1" x14ac:dyDescent="0.25">
      <c r="B91" s="177" t="s">
        <v>84</v>
      </c>
      <c r="C91" s="178" t="s">
        <v>85</v>
      </c>
      <c r="D91" s="168">
        <f>IF(E10="",0,E10)</f>
        <v>162788612.639999</v>
      </c>
    </row>
    <row r="92" spans="2:4" ht="20.100000000000001" customHeight="1" x14ac:dyDescent="0.25">
      <c r="B92" s="177" t="s">
        <v>86</v>
      </c>
      <c r="C92" s="178" t="s">
        <v>87</v>
      </c>
      <c r="D92" s="168">
        <f>IF(E27="",0,E27)</f>
        <v>19182702.936000001</v>
      </c>
    </row>
    <row r="93" spans="2:4" ht="20.100000000000001" customHeight="1" x14ac:dyDescent="0.25">
      <c r="B93" s="177" t="s">
        <v>88</v>
      </c>
      <c r="C93" s="178" t="s">
        <v>89</v>
      </c>
      <c r="D93" s="168">
        <f>IF(E20="",0,E20)+IF(E21="",0,E21)</f>
        <v>82886488.079999998</v>
      </c>
    </row>
    <row r="94" spans="2:4" ht="20.100000000000001" customHeight="1" x14ac:dyDescent="0.25">
      <c r="B94" s="57" t="s">
        <v>152</v>
      </c>
      <c r="C94" s="58"/>
      <c r="D94" s="125">
        <f>SUM(D80:D93)</f>
        <v>2253342303.9954014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B29" zoomScaleNormal="100" workbookViewId="0">
      <selection activeCell="B48" sqref="B48:J4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168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172</v>
      </c>
      <c r="C22" s="15">
        <v>167671841.09999999</v>
      </c>
      <c r="D22" s="15" t="s">
        <v>168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173</v>
      </c>
      <c r="C23" s="15">
        <v>388937679.18000001</v>
      </c>
      <c r="D23" s="15" t="s">
        <v>168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9" x14ac:dyDescent="0.25">
      <c r="B33" s="84" t="s">
        <v>133</v>
      </c>
      <c r="C33" s="181">
        <v>334871676.45744997</v>
      </c>
      <c r="G33" s="116"/>
      <c r="H33" s="116"/>
      <c r="I33" s="116"/>
    </row>
    <row r="34" spans="2:19" x14ac:dyDescent="0.25">
      <c r="B34" s="84" t="s">
        <v>134</v>
      </c>
      <c r="C34" s="15">
        <v>164253111.869317</v>
      </c>
      <c r="G34" s="116"/>
      <c r="H34" s="116"/>
      <c r="I34" s="116"/>
    </row>
    <row r="35" spans="2:19" x14ac:dyDescent="0.25">
      <c r="B35" s="84" t="s">
        <v>135</v>
      </c>
      <c r="C35" s="15">
        <v>734691552.09052098</v>
      </c>
      <c r="G35" s="116"/>
      <c r="H35" s="116"/>
      <c r="I35" s="116"/>
    </row>
    <row r="36" spans="2:19" x14ac:dyDescent="0.25">
      <c r="B36" s="84" t="s">
        <v>136</v>
      </c>
      <c r="C36" s="15">
        <v>309645249.995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ht="20.100000000000001" customHeight="1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188</v>
      </c>
    </row>
    <row r="41" spans="2:19" ht="27.95" customHeight="1" x14ac:dyDescent="0.25">
      <c r="B41" s="252" t="s">
        <v>183</v>
      </c>
      <c r="C41" s="253"/>
      <c r="D41" s="254"/>
      <c r="E41" s="67" t="s">
        <v>138</v>
      </c>
      <c r="F41" s="185">
        <f ca="1">IF(MONTH(TODAY())=6,DAY(TODAY())/DAY(EOMONTH(TODAY(),0)),IF(MONTH(TODAY())&gt;6,1,0))</f>
        <v>1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187">
        <f>IFERROR(E43/D43,0)</f>
        <v>0.95364211558284873</v>
      </c>
      <c r="G43" s="197">
        <f>D43*$H$41-E43</f>
        <v>-389403100.97532845</v>
      </c>
      <c r="H43" s="197">
        <f ca="1">IFERROR(G43/$C$3,0)</f>
        <v>0</v>
      </c>
      <c r="I43" s="218">
        <f>D43*$J$41-E43</f>
        <v>-26439134.375329018</v>
      </c>
      <c r="J43" s="218">
        <f ca="1">IFERROR(I43/$C$3,0)</f>
        <v>0</v>
      </c>
      <c r="K43" s="198">
        <f>D43*$L$41-E43</f>
        <v>336524832.22467136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187">
        <f>IFERROR(E44/D44,0)</f>
        <v>0.59101757616469108</v>
      </c>
      <c r="G44" s="197">
        <f>D44*$H$41-E44</f>
        <v>559080540.47816706</v>
      </c>
      <c r="H44" s="197">
        <f ca="1">IFERROR(G44/$C$3,0)</f>
        <v>0</v>
      </c>
      <c r="I44" s="218">
        <f>D44*$J$41-E44</f>
        <v>649551793.42816687</v>
      </c>
      <c r="J44" s="218">
        <f ca="1">IFERROR(I44/$C$3,0)</f>
        <v>0</v>
      </c>
      <c r="K44" s="198">
        <f>D44*$L$41-E44</f>
        <v>740023046.37816691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187">
        <f>IFERROR(E45/D45,0)</f>
        <v>0.9442243326828319</v>
      </c>
      <c r="G45" s="197">
        <f>D45*$H$41-E45</f>
        <v>-80968166.547052622</v>
      </c>
      <c r="H45" s="197">
        <f ca="1">IFERROR(G45/$C$3,0)</f>
        <v>0</v>
      </c>
      <c r="I45" s="218">
        <f>D45*$J$41-E45</f>
        <v>10574386.652947187</v>
      </c>
      <c r="J45" s="218">
        <f ca="1">IFERROR(I45/$C$3,0)</f>
        <v>0</v>
      </c>
      <c r="K45" s="198">
        <f>D45*$L$41-E45</f>
        <v>102116939.85294724</v>
      </c>
      <c r="L45" s="198">
        <f ca="1">IFERROR(K45/$C$3,0)</f>
        <v>0</v>
      </c>
      <c r="S45" s="184">
        <v>0.9</v>
      </c>
    </row>
    <row r="46" spans="2:19" ht="18.75" customHeight="1" x14ac:dyDescent="0.25">
      <c r="B46" s="249" t="s">
        <v>146</v>
      </c>
      <c r="C46" s="250"/>
      <c r="D46" s="47">
        <f>D43+D44+D45</f>
        <v>10899555455</v>
      </c>
      <c r="E46" s="47">
        <f>E43+E44+E45</f>
        <v>9720890636.5442142</v>
      </c>
      <c r="F46" s="188">
        <f>IFERROR(E46/D46,0)</f>
        <v>0.89186120265894953</v>
      </c>
      <c r="G46" s="194">
        <f>G43+G44+G45</f>
        <v>88709272.95578599</v>
      </c>
      <c r="H46" s="194">
        <f ca="1">IFERROR(G46/$C$3,0)</f>
        <v>0</v>
      </c>
      <c r="I46" s="199">
        <f>I43+I44+I45</f>
        <v>633687045.70578504</v>
      </c>
      <c r="J46" s="199">
        <f ca="1">IFERROR(I46/$C$3,0)</f>
        <v>0</v>
      </c>
      <c r="K46" s="199">
        <f>K43+K44+K45</f>
        <v>1178664818.4557855</v>
      </c>
      <c r="L46" s="199">
        <f ca="1">IFERROR(K46/$C$3,0)</f>
        <v>0</v>
      </c>
      <c r="S46" s="184">
        <v>0.95</v>
      </c>
    </row>
    <row r="47" spans="2:19" ht="17.100000000000001" customHeight="1" x14ac:dyDescent="0.25">
      <c r="G47" s="116"/>
      <c r="H47" s="116"/>
      <c r="I47" s="116"/>
      <c r="S47" s="184">
        <v>1</v>
      </c>
    </row>
    <row r="48" spans="2:19" ht="80.099999999999994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189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19.5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ht="20.100000000000001" customHeight="1" x14ac:dyDescent="0.25">
      <c r="B51" s="50" t="s">
        <v>67</v>
      </c>
      <c r="C51" s="55" t="s">
        <v>68</v>
      </c>
      <c r="D51" s="123">
        <f>TARGETS!N5</f>
        <v>451683478</v>
      </c>
      <c r="E51" s="123">
        <f>TARGETS!O5</f>
        <v>101830423</v>
      </c>
      <c r="F51" s="123">
        <f t="shared" ref="F51:F64" si="0">D51+E51</f>
        <v>553513901</v>
      </c>
      <c r="G51" s="119">
        <f>M8</f>
        <v>320575286.94788897</v>
      </c>
      <c r="H51" s="119">
        <f>N8</f>
        <v>55052087.763467997</v>
      </c>
      <c r="I51" s="119">
        <f t="shared" ref="I51:I64" si="1">G51+H51</f>
        <v>375627374.711357</v>
      </c>
      <c r="J51" s="200">
        <f t="shared" ref="J51:J64" si="2">IFERROR(I51/F51,0)</f>
        <v>0.6786231999462593</v>
      </c>
      <c r="K51" s="197">
        <f t="shared" ref="K51:K64" si="3">F51*$H$41-I51</f>
        <v>122535136.18864304</v>
      </c>
      <c r="L51" s="197">
        <f t="shared" ref="L51:L65" ca="1" si="4">IFERROR(K51/$C$3,0)</f>
        <v>0</v>
      </c>
      <c r="M51" s="193">
        <f t="shared" ref="M51:M64" si="5">F51*$J$41-I51</f>
        <v>150210831.23864299</v>
      </c>
      <c r="N51" s="193">
        <f t="shared" ref="N51:N65" ca="1" si="6">IFERROR(M51/$C$3,0)</f>
        <v>0</v>
      </c>
      <c r="O51" s="198">
        <f t="shared" ref="O51:O64" si="7">F51*$L$41-I51</f>
        <v>177886526.288643</v>
      </c>
      <c r="P51" s="198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24">
        <f>TARGETS!N6</f>
        <v>590182371</v>
      </c>
      <c r="E52" s="124">
        <f>TARGETS!O6</f>
        <v>225106806</v>
      </c>
      <c r="F52" s="124">
        <f t="shared" si="0"/>
        <v>815289177</v>
      </c>
      <c r="G52" s="119">
        <f>M9</f>
        <v>548772948.85095096</v>
      </c>
      <c r="H52" s="119">
        <f>N9</f>
        <v>130737490.55623899</v>
      </c>
      <c r="I52" s="119">
        <f t="shared" si="1"/>
        <v>679510439.40718997</v>
      </c>
      <c r="J52" s="200">
        <f t="shared" si="2"/>
        <v>0.83345941363721787</v>
      </c>
      <c r="K52" s="197">
        <f t="shared" si="3"/>
        <v>54249819.892810106</v>
      </c>
      <c r="L52" s="197">
        <f t="shared" ca="1" si="4"/>
        <v>0</v>
      </c>
      <c r="M52" s="193">
        <f t="shared" si="5"/>
        <v>95014278.742810011</v>
      </c>
      <c r="N52" s="193">
        <f t="shared" ca="1" si="6"/>
        <v>0</v>
      </c>
      <c r="O52" s="198">
        <f t="shared" si="7"/>
        <v>135778737.59281003</v>
      </c>
      <c r="P52" s="198">
        <f t="shared" ca="1" si="8"/>
        <v>0</v>
      </c>
    </row>
    <row r="53" spans="2:16" ht="20.100000000000001" customHeight="1" x14ac:dyDescent="0.25">
      <c r="B53" s="145" t="s">
        <v>175</v>
      </c>
      <c r="C53" s="146" t="s">
        <v>176</v>
      </c>
      <c r="D53" s="147">
        <f>TARGETS!N7</f>
        <v>241473268</v>
      </c>
      <c r="E53" s="147">
        <f>TARGETS!O7</f>
        <v>0</v>
      </c>
      <c r="F53" s="147">
        <f>D53+E53</f>
        <v>241473268</v>
      </c>
      <c r="G53" s="119">
        <f>C22</f>
        <v>167671841.09999999</v>
      </c>
      <c r="H53" s="119">
        <f>IF(D22="",0,D22)</f>
        <v>0</v>
      </c>
      <c r="I53" s="119">
        <f>G53+H53</f>
        <v>167671841.09999999</v>
      </c>
      <c r="J53" s="200">
        <f>IFERROR(I53/F53,0)</f>
        <v>0.69437019877496331</v>
      </c>
      <c r="K53" s="197">
        <f t="shared" si="3"/>
        <v>49654100.100000024</v>
      </c>
      <c r="L53" s="197">
        <f t="shared" ca="1" si="4"/>
        <v>0</v>
      </c>
      <c r="M53" s="193">
        <f t="shared" si="5"/>
        <v>61727763.5</v>
      </c>
      <c r="N53" s="193">
        <f t="shared" ca="1" si="6"/>
        <v>0</v>
      </c>
      <c r="O53" s="198">
        <f t="shared" si="7"/>
        <v>73801426.900000006</v>
      </c>
      <c r="P53" s="198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24">
        <f>TARGETS!N8</f>
        <v>645712472</v>
      </c>
      <c r="E54" s="124">
        <f>TARGETS!O8</f>
        <v>80441848</v>
      </c>
      <c r="F54" s="124">
        <f t="shared" si="0"/>
        <v>726154320</v>
      </c>
      <c r="G54" s="119">
        <f>M10</f>
        <v>989456477.77127802</v>
      </c>
      <c r="H54" s="119">
        <f t="shared" ref="H54:H58" si="9">N10</f>
        <v>37132037.007500999</v>
      </c>
      <c r="I54" s="119">
        <f t="shared" si="1"/>
        <v>1026588514.778779</v>
      </c>
      <c r="J54" s="200">
        <f t="shared" si="2"/>
        <v>1.4137332609668687</v>
      </c>
      <c r="K54" s="197">
        <f t="shared" si="3"/>
        <v>-373049626.77877903</v>
      </c>
      <c r="L54" s="197">
        <f t="shared" ca="1" si="4"/>
        <v>0</v>
      </c>
      <c r="M54" s="193">
        <f t="shared" si="5"/>
        <v>-336741910.77877903</v>
      </c>
      <c r="N54" s="193">
        <f t="shared" ca="1" si="6"/>
        <v>0</v>
      </c>
      <c r="O54" s="198">
        <f t="shared" si="7"/>
        <v>-300434194.77877903</v>
      </c>
      <c r="P54" s="198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23">
        <f>TARGETS!N9</f>
        <v>508918832</v>
      </c>
      <c r="E55" s="123">
        <f>TARGETS!O9</f>
        <v>80519404</v>
      </c>
      <c r="F55" s="123">
        <f t="shared" si="0"/>
        <v>589438236</v>
      </c>
      <c r="G55" s="119">
        <f>M11</f>
        <v>368163765.47890598</v>
      </c>
      <c r="H55" s="119">
        <f t="shared" si="9"/>
        <v>50693884.710000001</v>
      </c>
      <c r="I55" s="119">
        <f t="shared" si="1"/>
        <v>418857650.18890595</v>
      </c>
      <c r="J55" s="200">
        <f t="shared" si="2"/>
        <v>0.71060481761638883</v>
      </c>
      <c r="K55" s="197">
        <f t="shared" si="3"/>
        <v>111636762.21109408</v>
      </c>
      <c r="L55" s="197">
        <f t="shared" ca="1" si="4"/>
        <v>0</v>
      </c>
      <c r="M55" s="193">
        <f t="shared" si="5"/>
        <v>141108674.01109397</v>
      </c>
      <c r="N55" s="193">
        <f t="shared" ca="1" si="6"/>
        <v>0</v>
      </c>
      <c r="O55" s="198">
        <f t="shared" si="7"/>
        <v>170580585.81109405</v>
      </c>
      <c r="P55" s="198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24">
        <f>TARGETS!N10</f>
        <v>440063284</v>
      </c>
      <c r="E56" s="124">
        <f>TARGETS!O10</f>
        <v>82149325</v>
      </c>
      <c r="F56" s="124">
        <f t="shared" si="0"/>
        <v>522212609</v>
      </c>
      <c r="G56" s="119">
        <f>M12</f>
        <v>517028510.48846501</v>
      </c>
      <c r="H56" s="119">
        <f t="shared" si="9"/>
        <v>88679408.048779994</v>
      </c>
      <c r="I56" s="119">
        <f t="shared" si="1"/>
        <v>605707918.53724504</v>
      </c>
      <c r="J56" s="200">
        <f t="shared" si="2"/>
        <v>1.1598875785422582</v>
      </c>
      <c r="K56" s="197">
        <f t="shared" si="3"/>
        <v>-135716570.43724501</v>
      </c>
      <c r="L56" s="197">
        <f t="shared" ca="1" si="4"/>
        <v>0</v>
      </c>
      <c r="M56" s="193">
        <f t="shared" si="5"/>
        <v>-109605939.98724508</v>
      </c>
      <c r="N56" s="193">
        <f t="shared" ca="1" si="6"/>
        <v>0</v>
      </c>
      <c r="O56" s="198">
        <f t="shared" si="7"/>
        <v>-83495309.537245035</v>
      </c>
      <c r="P56" s="198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23">
        <f>TARGETS!N11</f>
        <v>996758345</v>
      </c>
      <c r="E57" s="123">
        <f>TARGETS!O11</f>
        <v>125488598</v>
      </c>
      <c r="F57" s="123">
        <f t="shared" si="0"/>
        <v>1122246943</v>
      </c>
      <c r="G57" s="119">
        <f>M13</f>
        <v>1002756079.983186</v>
      </c>
      <c r="H57" s="119">
        <f t="shared" si="9"/>
        <v>72945098.289833993</v>
      </c>
      <c r="I57" s="119">
        <f t="shared" si="1"/>
        <v>1075701178.27302</v>
      </c>
      <c r="J57" s="200">
        <f t="shared" si="2"/>
        <v>0.95852448962564918</v>
      </c>
      <c r="K57" s="197">
        <f t="shared" si="3"/>
        <v>-65678929.573019981</v>
      </c>
      <c r="L57" s="197">
        <f t="shared" ca="1" si="4"/>
        <v>0</v>
      </c>
      <c r="M57" s="193">
        <f t="shared" si="5"/>
        <v>-9566582.4230201244</v>
      </c>
      <c r="N57" s="193">
        <f t="shared" ca="1" si="6"/>
        <v>0</v>
      </c>
      <c r="O57" s="198">
        <f t="shared" si="7"/>
        <v>46545764.726979971</v>
      </c>
      <c r="P57" s="198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24">
        <f>TARGETS!N12</f>
        <v>540287059</v>
      </c>
      <c r="E58" s="124">
        <f>TARGETS!O12</f>
        <v>97341426</v>
      </c>
      <c r="F58" s="124">
        <f t="shared" si="0"/>
        <v>637628485</v>
      </c>
      <c r="G58" s="119">
        <f>M14</f>
        <v>461849289.23312598</v>
      </c>
      <c r="H58" s="119">
        <f t="shared" si="9"/>
        <v>75489696.329871997</v>
      </c>
      <c r="I58" s="119">
        <f>G58+H58</f>
        <v>537338985.56299794</v>
      </c>
      <c r="J58" s="200">
        <f>IFERROR(I58/F58,0)</f>
        <v>0.84271483819139281</v>
      </c>
      <c r="K58" s="197">
        <f t="shared" si="3"/>
        <v>36526650.937002063</v>
      </c>
      <c r="L58" s="197">
        <f t="shared" ca="1" si="4"/>
        <v>0</v>
      </c>
      <c r="M58" s="193">
        <f t="shared" si="5"/>
        <v>68408075.187002063</v>
      </c>
      <c r="N58" s="193">
        <f t="shared" ca="1" si="6"/>
        <v>0</v>
      </c>
      <c r="O58" s="198">
        <f t="shared" si="7"/>
        <v>100289499.43700206</v>
      </c>
      <c r="P58" s="198">
        <f t="shared" ca="1" si="8"/>
        <v>0</v>
      </c>
    </row>
    <row r="59" spans="2:16" ht="20.100000000000001" customHeight="1" x14ac:dyDescent="0.25">
      <c r="B59" s="145" t="s">
        <v>175</v>
      </c>
      <c r="C59" s="146" t="s">
        <v>177</v>
      </c>
      <c r="D59" s="147">
        <f>TARGETS!N13</f>
        <v>404133664</v>
      </c>
      <c r="E59" s="147">
        <f>TARGETS!O13</f>
        <v>0</v>
      </c>
      <c r="F59" s="147">
        <f>D59+E59</f>
        <v>404133664</v>
      </c>
      <c r="G59" s="119">
        <f>C23</f>
        <v>388937679.18000001</v>
      </c>
      <c r="H59" s="119">
        <f>IF(D23="",0,D23)</f>
        <v>0</v>
      </c>
      <c r="I59" s="119">
        <f>G59+H59</f>
        <v>388937679.18000001</v>
      </c>
      <c r="J59" s="200">
        <f>IFERROR(I59/F59,0)</f>
        <v>0.96239861666163995</v>
      </c>
      <c r="K59" s="197">
        <f t="shared" si="3"/>
        <v>-25217381.579999983</v>
      </c>
      <c r="L59" s="197">
        <f t="shared" ca="1" si="4"/>
        <v>0</v>
      </c>
      <c r="M59" s="193">
        <f t="shared" si="5"/>
        <v>-5010698.3800000548</v>
      </c>
      <c r="N59" s="193">
        <f t="shared" ca="1" si="6"/>
        <v>0</v>
      </c>
      <c r="O59" s="198">
        <f t="shared" si="7"/>
        <v>15195984.819999993</v>
      </c>
      <c r="P59" s="198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24">
        <f>TARGETS!N14</f>
        <v>439017309</v>
      </c>
      <c r="E60" s="124">
        <f>TARGETS!O14</f>
        <v>172024412</v>
      </c>
      <c r="F60" s="124">
        <f t="shared" si="0"/>
        <v>611041721</v>
      </c>
      <c r="G60" s="119">
        <f>M15</f>
        <v>350800236.759597</v>
      </c>
      <c r="H60" s="119">
        <f t="shared" ref="H60:H64" si="10">N15</f>
        <v>84864795.200103998</v>
      </c>
      <c r="I60" s="119">
        <f t="shared" si="1"/>
        <v>435665031.959701</v>
      </c>
      <c r="J60" s="200">
        <f t="shared" si="2"/>
        <v>0.71298737383547828</v>
      </c>
      <c r="K60" s="197">
        <f t="shared" si="3"/>
        <v>114272516.94029897</v>
      </c>
      <c r="L60" s="197">
        <f t="shared" ca="1" si="4"/>
        <v>0</v>
      </c>
      <c r="M60" s="193">
        <f t="shared" si="5"/>
        <v>144824602.99029893</v>
      </c>
      <c r="N60" s="193">
        <f t="shared" ca="1" si="6"/>
        <v>0</v>
      </c>
      <c r="O60" s="198">
        <f t="shared" si="7"/>
        <v>175376689.040299</v>
      </c>
      <c r="P60" s="198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23">
        <f>TARGETS!N15</f>
        <v>666629596</v>
      </c>
      <c r="E61" s="123">
        <f>TARGETS!O15</f>
        <v>92301622</v>
      </c>
      <c r="F61" s="123">
        <f t="shared" si="0"/>
        <v>758931218</v>
      </c>
      <c r="G61" s="119">
        <f>M16</f>
        <v>508735877.73760903</v>
      </c>
      <c r="H61" s="119">
        <f t="shared" si="10"/>
        <v>51169801.005402997</v>
      </c>
      <c r="I61" s="119">
        <f t="shared" si="1"/>
        <v>559905678.74301207</v>
      </c>
      <c r="J61" s="200">
        <f t="shared" si="2"/>
        <v>0.73775549807863094</v>
      </c>
      <c r="K61" s="197">
        <f t="shared" si="3"/>
        <v>123132417.45698798</v>
      </c>
      <c r="L61" s="197">
        <f t="shared" ca="1" si="4"/>
        <v>0</v>
      </c>
      <c r="M61" s="193">
        <f t="shared" si="5"/>
        <v>161078978.35698795</v>
      </c>
      <c r="N61" s="193">
        <f t="shared" ca="1" si="6"/>
        <v>0</v>
      </c>
      <c r="O61" s="198">
        <f t="shared" si="7"/>
        <v>199025539.25698793</v>
      </c>
      <c r="P61" s="198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24">
        <f>TARGETS!N16</f>
        <v>421543023</v>
      </c>
      <c r="E62" s="124">
        <f>TARGETS!O16</f>
        <v>97324176</v>
      </c>
      <c r="F62" s="124">
        <f t="shared" si="0"/>
        <v>518867199</v>
      </c>
      <c r="G62" s="119">
        <f>M17</f>
        <v>322280851.83509499</v>
      </c>
      <c r="H62" s="119">
        <f t="shared" si="10"/>
        <v>34873341.943994999</v>
      </c>
      <c r="I62" s="119">
        <f t="shared" si="1"/>
        <v>357154193.77908999</v>
      </c>
      <c r="J62" s="200">
        <f t="shared" si="2"/>
        <v>0.6883344995933921</v>
      </c>
      <c r="K62" s="197">
        <f t="shared" si="3"/>
        <v>109826285.32091004</v>
      </c>
      <c r="L62" s="197">
        <f t="shared" ca="1" si="4"/>
        <v>0</v>
      </c>
      <c r="M62" s="193">
        <f t="shared" si="5"/>
        <v>135769645.27090997</v>
      </c>
      <c r="N62" s="193">
        <f t="shared" ca="1" si="6"/>
        <v>0</v>
      </c>
      <c r="O62" s="198">
        <f t="shared" si="7"/>
        <v>161713005.22091001</v>
      </c>
      <c r="P62" s="198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23">
        <f>TARGETS!N17</f>
        <v>618350942</v>
      </c>
      <c r="E63" s="123">
        <f>TARGETS!O17</f>
        <v>363366966</v>
      </c>
      <c r="F63" s="123">
        <f t="shared" si="0"/>
        <v>981717908</v>
      </c>
      <c r="G63" s="119">
        <f>M18</f>
        <v>789357999.90691698</v>
      </c>
      <c r="H63" s="119">
        <f t="shared" si="10"/>
        <v>235212300.73199099</v>
      </c>
      <c r="I63" s="119">
        <f t="shared" si="1"/>
        <v>1024570300.6389079</v>
      </c>
      <c r="J63" s="200">
        <f t="shared" si="2"/>
        <v>1.0436504135146203</v>
      </c>
      <c r="K63" s="197">
        <f t="shared" si="3"/>
        <v>-141024183.43890786</v>
      </c>
      <c r="L63" s="197">
        <f t="shared" ca="1" si="4"/>
        <v>0</v>
      </c>
      <c r="M63" s="193">
        <f t="shared" si="5"/>
        <v>-91938288.038908005</v>
      </c>
      <c r="N63" s="193">
        <f t="shared" ca="1" si="6"/>
        <v>0</v>
      </c>
      <c r="O63" s="198">
        <f t="shared" si="7"/>
        <v>-42852392.638907909</v>
      </c>
      <c r="P63" s="198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24">
        <f>TARGETS!N18</f>
        <v>294525689</v>
      </c>
      <c r="E64" s="124">
        <f>TARGETS!O18</f>
        <v>291530053</v>
      </c>
      <c r="F64" s="124">
        <f t="shared" si="0"/>
        <v>586055742</v>
      </c>
      <c r="G64" s="119">
        <f>M19</f>
        <v>186367654.50230998</v>
      </c>
      <c r="H64" s="119">
        <f t="shared" si="10"/>
        <v>152552071.034646</v>
      </c>
      <c r="I64" s="119">
        <f t="shared" si="1"/>
        <v>338919725.53695595</v>
      </c>
      <c r="J64" s="200">
        <f t="shared" si="2"/>
        <v>0.57830629622421814</v>
      </c>
      <c r="K64" s="197">
        <f t="shared" si="3"/>
        <v>188530442.26304406</v>
      </c>
      <c r="L64" s="197">
        <f t="shared" ca="1" si="4"/>
        <v>0</v>
      </c>
      <c r="M64" s="193">
        <f t="shared" si="5"/>
        <v>217833229.36304402</v>
      </c>
      <c r="N64" s="193">
        <f t="shared" ca="1" si="6"/>
        <v>0</v>
      </c>
      <c r="O64" s="198">
        <f t="shared" si="7"/>
        <v>247136016.46304405</v>
      </c>
      <c r="P64" s="198">
        <f t="shared" ca="1" si="8"/>
        <v>0</v>
      </c>
    </row>
    <row r="65" spans="2:16" ht="20.100000000000001" customHeight="1" x14ac:dyDescent="0.25">
      <c r="B65" s="57" t="s">
        <v>152</v>
      </c>
      <c r="C65" s="58"/>
      <c r="D65" s="143">
        <f>SUM(D51:D64)</f>
        <v>7259279332</v>
      </c>
      <c r="E65" s="143">
        <f t="shared" ref="E65" si="11">SUM(E51:E52,E54:E58,E60:E64)</f>
        <v>1809425059</v>
      </c>
      <c r="F65" s="143">
        <f>SUM(F51:F64)</f>
        <v>9068704391</v>
      </c>
      <c r="G65" s="144">
        <f>SUM(G51:G64)</f>
        <v>6922754499.7753286</v>
      </c>
      <c r="H65" s="144">
        <f>SUM(H51:H64)</f>
        <v>1069402012.6218331</v>
      </c>
      <c r="I65" s="144">
        <f>SUM(I51:I64)</f>
        <v>7992156512.3971605</v>
      </c>
      <c r="J65" s="203">
        <f>IFERROR(I65/F65,0)</f>
        <v>0.88128978162842853</v>
      </c>
      <c r="K65" s="194">
        <f>SUM(K51:K64)</f>
        <v>169677439.50283849</v>
      </c>
      <c r="L65" s="194">
        <f t="shared" ca="1" si="4"/>
        <v>0</v>
      </c>
      <c r="M65" s="194">
        <f>SUM(M51:M64)</f>
        <v>623112659.05283761</v>
      </c>
      <c r="N65" s="194">
        <f t="shared" ca="1" si="6"/>
        <v>0</v>
      </c>
      <c r="O65" s="199">
        <f>SUM(O51:O64)</f>
        <v>1076547878.602838</v>
      </c>
      <c r="P65" s="199">
        <f t="shared" ca="1" si="8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TARGETS!I22</f>
        <v>285530553</v>
      </c>
      <c r="E69" s="119">
        <f>IFERROR(C32,0)</f>
        <v>185272533.73476499</v>
      </c>
      <c r="F69" s="200">
        <f t="shared" ref="F69:F74" si="12">IFERROR(E69/D69,0)</f>
        <v>0.64887113406306818</v>
      </c>
      <c r="G69" s="197">
        <f>D69*$H$41-E69</f>
        <v>71704963.965235025</v>
      </c>
      <c r="H69" s="197">
        <f t="shared" ref="H69:H74" ca="1" si="13">IFERROR(G69/$C$3,0)</f>
        <v>0</v>
      </c>
      <c r="I69" s="218">
        <f>D69*$J$41-E69</f>
        <v>85981491.615234971</v>
      </c>
      <c r="J69" s="218">
        <f t="shared" ref="J69:J74" ca="1" si="14">IFERROR(I69/$C$3,0)</f>
        <v>0</v>
      </c>
      <c r="K69" s="198">
        <f>D69*$L$41-E69</f>
        <v>100258019.26523501</v>
      </c>
      <c r="L69" s="198">
        <f t="shared" ref="L69:L74" ca="1" si="15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TARGETS!I23</f>
        <v>428831462</v>
      </c>
      <c r="E70" s="119">
        <f>IFERROR(C33,0)</f>
        <v>334871676.45744997</v>
      </c>
      <c r="F70" s="200">
        <f t="shared" si="12"/>
        <v>0.78089344213613221</v>
      </c>
      <c r="G70" s="197">
        <f>D70*$H$41-E70</f>
        <v>51076639.342550039</v>
      </c>
      <c r="H70" s="197">
        <f t="shared" ca="1" si="13"/>
        <v>0</v>
      </c>
      <c r="I70" s="218">
        <f>D70*$J$41-E70</f>
        <v>72518212.442550004</v>
      </c>
      <c r="J70" s="218">
        <f t="shared" ca="1" si="14"/>
        <v>0</v>
      </c>
      <c r="K70" s="198">
        <f>D70*$L$41-E70</f>
        <v>93959785.542550027</v>
      </c>
      <c r="L70" s="198">
        <f t="shared" ca="1" si="15"/>
        <v>0</v>
      </c>
    </row>
    <row r="71" spans="2:16" x14ac:dyDescent="0.25">
      <c r="B71" s="50" t="s">
        <v>96</v>
      </c>
      <c r="C71" s="55" t="s">
        <v>97</v>
      </c>
      <c r="D71" s="121">
        <f>TARGETS!I24</f>
        <v>1116489049</v>
      </c>
      <c r="E71" s="119">
        <f>M21+M7</f>
        <v>1208589913.9548378</v>
      </c>
      <c r="F71" s="200">
        <f t="shared" si="12"/>
        <v>1.08249150767518</v>
      </c>
      <c r="G71" s="197">
        <f>D71*$H$41-E71</f>
        <v>-203749769.85483778</v>
      </c>
      <c r="H71" s="197">
        <f t="shared" ca="1" si="13"/>
        <v>0</v>
      </c>
      <c r="I71" s="218">
        <f>D71*$J$41-E71</f>
        <v>-147925317.40483785</v>
      </c>
      <c r="J71" s="218">
        <f t="shared" ca="1" si="14"/>
        <v>0</v>
      </c>
      <c r="K71" s="198">
        <f>D71*$L$41-E71</f>
        <v>-92100864.954837799</v>
      </c>
      <c r="L71" s="198">
        <f t="shared" ca="1" si="15"/>
        <v>0</v>
      </c>
    </row>
    <row r="72" spans="2:16" x14ac:dyDescent="0.25">
      <c r="B72" s="53" t="s">
        <v>98</v>
      </c>
      <c r="C72" s="56" t="s">
        <v>99</v>
      </c>
      <c r="D72" s="122">
        <f>TARGETS!I25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x14ac:dyDescent="0.25">
      <c r="B73" s="50" t="s">
        <v>100</v>
      </c>
      <c r="C73" s="113" t="s">
        <v>101</v>
      </c>
      <c r="D73" s="121">
        <f>TARGETS!I26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1830851064</v>
      </c>
      <c r="E74" s="120">
        <f>SUM(E69:E73)</f>
        <v>1728734124.1470528</v>
      </c>
      <c r="F74" s="188">
        <f t="shared" si="12"/>
        <v>0.9442243326828319</v>
      </c>
      <c r="G74" s="194">
        <f>SUM(G69:G73)</f>
        <v>-80968166.547052711</v>
      </c>
      <c r="H74" s="194">
        <f t="shared" ca="1" si="13"/>
        <v>0</v>
      </c>
      <c r="I74" s="199">
        <f>SUM(I69:I73)</f>
        <v>10574386.652947128</v>
      </c>
      <c r="J74" s="199">
        <f t="shared" ca="1" si="14"/>
        <v>0</v>
      </c>
      <c r="K74" s="199">
        <f>SUM(K69:K73)</f>
        <v>102116939.85294724</v>
      </c>
      <c r="L74" s="199">
        <f t="shared" ca="1" si="15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171</v>
      </c>
    </row>
    <row r="80" spans="2:16" ht="20.100000000000001" customHeight="1" x14ac:dyDescent="0.25">
      <c r="B80" s="50" t="s">
        <v>67</v>
      </c>
      <c r="C80" s="55" t="s">
        <v>68</v>
      </c>
      <c r="D80" s="112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68">
        <v>89366430.819999993</v>
      </c>
    </row>
    <row r="82" spans="2:4" ht="20.100000000000001" customHeight="1" x14ac:dyDescent="0.25">
      <c r="B82" s="53" t="s">
        <v>175</v>
      </c>
      <c r="C82" s="56" t="s">
        <v>176</v>
      </c>
      <c r="D82" s="112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12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6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12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12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12">
        <v>314812287.69929397</v>
      </c>
    </row>
    <row r="88" spans="2:4" ht="20.100000000000001" customHeight="1" x14ac:dyDescent="0.25">
      <c r="B88" s="53" t="s">
        <v>175</v>
      </c>
      <c r="C88" s="56" t="s">
        <v>177</v>
      </c>
      <c r="D88" s="112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12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12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12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12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68">
        <v>100075677.56</v>
      </c>
    </row>
    <row r="94" spans="2:4" ht="20.100000000000001" customHeight="1" x14ac:dyDescent="0.25">
      <c r="B94" s="57" t="s">
        <v>152</v>
      </c>
      <c r="C94" s="58"/>
      <c r="D94" s="125">
        <f>SUM(D80:D93)</f>
        <v>3323229357.9755292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S94"/>
  <sheetViews>
    <sheetView showGridLines="0" tabSelected="1" topLeftCell="A71" zoomScaleNormal="100" workbookViewId="0">
      <selection activeCell="E83" sqref="E83"/>
    </sheetView>
  </sheetViews>
  <sheetFormatPr defaultColWidth="8.7109375" defaultRowHeight="15" x14ac:dyDescent="0.25"/>
  <cols>
    <col min="1" max="1" width="2" customWidth="1"/>
    <col min="2" max="2" width="32.5703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5703125" bestFit="1" customWidth="1"/>
    <col min="12" max="12" width="18.5703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5703125" bestFit="1" customWidth="1"/>
    <col min="17" max="18" width="15.28515625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1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442413786.89171702</v>
      </c>
      <c r="N8" s="11">
        <f>D22</f>
        <v>61236842.113931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624971260.69900393</v>
      </c>
      <c r="N9" s="11">
        <f>D13+D14</f>
        <v>149731743.552315</v>
      </c>
    </row>
    <row r="10" spans="2:14" x14ac:dyDescent="0.25">
      <c r="B10" s="74" t="s">
        <v>113</v>
      </c>
      <c r="C10" s="233">
        <v>382205572.15402299</v>
      </c>
      <c r="D10" s="233">
        <v>45923885.865496002</v>
      </c>
      <c r="E10" s="233">
        <v>168252215.66</v>
      </c>
      <c r="F10" s="233">
        <v>596381673.67951906</v>
      </c>
      <c r="H10" s="116"/>
      <c r="I10" s="116"/>
      <c r="J10" s="116"/>
      <c r="M10" s="11">
        <f>C15</f>
        <v>1004765821.76455</v>
      </c>
      <c r="N10" s="11">
        <f>D15</f>
        <v>28839672.218279999</v>
      </c>
    </row>
    <row r="11" spans="2:14" x14ac:dyDescent="0.25">
      <c r="B11" s="74" t="s">
        <v>114</v>
      </c>
      <c r="C11" s="233">
        <v>307600115.73345</v>
      </c>
      <c r="D11" s="233">
        <v>126528151.45714</v>
      </c>
      <c r="E11" s="233">
        <v>122674259.44</v>
      </c>
      <c r="F11" s="233">
        <v>556802526.63058996</v>
      </c>
      <c r="H11" s="116"/>
      <c r="I11" s="116"/>
      <c r="J11" s="116"/>
      <c r="M11" s="11">
        <f>C12</f>
        <v>317945947.47873902</v>
      </c>
      <c r="N11" s="11">
        <f>D12</f>
        <v>43800016.100000001</v>
      </c>
    </row>
    <row r="12" spans="2:14" x14ac:dyDescent="0.25">
      <c r="B12" s="74" t="s">
        <v>185</v>
      </c>
      <c r="C12" s="233">
        <v>317945947.47873902</v>
      </c>
      <c r="D12" s="233">
        <v>43800016.100000001</v>
      </c>
      <c r="E12" s="233" t="s">
        <v>168</v>
      </c>
      <c r="F12" s="233">
        <v>361745963.57873899</v>
      </c>
      <c r="H12" s="116"/>
      <c r="I12" s="116"/>
      <c r="J12" s="116"/>
      <c r="M12" s="11">
        <f>C25+C26</f>
        <v>398923404.42456198</v>
      </c>
      <c r="N12" s="11">
        <f>D25+D26</f>
        <v>110107087.35337099</v>
      </c>
    </row>
    <row r="13" spans="2:14" x14ac:dyDescent="0.25">
      <c r="B13" s="74" t="s">
        <v>70</v>
      </c>
      <c r="C13" s="233">
        <v>323651500.30908102</v>
      </c>
      <c r="D13" s="233">
        <v>112069671.57247099</v>
      </c>
      <c r="E13" s="233">
        <v>59579179.039999999</v>
      </c>
      <c r="F13" s="233">
        <v>495300350.921552</v>
      </c>
      <c r="H13" s="116"/>
      <c r="I13" s="116"/>
      <c r="J13" s="116"/>
      <c r="M13" s="11">
        <f>C17</f>
        <v>1388164148.7976899</v>
      </c>
      <c r="N13" s="11">
        <f>D17</f>
        <v>87160239.299614996</v>
      </c>
    </row>
    <row r="14" spans="2:14" x14ac:dyDescent="0.25">
      <c r="B14" s="74" t="s">
        <v>115</v>
      </c>
      <c r="C14" s="233">
        <v>301319760.38992298</v>
      </c>
      <c r="D14" s="233">
        <v>37662071.979843996</v>
      </c>
      <c r="E14" s="233">
        <v>59985188.5</v>
      </c>
      <c r="F14" s="233">
        <v>398967020.86976701</v>
      </c>
      <c r="H14" s="116"/>
      <c r="I14" s="116"/>
      <c r="J14" s="116"/>
      <c r="M14" s="11">
        <f>C23</f>
        <v>502193268.00571001</v>
      </c>
      <c r="N14" s="11">
        <f>D23</f>
        <v>64664555.239876002</v>
      </c>
    </row>
    <row r="15" spans="2:14" x14ac:dyDescent="0.25">
      <c r="B15" s="84" t="s">
        <v>116</v>
      </c>
      <c r="C15" s="233">
        <v>1004765821.76455</v>
      </c>
      <c r="D15" s="233">
        <v>28839672.218279999</v>
      </c>
      <c r="E15" s="233">
        <v>395101503.36995</v>
      </c>
      <c r="F15" s="233">
        <v>1428706997.3527801</v>
      </c>
      <c r="H15" s="116"/>
      <c r="I15" s="116"/>
      <c r="J15" s="116"/>
      <c r="M15" s="11">
        <f>C11</f>
        <v>307600115.73345</v>
      </c>
      <c r="N15" s="11">
        <f>D11</f>
        <v>126528151.45714</v>
      </c>
    </row>
    <row r="16" spans="2:14" x14ac:dyDescent="0.25">
      <c r="B16" s="74" t="s">
        <v>119</v>
      </c>
      <c r="C16" s="233">
        <v>1546983573.142065</v>
      </c>
      <c r="D16" s="233">
        <v>10384914.213416999</v>
      </c>
      <c r="E16" s="233">
        <v>8032432.3600000003</v>
      </c>
      <c r="F16" s="233">
        <v>1565400919.715482</v>
      </c>
      <c r="H16" s="116"/>
      <c r="I16" s="116"/>
      <c r="J16" s="116"/>
      <c r="M16" s="11">
        <f>C24</f>
        <v>664805060.60603702</v>
      </c>
      <c r="N16" s="11">
        <f>D24</f>
        <v>60194832.419910997</v>
      </c>
    </row>
    <row r="17" spans="2:14" x14ac:dyDescent="0.25">
      <c r="B17" s="74" t="s">
        <v>121</v>
      </c>
      <c r="C17" s="233">
        <v>1388164148.7976899</v>
      </c>
      <c r="D17" s="233">
        <v>87160239.299614996</v>
      </c>
      <c r="E17" s="233">
        <v>1273477550.4399581</v>
      </c>
      <c r="F17" s="233">
        <v>2748801938.5372629</v>
      </c>
      <c r="H17" s="116"/>
      <c r="I17" s="116"/>
      <c r="J17" s="116"/>
      <c r="M17" s="11">
        <f>C10</f>
        <v>382205572.15402299</v>
      </c>
      <c r="N17" s="11">
        <f>D10</f>
        <v>45923885.865496002</v>
      </c>
    </row>
    <row r="18" spans="2:14" x14ac:dyDescent="0.25">
      <c r="B18" s="74" t="s">
        <v>123</v>
      </c>
      <c r="C18" s="233">
        <v>265787366.41822499</v>
      </c>
      <c r="D18" s="233">
        <v>21889933.159789</v>
      </c>
      <c r="E18" s="233">
        <v>7372973.1399999997</v>
      </c>
      <c r="F18" s="233">
        <v>295050272.718014</v>
      </c>
      <c r="H18" s="116"/>
      <c r="I18" s="116"/>
      <c r="J18" s="116"/>
      <c r="M18" s="11">
        <f>C27</f>
        <v>876405700.15249395</v>
      </c>
      <c r="N18" s="11">
        <f>D27</f>
        <v>264862453.615372</v>
      </c>
    </row>
    <row r="19" spans="2:14" x14ac:dyDescent="0.25">
      <c r="B19" s="74" t="s">
        <v>124</v>
      </c>
      <c r="C19" s="233">
        <v>71466829.799989</v>
      </c>
      <c r="D19" s="233">
        <v>128966591.851889</v>
      </c>
      <c r="E19" s="233">
        <v>84032434.060000002</v>
      </c>
      <c r="F19" s="233">
        <v>284465855.711878</v>
      </c>
      <c r="H19" s="116"/>
      <c r="I19" s="116"/>
      <c r="J19" s="116"/>
      <c r="M19" s="11">
        <f>C18+C19</f>
        <v>337254196.21821398</v>
      </c>
      <c r="N19" s="11">
        <f>D18+D19</f>
        <v>150856525.01167801</v>
      </c>
    </row>
    <row r="20" spans="2:14" x14ac:dyDescent="0.25">
      <c r="B20" s="74" t="s">
        <v>172</v>
      </c>
      <c r="C20" s="233">
        <v>195476199.69999999</v>
      </c>
      <c r="D20" s="233" t="s">
        <v>168</v>
      </c>
      <c r="E20" s="233">
        <v>11387387.08</v>
      </c>
      <c r="F20" s="233">
        <v>206863586.78</v>
      </c>
      <c r="H20" s="116"/>
      <c r="I20" s="116"/>
      <c r="J20" s="116"/>
      <c r="M20" s="14">
        <f>IFERROR(C31,0)+IFERROR(C36,0)</f>
        <v>31764000</v>
      </c>
      <c r="N20" s="10" t="s">
        <v>120</v>
      </c>
    </row>
    <row r="21" spans="2:14" x14ac:dyDescent="0.25">
      <c r="B21" s="74" t="s">
        <v>173</v>
      </c>
      <c r="C21" s="233">
        <v>288524887.39999998</v>
      </c>
      <c r="D21" s="233" t="s">
        <v>168</v>
      </c>
      <c r="E21" s="233">
        <v>15855585.16</v>
      </c>
      <c r="F21" s="233">
        <v>304380472.56</v>
      </c>
      <c r="H21" s="116"/>
      <c r="I21" s="116"/>
      <c r="J21" s="116"/>
      <c r="M21" s="14">
        <f>IFERROR(C34,0)+IFERROR(C35,0)+M20</f>
        <v>670362645.51182103</v>
      </c>
      <c r="N21" s="10" t="s">
        <v>122</v>
      </c>
    </row>
    <row r="22" spans="2:14" x14ac:dyDescent="0.25">
      <c r="B22" s="74" t="s">
        <v>125</v>
      </c>
      <c r="C22" s="233">
        <v>442413786.89171702</v>
      </c>
      <c r="D22" s="233">
        <v>61236842.113931</v>
      </c>
      <c r="E22" s="233">
        <v>505326044.48984998</v>
      </c>
      <c r="F22" s="233">
        <v>1008976673.4954979</v>
      </c>
      <c r="H22" s="116"/>
      <c r="I22" s="116"/>
      <c r="J22" s="116"/>
    </row>
    <row r="23" spans="2:14" x14ac:dyDescent="0.25">
      <c r="B23" s="74" t="s">
        <v>126</v>
      </c>
      <c r="C23" s="233">
        <v>502193268.00571001</v>
      </c>
      <c r="D23" s="233">
        <v>64664555.239876002</v>
      </c>
      <c r="E23" s="233">
        <v>291887025.93934202</v>
      </c>
      <c r="F23" s="233">
        <v>858744849.18492806</v>
      </c>
      <c r="H23" s="116"/>
      <c r="I23" s="116"/>
      <c r="J23" s="116"/>
    </row>
    <row r="24" spans="2:14" x14ac:dyDescent="0.25">
      <c r="B24" s="74" t="s">
        <v>127</v>
      </c>
      <c r="C24" s="233">
        <v>664805060.60603702</v>
      </c>
      <c r="D24" s="233">
        <v>60194832.419910997</v>
      </c>
      <c r="E24" s="233">
        <v>775176763.67904198</v>
      </c>
      <c r="F24" s="233">
        <v>1500176656.7049899</v>
      </c>
      <c r="H24" s="116"/>
      <c r="I24" s="116"/>
      <c r="J24" s="116"/>
    </row>
    <row r="25" spans="2:14" x14ac:dyDescent="0.25">
      <c r="B25" s="74" t="s">
        <v>186</v>
      </c>
      <c r="C25" s="233">
        <v>264201990.678105</v>
      </c>
      <c r="D25" s="233">
        <v>6672068.9099909998</v>
      </c>
      <c r="E25" s="233">
        <v>60337566.859999999</v>
      </c>
      <c r="F25" s="233">
        <v>331211626.44809598</v>
      </c>
      <c r="H25" s="116"/>
      <c r="I25" s="116"/>
      <c r="J25" s="116"/>
    </row>
    <row r="26" spans="2:14" x14ac:dyDescent="0.25">
      <c r="B26" s="74" t="s">
        <v>187</v>
      </c>
      <c r="C26" s="233">
        <v>134721413.74645701</v>
      </c>
      <c r="D26" s="233">
        <v>103435018.44338</v>
      </c>
      <c r="E26" s="233" t="s">
        <v>168</v>
      </c>
      <c r="F26" s="233">
        <v>238156432.18983701</v>
      </c>
      <c r="H26" s="116"/>
      <c r="I26" s="116"/>
      <c r="J26" s="116"/>
    </row>
    <row r="27" spans="2:14" x14ac:dyDescent="0.25">
      <c r="B27" s="74" t="s">
        <v>128</v>
      </c>
      <c r="C27" s="233">
        <v>876405700.15249395</v>
      </c>
      <c r="D27" s="233">
        <v>264862453.615372</v>
      </c>
      <c r="E27" s="233">
        <v>17636000.377799999</v>
      </c>
      <c r="F27" s="233">
        <v>1158904154.1456659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81">
        <v>247017208.86305001</v>
      </c>
      <c r="G32" s="116"/>
      <c r="H32" s="116"/>
      <c r="I32" s="116"/>
    </row>
    <row r="33" spans="2:19" x14ac:dyDescent="0.25">
      <c r="B33" s="84" t="s">
        <v>133</v>
      </c>
      <c r="C33" s="233">
        <v>603527981.52019799</v>
      </c>
      <c r="G33" s="116"/>
      <c r="H33" s="116"/>
      <c r="I33" s="116"/>
    </row>
    <row r="34" spans="2:19" x14ac:dyDescent="0.25">
      <c r="B34" s="84" t="s">
        <v>134</v>
      </c>
      <c r="C34" s="233">
        <v>132378030.09105299</v>
      </c>
      <c r="G34" s="116"/>
      <c r="H34" s="116"/>
      <c r="I34" s="116"/>
    </row>
    <row r="35" spans="2:19" x14ac:dyDescent="0.25">
      <c r="B35" s="84" t="s">
        <v>135</v>
      </c>
      <c r="C35" s="233">
        <v>506220615.42076802</v>
      </c>
      <c r="G35" s="116"/>
      <c r="H35" s="116"/>
      <c r="I35" s="116"/>
    </row>
    <row r="36" spans="2:19" x14ac:dyDescent="0.25">
      <c r="B36" s="84" t="s">
        <v>136</v>
      </c>
      <c r="C36" s="233">
        <v>31764000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188</v>
      </c>
    </row>
    <row r="41" spans="2:19" s="205" customFormat="1" ht="27.95" customHeight="1" x14ac:dyDescent="0.25">
      <c r="B41" s="252" t="s">
        <v>192</v>
      </c>
      <c r="C41" s="253"/>
      <c r="D41" s="254"/>
      <c r="E41" s="67" t="s">
        <v>138</v>
      </c>
      <c r="F41" s="185">
        <f ca="1">IF(MONTH(TODAY())=7,DAY(TODAY())/DAY(EOMONTH(TODAY(),0)),IF(MONTH(TODAY())&gt;7,1,0))</f>
        <v>1</v>
      </c>
      <c r="G41" s="206" t="s">
        <v>190</v>
      </c>
      <c r="H41" s="212">
        <v>0.9</v>
      </c>
      <c r="I41" s="207" t="s">
        <v>190</v>
      </c>
      <c r="J41" s="213">
        <v>0.95</v>
      </c>
      <c r="K41" s="208" t="s">
        <v>191</v>
      </c>
      <c r="L41" s="214">
        <v>1</v>
      </c>
      <c r="S41" s="204">
        <v>0.7</v>
      </c>
    </row>
    <row r="42" spans="2:19" ht="25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192" t="str">
        <f>"SELISIH"&amp;CHAR(10)&amp;TEXT($J$41,"0%")</f>
        <v>SELISIH
95%</v>
      </c>
      <c r="J42" s="192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7731649370.0261898</v>
      </c>
      <c r="F43" s="187">
        <f>IFERROR(E43/D43,0)</f>
        <v>0.97279835366809397</v>
      </c>
      <c r="G43" s="209">
        <f>D43*$H$41-E43</f>
        <v>-578589944.31326866</v>
      </c>
      <c r="H43" s="209">
        <f ca="1">IFERROR(G43/C3,0)</f>
        <v>-578589944.31326866</v>
      </c>
      <c r="I43" s="210">
        <f>D43*$J$41-E43</f>
        <v>-181197753.9958849</v>
      </c>
      <c r="J43" s="210">
        <f ca="1">IFERROR(I43/$C$3,0)</f>
        <v>-181197753.9958849</v>
      </c>
      <c r="K43" s="211">
        <f>D43*$L$41-E43</f>
        <v>216194436.32149982</v>
      </c>
      <c r="L43" s="211">
        <f ca="1">IFERROR(K43/$C$3,0)</f>
        <v>216194436.32149982</v>
      </c>
      <c r="S43" s="184">
        <v>0.8</v>
      </c>
    </row>
    <row r="44" spans="2:19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1193906004.246985</v>
      </c>
      <c r="F44" s="187">
        <f>IFERROR(E44/D44,0)</f>
        <v>0.80522118693531519</v>
      </c>
      <c r="G44" s="197">
        <f>D44*$H$41-E44</f>
        <v>140529081.73468113</v>
      </c>
      <c r="H44" s="197">
        <f ca="1">IFERROR(G44/C3,0)</f>
        <v>140529081.73468113</v>
      </c>
      <c r="I44" s="193">
        <f>D44*$J$41-E44</f>
        <v>214664364.28921795</v>
      </c>
      <c r="J44" s="193">
        <f ca="1">IFERROR(I44/$C$3,0)</f>
        <v>214664364.28921795</v>
      </c>
      <c r="K44" s="198">
        <f>D44*$L$41-E44</f>
        <v>288799646.84375501</v>
      </c>
      <c r="L44" s="198">
        <f ca="1">IFERROR(K44/$C$3,0)</f>
        <v>288799646.84375501</v>
      </c>
      <c r="S44" s="184">
        <v>0.85</v>
      </c>
    </row>
    <row r="45" spans="2:19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1520907835.8950691</v>
      </c>
      <c r="F45" s="187">
        <f>IFERROR(E45/D45,0)</f>
        <v>0.82163986536860045</v>
      </c>
      <c r="G45" s="197">
        <f>D45*$H$41-E45</f>
        <v>145049610.9134419</v>
      </c>
      <c r="H45" s="197">
        <f ca="1">IFERROR(G45/C3,0)</f>
        <v>145049610.9134419</v>
      </c>
      <c r="I45" s="193">
        <f>D45*$J$41-E45</f>
        <v>237602802.40280342</v>
      </c>
      <c r="J45" s="193">
        <f ca="1">IFERROR(I45/$C$3,0)</f>
        <v>237602802.40280342</v>
      </c>
      <c r="K45" s="198">
        <f>D45*$L$41-E45</f>
        <v>330155993.89216518</v>
      </c>
      <c r="L45" s="198">
        <f ca="1">IFERROR(K45/$C$3,0)</f>
        <v>330155993.89216518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11281613287.225662</v>
      </c>
      <c r="E46" s="47">
        <f>E43+E44+E45</f>
        <v>10446463210.168243</v>
      </c>
      <c r="F46" s="188">
        <f>IFERROR(E46/D46,0)</f>
        <v>0.92597246016196355</v>
      </c>
      <c r="G46" s="194">
        <f>G43+G44+G45</f>
        <v>-293011251.66514564</v>
      </c>
      <c r="H46" s="194">
        <f ca="1">IFERROR(G46/C3,0)</f>
        <v>-293011251.66514564</v>
      </c>
      <c r="I46" s="194">
        <f>I43+I44+I45</f>
        <v>271069412.69613647</v>
      </c>
      <c r="J46" s="194">
        <f ca="1">IFERROR(I46/$C$3,0)</f>
        <v>271069412.69613647</v>
      </c>
      <c r="K46" s="199">
        <f>K43+K44+K45</f>
        <v>835150077.05742002</v>
      </c>
      <c r="L46" s="199">
        <f ca="1">IFERROR(K46/$C$3,0)</f>
        <v>835150077.05742002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189</v>
      </c>
      <c r="L48" s="262"/>
      <c r="M48" s="262"/>
      <c r="N48" s="262"/>
      <c r="O48" s="262"/>
      <c r="P48" s="263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77"/>
      <c r="P50" s="277"/>
    </row>
    <row r="51" spans="2:16" x14ac:dyDescent="0.25">
      <c r="B51" s="50" t="s">
        <v>67</v>
      </c>
      <c r="C51" s="55" t="s">
        <v>68</v>
      </c>
      <c r="D51" s="123">
        <f>TARGETS!P5</f>
        <v>491237177.12546343</v>
      </c>
      <c r="E51" s="123">
        <f>TARGETS!Q5</f>
        <v>76328678.073981449</v>
      </c>
      <c r="F51" s="123">
        <f t="shared" ref="F51:F64" si="0">D51+E51</f>
        <v>567565855.19944489</v>
      </c>
      <c r="G51" s="119">
        <f>M8</f>
        <v>442413786.89171702</v>
      </c>
      <c r="H51" s="119">
        <f>N8</f>
        <v>61236842.113931</v>
      </c>
      <c r="I51" s="119">
        <f t="shared" ref="I51:I64" si="1">G51+H51</f>
        <v>503650629.00564802</v>
      </c>
      <c r="J51" s="200">
        <f t="shared" ref="J51:J64" si="2">IFERROR(I51/F51,0)</f>
        <v>0.88738711885453925</v>
      </c>
      <c r="K51" s="197">
        <f>F51*$H$41-I51</f>
        <v>7158640.6738523841</v>
      </c>
      <c r="L51" s="197">
        <f ca="1">IFERROR(K51/$C$3,0)</f>
        <v>7158640.6738523841</v>
      </c>
      <c r="M51" s="193">
        <f>F51*$J$41-I51</f>
        <v>35536933.433824658</v>
      </c>
      <c r="N51" s="193">
        <f ca="1">IFERROR(M51/$C$3,0)</f>
        <v>35536933.433824658</v>
      </c>
      <c r="O51" s="232">
        <f>F51*$L$41-I51</f>
        <v>63915226.193796873</v>
      </c>
      <c r="P51" s="232">
        <f ca="1">IFERROR(O51/$C$3,0)</f>
        <v>63915226.193796873</v>
      </c>
    </row>
    <row r="52" spans="2:16" x14ac:dyDescent="0.25">
      <c r="B52" s="53" t="s">
        <v>69</v>
      </c>
      <c r="C52" s="56" t="s">
        <v>70</v>
      </c>
      <c r="D52" s="124">
        <f>TARGETS!P6</f>
        <v>657457159.85174966</v>
      </c>
      <c r="E52" s="124">
        <f>TARGETS!Q6</f>
        <v>181265056.8810223</v>
      </c>
      <c r="F52" s="124">
        <f t="shared" si="0"/>
        <v>838722216.73277199</v>
      </c>
      <c r="G52" s="119">
        <f>M9</f>
        <v>624971260.69900393</v>
      </c>
      <c r="H52" s="119">
        <f>N9</f>
        <v>149731743.552315</v>
      </c>
      <c r="I52" s="119">
        <f t="shared" si="1"/>
        <v>774703004.25131893</v>
      </c>
      <c r="J52" s="200">
        <f t="shared" si="2"/>
        <v>0.92367054168323004</v>
      </c>
      <c r="K52" s="197">
        <f t="shared" ref="K52:K64" si="3">F52*$H$41-I52</f>
        <v>-19853009.191824079</v>
      </c>
      <c r="L52" s="197">
        <f t="shared" ref="L52:L64" ca="1" si="4">IFERROR(K52/$C$3,0)</f>
        <v>-19853009.191824079</v>
      </c>
      <c r="M52" s="193">
        <f t="shared" ref="M52:M64" si="5">F52*$J$41-I52</f>
        <v>22083101.644814372</v>
      </c>
      <c r="N52" s="193">
        <f t="shared" ref="N52:N64" ca="1" si="6">IFERROR(M52/$C$3,0)</f>
        <v>22083101.644814372</v>
      </c>
      <c r="O52" s="232">
        <f t="shared" ref="O52:O64" si="7">F52*$L$41-I52</f>
        <v>64019212.481453061</v>
      </c>
      <c r="P52" s="232">
        <f t="shared" ref="P52:P64" ca="1" si="8">IFERROR(O52/$C$3,0)</f>
        <v>64019212.481453061</v>
      </c>
    </row>
    <row r="53" spans="2:16" x14ac:dyDescent="0.25">
      <c r="B53" s="145" t="s">
        <v>175</v>
      </c>
      <c r="C53" s="146" t="s">
        <v>176</v>
      </c>
      <c r="D53" s="147">
        <f>TARGETS!P7</f>
        <v>248955573.78787571</v>
      </c>
      <c r="E53" s="147">
        <f>TARGETS!Q7</f>
        <v>0</v>
      </c>
      <c r="F53" s="147">
        <f>D53+E53</f>
        <v>248955573.78787571</v>
      </c>
      <c r="G53" s="119">
        <f>C20</f>
        <v>195476199.69999999</v>
      </c>
      <c r="H53" s="119">
        <f>IF(D20="",0,D20)</f>
        <v>0</v>
      </c>
      <c r="I53" s="119">
        <f>G53+H53</f>
        <v>195476199.69999999</v>
      </c>
      <c r="J53" s="200">
        <f>IFERROR(I53/F53,0)</f>
        <v>0.78518507027505557</v>
      </c>
      <c r="K53" s="197">
        <f t="shared" si="3"/>
        <v>28583816.709088147</v>
      </c>
      <c r="L53" s="197">
        <f t="shared" ca="1" si="4"/>
        <v>28583816.709088147</v>
      </c>
      <c r="M53" s="193">
        <f t="shared" si="5"/>
        <v>41031595.398481935</v>
      </c>
      <c r="N53" s="193">
        <f t="shared" ca="1" si="6"/>
        <v>41031595.398481935</v>
      </c>
      <c r="O53" s="232">
        <f t="shared" si="7"/>
        <v>53479374.087875724</v>
      </c>
      <c r="P53" s="232">
        <f t="shared" ca="1" si="8"/>
        <v>53479374.087875724</v>
      </c>
    </row>
    <row r="54" spans="2:16" x14ac:dyDescent="0.25">
      <c r="B54" s="53" t="s">
        <v>71</v>
      </c>
      <c r="C54" s="56" t="s">
        <v>72</v>
      </c>
      <c r="D54" s="124">
        <f>TARGETS!P8</f>
        <v>728387277.57390273</v>
      </c>
      <c r="E54" s="124">
        <f>TARGETS!Q8</f>
        <v>51482866.524593353</v>
      </c>
      <c r="F54" s="124">
        <f t="shared" si="0"/>
        <v>779870144.09849608</v>
      </c>
      <c r="G54" s="119">
        <f>M10</f>
        <v>1004765821.76455</v>
      </c>
      <c r="H54" s="119">
        <f t="shared" ref="H54:H58" si="9">N10</f>
        <v>28839672.218279999</v>
      </c>
      <c r="I54" s="119">
        <f t="shared" si="1"/>
        <v>1033605493.9828299</v>
      </c>
      <c r="J54" s="200">
        <f t="shared" si="2"/>
        <v>1.3253558964969014</v>
      </c>
      <c r="K54" s="197">
        <f t="shared" si="3"/>
        <v>-331722364.29418349</v>
      </c>
      <c r="L54" s="197">
        <f t="shared" ca="1" si="4"/>
        <v>-331722364.29418349</v>
      </c>
      <c r="M54" s="193">
        <f t="shared" si="5"/>
        <v>-292728857.08925867</v>
      </c>
      <c r="N54" s="193">
        <f t="shared" ca="1" si="6"/>
        <v>-292728857.08925867</v>
      </c>
      <c r="O54" s="232">
        <f t="shared" si="7"/>
        <v>-253735349.88433385</v>
      </c>
      <c r="P54" s="232">
        <f t="shared" ca="1" si="8"/>
        <v>-253735349.88433385</v>
      </c>
    </row>
    <row r="55" spans="2:16" x14ac:dyDescent="0.25">
      <c r="B55" s="50" t="s">
        <v>73</v>
      </c>
      <c r="C55" s="55" t="s">
        <v>184</v>
      </c>
      <c r="D55" s="123">
        <f>TARGETS!P9</f>
        <v>482312178.47736537</v>
      </c>
      <c r="E55" s="123">
        <f>TARGETS!Q9</f>
        <v>70286112.09958896</v>
      </c>
      <c r="F55" s="123">
        <f t="shared" si="0"/>
        <v>552598290.57695436</v>
      </c>
      <c r="G55" s="119">
        <f>M11</f>
        <v>317945947.47873902</v>
      </c>
      <c r="H55" s="119">
        <f t="shared" si="9"/>
        <v>43800016.100000001</v>
      </c>
      <c r="I55" s="119">
        <f t="shared" si="1"/>
        <v>361745963.57873905</v>
      </c>
      <c r="J55" s="200">
        <f t="shared" si="2"/>
        <v>0.65462736629360352</v>
      </c>
      <c r="K55" s="197">
        <f t="shared" si="3"/>
        <v>135592497.94051987</v>
      </c>
      <c r="L55" s="197">
        <f t="shared" ca="1" si="4"/>
        <v>135592497.94051987</v>
      </c>
      <c r="M55" s="193">
        <f t="shared" si="5"/>
        <v>163222412.46936756</v>
      </c>
      <c r="N55" s="193">
        <f t="shared" ca="1" si="6"/>
        <v>163222412.46936756</v>
      </c>
      <c r="O55" s="232">
        <f t="shared" si="7"/>
        <v>190852326.99821532</v>
      </c>
      <c r="P55" s="232">
        <f t="shared" ca="1" si="8"/>
        <v>190852326.99821532</v>
      </c>
    </row>
    <row r="56" spans="2:16" x14ac:dyDescent="0.25">
      <c r="B56" s="53" t="s">
        <v>75</v>
      </c>
      <c r="C56" s="56" t="s">
        <v>99</v>
      </c>
      <c r="D56" s="124">
        <f>TARGETS!P10</f>
        <v>505192003.00308657</v>
      </c>
      <c r="E56" s="124">
        <f>TARGETS!Q10</f>
        <v>122952320.80976211</v>
      </c>
      <c r="F56" s="124">
        <f t="shared" si="0"/>
        <v>628144323.81284869</v>
      </c>
      <c r="G56" s="119">
        <f>M12</f>
        <v>398923404.42456198</v>
      </c>
      <c r="H56" s="119">
        <f t="shared" si="9"/>
        <v>110107087.35337099</v>
      </c>
      <c r="I56" s="119">
        <f t="shared" si="1"/>
        <v>509030491.777933</v>
      </c>
      <c r="J56" s="200">
        <f t="shared" si="2"/>
        <v>0.81037187232403485</v>
      </c>
      <c r="K56" s="197">
        <f t="shared" si="3"/>
        <v>56299399.653630853</v>
      </c>
      <c r="L56" s="197">
        <f t="shared" ca="1" si="4"/>
        <v>56299399.653630853</v>
      </c>
      <c r="M56" s="193">
        <f t="shared" si="5"/>
        <v>87706615.84427321</v>
      </c>
      <c r="N56" s="193">
        <f t="shared" ca="1" si="6"/>
        <v>87706615.84427321</v>
      </c>
      <c r="O56" s="232">
        <f t="shared" si="7"/>
        <v>119113832.03491569</v>
      </c>
      <c r="P56" s="232">
        <f t="shared" ca="1" si="8"/>
        <v>119113832.03491569</v>
      </c>
    </row>
    <row r="57" spans="2:16" x14ac:dyDescent="0.25">
      <c r="B57" s="50" t="s">
        <v>76</v>
      </c>
      <c r="C57" s="55" t="s">
        <v>77</v>
      </c>
      <c r="D57" s="123">
        <f>TARGETS!P11</f>
        <v>1061245403.0487187</v>
      </c>
      <c r="E57" s="123">
        <f>TARGETS!Q11</f>
        <v>101136997.7886584</v>
      </c>
      <c r="F57" s="123">
        <f t="shared" si="0"/>
        <v>1162382400.8373771</v>
      </c>
      <c r="G57" s="119">
        <f>M13</f>
        <v>1388164148.7976899</v>
      </c>
      <c r="H57" s="119">
        <f t="shared" si="9"/>
        <v>87160239.299614996</v>
      </c>
      <c r="I57" s="119">
        <f t="shared" si="1"/>
        <v>1475324388.0973048</v>
      </c>
      <c r="J57" s="200">
        <f t="shared" si="2"/>
        <v>1.269224643314012</v>
      </c>
      <c r="K57" s="197">
        <f t="shared" si="3"/>
        <v>-429180227.34366548</v>
      </c>
      <c r="L57" s="197">
        <f t="shared" ca="1" si="4"/>
        <v>-429180227.34366548</v>
      </c>
      <c r="M57" s="193">
        <f t="shared" si="5"/>
        <v>-371061107.30179667</v>
      </c>
      <c r="N57" s="193">
        <f t="shared" ca="1" si="6"/>
        <v>-371061107.30179667</v>
      </c>
      <c r="O57" s="232">
        <f t="shared" si="7"/>
        <v>-312941987.25992775</v>
      </c>
      <c r="P57" s="232">
        <f t="shared" ca="1" si="8"/>
        <v>-312941987.25992775</v>
      </c>
    </row>
    <row r="58" spans="2:16" x14ac:dyDescent="0.25">
      <c r="B58" s="53" t="s">
        <v>78</v>
      </c>
      <c r="C58" s="56" t="s">
        <v>79</v>
      </c>
      <c r="D58" s="124">
        <f>TARGETS!P12</f>
        <v>563114170.73408878</v>
      </c>
      <c r="E58" s="124">
        <f>TARGETS!Q12</f>
        <v>104665034.75557049</v>
      </c>
      <c r="F58" s="124">
        <f t="shared" si="0"/>
        <v>667779205.48965931</v>
      </c>
      <c r="G58" s="119">
        <f>M14</f>
        <v>502193268.00571001</v>
      </c>
      <c r="H58" s="119">
        <f t="shared" si="9"/>
        <v>64664555.239876002</v>
      </c>
      <c r="I58" s="119">
        <f>G58+H58</f>
        <v>566857823.24558604</v>
      </c>
      <c r="J58" s="200">
        <f>IFERROR(I58/F58,0)</f>
        <v>0.84887013339974982</v>
      </c>
      <c r="K58" s="197">
        <f t="shared" si="3"/>
        <v>34143461.695107341</v>
      </c>
      <c r="L58" s="197">
        <f t="shared" ca="1" si="4"/>
        <v>34143461.695107341</v>
      </c>
      <c r="M58" s="193">
        <f t="shared" si="5"/>
        <v>67532421.969590306</v>
      </c>
      <c r="N58" s="193">
        <f t="shared" ca="1" si="6"/>
        <v>67532421.969590306</v>
      </c>
      <c r="O58" s="232">
        <f t="shared" si="7"/>
        <v>100921382.24407327</v>
      </c>
      <c r="P58" s="232">
        <f t="shared" ca="1" si="8"/>
        <v>100921382.24407327</v>
      </c>
    </row>
    <row r="59" spans="2:16" x14ac:dyDescent="0.25">
      <c r="B59" s="145" t="s">
        <v>175</v>
      </c>
      <c r="C59" s="146" t="s">
        <v>177</v>
      </c>
      <c r="D59" s="147">
        <f>TARGETS!P13</f>
        <v>429849184.30128497</v>
      </c>
      <c r="E59" s="147">
        <f>TARGETS!Q13</f>
        <v>0</v>
      </c>
      <c r="F59" s="147">
        <f>D59+E59</f>
        <v>429849184.30128497</v>
      </c>
      <c r="G59" s="119">
        <f>C21</f>
        <v>288524887.39999998</v>
      </c>
      <c r="H59" s="119">
        <f>IF(D21="",0,D21)</f>
        <v>0</v>
      </c>
      <c r="I59" s="119">
        <f>G59+H59</f>
        <v>288524887.39999998</v>
      </c>
      <c r="J59" s="200">
        <f>IFERROR(I59/F59,0)</f>
        <v>0.67122353126944734</v>
      </c>
      <c r="K59" s="197">
        <f t="shared" si="3"/>
        <v>98339378.471156478</v>
      </c>
      <c r="L59" s="197">
        <f t="shared" ca="1" si="4"/>
        <v>98339378.471156478</v>
      </c>
      <c r="M59" s="193">
        <f t="shared" si="5"/>
        <v>119831837.68622071</v>
      </c>
      <c r="N59" s="193">
        <f t="shared" ca="1" si="6"/>
        <v>119831837.68622071</v>
      </c>
      <c r="O59" s="232">
        <f t="shared" si="7"/>
        <v>141324296.90128499</v>
      </c>
      <c r="P59" s="232">
        <f t="shared" ca="1" si="8"/>
        <v>141324296.90128499</v>
      </c>
    </row>
    <row r="60" spans="2:16" x14ac:dyDescent="0.25">
      <c r="B60" s="53" t="s">
        <v>80</v>
      </c>
      <c r="C60" s="56" t="s">
        <v>81</v>
      </c>
      <c r="D60" s="124">
        <f>TARGETS!P14</f>
        <v>514721111.42684805</v>
      </c>
      <c r="E60" s="124">
        <f>TARGETS!Q14</f>
        <v>117663432.08216608</v>
      </c>
      <c r="F60" s="124">
        <f t="shared" si="0"/>
        <v>632384543.50901413</v>
      </c>
      <c r="G60" s="119">
        <f>M15</f>
        <v>307600115.73345</v>
      </c>
      <c r="H60" s="119">
        <f t="shared" ref="H60:H64" si="10">N15</f>
        <v>126528151.45714</v>
      </c>
      <c r="I60" s="119">
        <f t="shared" si="1"/>
        <v>434128267.19059002</v>
      </c>
      <c r="J60" s="200">
        <f t="shared" si="2"/>
        <v>0.68649411445395625</v>
      </c>
      <c r="K60" s="197">
        <f t="shared" si="3"/>
        <v>135017821.96752274</v>
      </c>
      <c r="L60" s="197">
        <f t="shared" ca="1" si="4"/>
        <v>135017821.96752274</v>
      </c>
      <c r="M60" s="193">
        <f t="shared" si="5"/>
        <v>166637049.14297342</v>
      </c>
      <c r="N60" s="193">
        <f t="shared" ca="1" si="6"/>
        <v>166637049.14297342</v>
      </c>
      <c r="O60" s="232">
        <f t="shared" si="7"/>
        <v>198256276.31842411</v>
      </c>
      <c r="P60" s="232">
        <f t="shared" ca="1" si="8"/>
        <v>198256276.31842411</v>
      </c>
    </row>
    <row r="61" spans="2:16" x14ac:dyDescent="0.25">
      <c r="B61" s="50" t="s">
        <v>82</v>
      </c>
      <c r="C61" s="55" t="s">
        <v>83</v>
      </c>
      <c r="D61" s="123">
        <f>TARGETS!P15</f>
        <v>698845176.23960102</v>
      </c>
      <c r="E61" s="123">
        <f>TARGETS!Q15</f>
        <v>70945960.626210824</v>
      </c>
      <c r="F61" s="123">
        <f t="shared" si="0"/>
        <v>769791136.86581182</v>
      </c>
      <c r="G61" s="119">
        <f>M16</f>
        <v>664805060.60603702</v>
      </c>
      <c r="H61" s="119">
        <f t="shared" si="10"/>
        <v>60194832.419910997</v>
      </c>
      <c r="I61" s="119">
        <f t="shared" si="1"/>
        <v>724999893.02594805</v>
      </c>
      <c r="J61" s="200">
        <f t="shared" si="2"/>
        <v>0.94181377039201775</v>
      </c>
      <c r="K61" s="197">
        <f t="shared" si="3"/>
        <v>-32187869.846717358</v>
      </c>
      <c r="L61" s="197">
        <f t="shared" ca="1" si="4"/>
        <v>-32187869.846717358</v>
      </c>
      <c r="M61" s="193">
        <f t="shared" si="5"/>
        <v>6301686.9965732098</v>
      </c>
      <c r="N61" s="193">
        <f t="shared" ca="1" si="6"/>
        <v>6301686.9965732098</v>
      </c>
      <c r="O61" s="232">
        <f t="shared" si="7"/>
        <v>44791243.839863777</v>
      </c>
      <c r="P61" s="232">
        <f t="shared" ca="1" si="8"/>
        <v>44791243.839863777</v>
      </c>
    </row>
    <row r="62" spans="2:16" x14ac:dyDescent="0.25">
      <c r="B62" s="53" t="s">
        <v>84</v>
      </c>
      <c r="C62" s="56" t="s">
        <v>85</v>
      </c>
      <c r="D62" s="124">
        <f>TARGETS!P16</f>
        <v>481870364.2173661</v>
      </c>
      <c r="E62" s="124">
        <f>TARGETS!Q16</f>
        <v>48351228.656065792</v>
      </c>
      <c r="F62" s="124">
        <f t="shared" si="0"/>
        <v>530221592.87343192</v>
      </c>
      <c r="G62" s="119">
        <f>M17</f>
        <v>382205572.15402299</v>
      </c>
      <c r="H62" s="119">
        <f t="shared" si="10"/>
        <v>45923885.865496002</v>
      </c>
      <c r="I62" s="119">
        <f t="shared" si="1"/>
        <v>428129458.01951897</v>
      </c>
      <c r="J62" s="200">
        <f t="shared" si="2"/>
        <v>0.80745383397035064</v>
      </c>
      <c r="K62" s="197">
        <f t="shared" si="3"/>
        <v>49069975.566569746</v>
      </c>
      <c r="L62" s="197">
        <f t="shared" ca="1" si="4"/>
        <v>49069975.566569746</v>
      </c>
      <c r="M62" s="193">
        <f t="shared" si="5"/>
        <v>75581055.210241318</v>
      </c>
      <c r="N62" s="193">
        <f t="shared" ca="1" si="6"/>
        <v>75581055.210241318</v>
      </c>
      <c r="O62" s="232">
        <f t="shared" si="7"/>
        <v>102092134.85391295</v>
      </c>
      <c r="P62" s="232">
        <f t="shared" ca="1" si="8"/>
        <v>102092134.85391295</v>
      </c>
    </row>
    <row r="63" spans="2:16" x14ac:dyDescent="0.25">
      <c r="B63" s="50" t="s">
        <v>86</v>
      </c>
      <c r="C63" s="55" t="s">
        <v>87</v>
      </c>
      <c r="D63" s="123">
        <f>TARGETS!P17</f>
        <v>706054928.99280047</v>
      </c>
      <c r="E63" s="123">
        <f>TARGETS!Q17</f>
        <v>326117403.61363631</v>
      </c>
      <c r="F63" s="123">
        <f t="shared" si="0"/>
        <v>1032172332.6064367</v>
      </c>
      <c r="G63" s="119">
        <f>M18</f>
        <v>876405700.15249395</v>
      </c>
      <c r="H63" s="119">
        <f t="shared" si="10"/>
        <v>264862453.615372</v>
      </c>
      <c r="I63" s="119">
        <f t="shared" si="1"/>
        <v>1141268153.7678659</v>
      </c>
      <c r="J63" s="200">
        <f t="shared" si="2"/>
        <v>1.1056953550439983</v>
      </c>
      <c r="K63" s="197">
        <f t="shared" si="3"/>
        <v>-212313054.42207277</v>
      </c>
      <c r="L63" s="197">
        <f t="shared" ca="1" si="4"/>
        <v>-212313054.42207277</v>
      </c>
      <c r="M63" s="193">
        <f t="shared" si="5"/>
        <v>-160704437.79175103</v>
      </c>
      <c r="N63" s="193">
        <f t="shared" ca="1" si="6"/>
        <v>-160704437.79175103</v>
      </c>
      <c r="O63" s="232">
        <f t="shared" si="7"/>
        <v>-109095821.16142917</v>
      </c>
      <c r="P63" s="232">
        <f t="shared" ca="1" si="8"/>
        <v>-109095821.16142917</v>
      </c>
    </row>
    <row r="64" spans="2:16" x14ac:dyDescent="0.25">
      <c r="B64" s="53" t="s">
        <v>88</v>
      </c>
      <c r="C64" s="56" t="s">
        <v>89</v>
      </c>
      <c r="D64" s="124">
        <f>TARGETS!P18</f>
        <v>378602097.56753719</v>
      </c>
      <c r="E64" s="124">
        <f>TARGETS!Q18</f>
        <v>211510559.17948398</v>
      </c>
      <c r="F64" s="124">
        <f t="shared" si="0"/>
        <v>590112656.7470212</v>
      </c>
      <c r="G64" s="119">
        <f>M19</f>
        <v>337254196.21821398</v>
      </c>
      <c r="H64" s="119">
        <f t="shared" si="10"/>
        <v>150856525.01167801</v>
      </c>
      <c r="I64" s="119">
        <f t="shared" si="1"/>
        <v>488110721.22989202</v>
      </c>
      <c r="J64" s="200">
        <f t="shared" si="2"/>
        <v>0.82714836844982809</v>
      </c>
      <c r="K64" s="197">
        <f t="shared" si="3"/>
        <v>42990669.842427075</v>
      </c>
      <c r="L64" s="197">
        <f t="shared" ca="1" si="4"/>
        <v>42990669.842427075</v>
      </c>
      <c r="M64" s="193">
        <f t="shared" si="5"/>
        <v>72496302.679778099</v>
      </c>
      <c r="N64" s="193">
        <f t="shared" ca="1" si="6"/>
        <v>72496302.679778099</v>
      </c>
      <c r="O64" s="232">
        <f t="shared" si="7"/>
        <v>102001935.51712918</v>
      </c>
      <c r="P64" s="232">
        <f t="shared" ca="1" si="8"/>
        <v>102001935.51712918</v>
      </c>
    </row>
    <row r="65" spans="2:16" x14ac:dyDescent="0.25">
      <c r="B65" s="57" t="s">
        <v>152</v>
      </c>
      <c r="C65" s="58"/>
      <c r="D65" s="143">
        <f>SUM(D51:D64)</f>
        <v>7947843806.3476896</v>
      </c>
      <c r="E65" s="143">
        <f t="shared" ref="E65" si="11">SUM(E51:E52,E54:E58,E60:E64)</f>
        <v>1482705651.09074</v>
      </c>
      <c r="F65" s="143">
        <f>SUM(F51:F64)</f>
        <v>9430549457.438427</v>
      </c>
      <c r="G65" s="144">
        <f>SUM(G51:G64)</f>
        <v>7731649370.0261898</v>
      </c>
      <c r="H65" s="144">
        <f>SUM(H51:H64)</f>
        <v>1193906004.246985</v>
      </c>
      <c r="I65" s="144">
        <f>SUM(I51:I64)</f>
        <v>8925555374.2731743</v>
      </c>
      <c r="J65" s="203">
        <f>IFERROR(I65/F65,0)</f>
        <v>0.94645125552393616</v>
      </c>
      <c r="K65" s="194">
        <f>SUM(K51:K64)</f>
        <v>-438060862.57858849</v>
      </c>
      <c r="L65" s="194">
        <f ca="1">IFERROR(K65/$C$3,0)</f>
        <v>-438060862.57858849</v>
      </c>
      <c r="M65" s="194">
        <f>SUM(M51:M64)</f>
        <v>33466610.293332398</v>
      </c>
      <c r="N65" s="194">
        <f ca="1">IFERROR(M65/$C$3,0)</f>
        <v>33466610.293332398</v>
      </c>
      <c r="O65" s="194">
        <f>SUM(O51:O64)</f>
        <v>504994083.16525418</v>
      </c>
      <c r="P65" s="194">
        <f ca="1">IFERROR(O65/$C$3,0)</f>
        <v>504994083.16525418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5"/>
    </row>
    <row r="68" spans="2:16" ht="25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192" t="str">
        <f>"SELISIH"&amp;CHAR(10)&amp;TEXT($J$41,"0%")</f>
        <v>SELISIH
95%</v>
      </c>
      <c r="J68" s="192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TARGETS!J22</f>
        <v>293136935.89361715</v>
      </c>
      <c r="E69" s="119">
        <f>IFERROR(C32,0)</f>
        <v>247017208.86305001</v>
      </c>
      <c r="F69" s="200">
        <f t="shared" ref="F69:F74" si="12">IFERROR(E69/D69,0)</f>
        <v>0.84266831851137136</v>
      </c>
      <c r="G69" s="197">
        <f>D69*$H$41-E69</f>
        <v>16806033.441205442</v>
      </c>
      <c r="H69" s="197">
        <f ca="1">IFERROR(G69/C3,0)</f>
        <v>16806033.441205442</v>
      </c>
      <c r="I69" s="193">
        <f>D69*$J$41-E69</f>
        <v>31462880.235886246</v>
      </c>
      <c r="J69" s="193">
        <f t="shared" ref="J69:J74" ca="1" si="13">IFERROR(I69/$C$3,0)</f>
        <v>31462880.235886246</v>
      </c>
      <c r="K69" s="198">
        <f>D69*$L$41-E69</f>
        <v>46119727.030567139</v>
      </c>
      <c r="L69" s="198">
        <f t="shared" ref="L69:L74" ca="1" si="14">IFERROR(K69/$C$3,0)</f>
        <v>46119727.030567139</v>
      </c>
    </row>
    <row r="70" spans="2:16" x14ac:dyDescent="0.25">
      <c r="B70" s="53" t="s">
        <v>94</v>
      </c>
      <c r="C70" s="56" t="s">
        <v>101</v>
      </c>
      <c r="D70" s="122">
        <f>TARGETS!J23</f>
        <v>436437844.89361715</v>
      </c>
      <c r="E70" s="119">
        <f>IFERROR(C33,0)</f>
        <v>603527981.52019799</v>
      </c>
      <c r="F70" s="200">
        <f t="shared" si="12"/>
        <v>1.3828497885358899</v>
      </c>
      <c r="G70" s="197">
        <f>D70*$H$41-E70</f>
        <v>-210733921.11594254</v>
      </c>
      <c r="H70" s="197">
        <f ca="1">IFERROR(G70/C3,0)</f>
        <v>-210733921.11594254</v>
      </c>
      <c r="I70" s="193">
        <f>D70*$J$41-E70</f>
        <v>-188912028.87126172</v>
      </c>
      <c r="J70" s="193">
        <f t="shared" ca="1" si="13"/>
        <v>-188912028.87126172</v>
      </c>
      <c r="K70" s="198">
        <f>D70*$L$41-E70</f>
        <v>-167090136.62658083</v>
      </c>
      <c r="L70" s="198">
        <f t="shared" ca="1" si="14"/>
        <v>-167090136.62658083</v>
      </c>
    </row>
    <row r="71" spans="2:16" x14ac:dyDescent="0.25">
      <c r="B71" s="50" t="s">
        <v>96</v>
      </c>
      <c r="C71" s="55" t="s">
        <v>97</v>
      </c>
      <c r="D71" s="121">
        <f>TARGETS!J24</f>
        <v>1121489049</v>
      </c>
      <c r="E71" s="119">
        <f>M21+M7</f>
        <v>670362645.51182103</v>
      </c>
      <c r="F71" s="200">
        <f t="shared" si="12"/>
        <v>0.59774337173382508</v>
      </c>
      <c r="G71" s="197">
        <f>D71*$H$41-E71</f>
        <v>338977498.58817899</v>
      </c>
      <c r="H71" s="197">
        <f ca="1">IFERROR(G71/C3,0)</f>
        <v>338977498.58817899</v>
      </c>
      <c r="I71" s="193">
        <f>D71*$J$41-E71</f>
        <v>395051951.03817892</v>
      </c>
      <c r="J71" s="193">
        <f t="shared" ca="1" si="13"/>
        <v>395051951.03817892</v>
      </c>
      <c r="K71" s="198">
        <f>D71*$L$41-E71</f>
        <v>451126403.48817897</v>
      </c>
      <c r="L71" s="198">
        <f t="shared" ca="1" si="14"/>
        <v>451126403.48817897</v>
      </c>
    </row>
    <row r="72" spans="2:16" hidden="1" x14ac:dyDescent="0.25">
      <c r="B72" s="53" t="s">
        <v>98</v>
      </c>
      <c r="C72" s="56" t="s">
        <v>99</v>
      </c>
      <c r="D72" s="122">
        <f>TARGETS!J25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ca="1">IFERROR(G72/C3,0)</f>
        <v>0</v>
      </c>
      <c r="I72" s="193">
        <f>D72*$J$41-E72</f>
        <v>0</v>
      </c>
      <c r="J72" s="193">
        <f t="shared" ca="1" si="13"/>
        <v>0</v>
      </c>
      <c r="K72" s="198">
        <f>D72*$L$41-E72</f>
        <v>0</v>
      </c>
      <c r="L72" s="198">
        <f t="shared" ca="1" si="14"/>
        <v>0</v>
      </c>
    </row>
    <row r="73" spans="2:16" hidden="1" x14ac:dyDescent="0.25">
      <c r="B73" s="50" t="s">
        <v>100</v>
      </c>
      <c r="C73" s="113" t="s">
        <v>101</v>
      </c>
      <c r="D73" s="121">
        <f>TARGETS!J26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ca="1">IFERROR(G73/C3,0)</f>
        <v>0</v>
      </c>
      <c r="I73" s="193">
        <f>D73*$J$41-E73</f>
        <v>0</v>
      </c>
      <c r="J73" s="193">
        <f t="shared" ca="1" si="13"/>
        <v>0</v>
      </c>
      <c r="K73" s="198">
        <f>D73*$L$41-E73</f>
        <v>0</v>
      </c>
      <c r="L73" s="198">
        <f t="shared" ca="1" si="14"/>
        <v>0</v>
      </c>
    </row>
    <row r="74" spans="2:16" x14ac:dyDescent="0.25">
      <c r="B74" s="57" t="s">
        <v>152</v>
      </c>
      <c r="C74" s="58"/>
      <c r="D74" s="120">
        <f>SUM(D69:D73)</f>
        <v>1851063829.7872343</v>
      </c>
      <c r="E74" s="120">
        <f>SUM(E69:E73)</f>
        <v>1520907835.8950691</v>
      </c>
      <c r="F74" s="188">
        <f t="shared" si="12"/>
        <v>0.82163986536860045</v>
      </c>
      <c r="G74" s="194">
        <f>SUM(G69:G73)</f>
        <v>145049610.9134419</v>
      </c>
      <c r="H74" s="194">
        <f ca="1">IFERROR(G74/C3,0)</f>
        <v>145049610.9134419</v>
      </c>
      <c r="I74" s="194">
        <f>SUM(I69:I73)</f>
        <v>237602802.40280345</v>
      </c>
      <c r="J74" s="194">
        <f t="shared" ca="1" si="13"/>
        <v>237602802.40280345</v>
      </c>
      <c r="K74" s="199">
        <f>SUM(K69:K73)</f>
        <v>330155993.8921653</v>
      </c>
      <c r="L74" s="199">
        <f t="shared" ca="1" si="14"/>
        <v>330155993.8921653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505326044.48984998</v>
      </c>
    </row>
    <row r="81" spans="2:4" x14ac:dyDescent="0.25">
      <c r="B81" s="53" t="s">
        <v>69</v>
      </c>
      <c r="C81" s="56" t="s">
        <v>70</v>
      </c>
      <c r="D81" s="140">
        <f>IF(E13="",0,E13)+IF(E14="",0,E14)</f>
        <v>119564367.53999999</v>
      </c>
    </row>
    <row r="82" spans="2:4" x14ac:dyDescent="0.25">
      <c r="B82" s="53" t="s">
        <v>175</v>
      </c>
      <c r="C82" s="56" t="s">
        <v>176</v>
      </c>
      <c r="D82" s="140">
        <f>IF(E20="",0,E20)</f>
        <v>11387387.08</v>
      </c>
    </row>
    <row r="83" spans="2:4" x14ac:dyDescent="0.25">
      <c r="B83" s="50" t="s">
        <v>71</v>
      </c>
      <c r="C83" s="55" t="s">
        <v>72</v>
      </c>
      <c r="D83" s="140">
        <f>IF(E15="",0,E15)</f>
        <v>395101503.36995</v>
      </c>
    </row>
    <row r="84" spans="2:4" x14ac:dyDescent="0.25">
      <c r="B84" s="53" t="s">
        <v>73</v>
      </c>
      <c r="C84" s="56" t="s">
        <v>184</v>
      </c>
      <c r="D84" s="140">
        <f>0</f>
        <v>0</v>
      </c>
    </row>
    <row r="85" spans="2:4" x14ac:dyDescent="0.25">
      <c r="B85" s="50" t="s">
        <v>75</v>
      </c>
      <c r="C85" s="55" t="s">
        <v>99</v>
      </c>
      <c r="D85" s="140">
        <f>IF(E25="",0,E25)+IF(E26="",0,E26)</f>
        <v>60337566.859999999</v>
      </c>
    </row>
    <row r="86" spans="2:4" x14ac:dyDescent="0.25">
      <c r="B86" s="53" t="s">
        <v>76</v>
      </c>
      <c r="C86" s="56" t="s">
        <v>77</v>
      </c>
      <c r="D86" s="140">
        <f>IF(E17="",0,E17)</f>
        <v>1273477550.4399581</v>
      </c>
    </row>
    <row r="87" spans="2:4" x14ac:dyDescent="0.25">
      <c r="B87" s="50" t="s">
        <v>78</v>
      </c>
      <c r="C87" s="55" t="s">
        <v>79</v>
      </c>
      <c r="D87" s="140">
        <f>IF(E23="",0,E23)</f>
        <v>291887025.93934202</v>
      </c>
    </row>
    <row r="88" spans="2:4" x14ac:dyDescent="0.25">
      <c r="B88" s="53" t="s">
        <v>175</v>
      </c>
      <c r="C88" s="56" t="s">
        <v>177</v>
      </c>
      <c r="D88" s="140">
        <f>IF(E21="",0,E21)</f>
        <v>15855585.16</v>
      </c>
    </row>
    <row r="89" spans="2:4" x14ac:dyDescent="0.25">
      <c r="B89" s="53" t="s">
        <v>80</v>
      </c>
      <c r="C89" s="56" t="s">
        <v>81</v>
      </c>
      <c r="D89" s="140">
        <f>IF(E11="",0,E11)</f>
        <v>122674259.44</v>
      </c>
    </row>
    <row r="90" spans="2:4" x14ac:dyDescent="0.25">
      <c r="B90" s="50" t="s">
        <v>82</v>
      </c>
      <c r="C90" s="55" t="s">
        <v>83</v>
      </c>
      <c r="D90" s="140">
        <f>IF(E24="",0,E24)</f>
        <v>775176763.67904198</v>
      </c>
    </row>
    <row r="91" spans="2:4" x14ac:dyDescent="0.25">
      <c r="B91" s="53" t="s">
        <v>84</v>
      </c>
      <c r="C91" s="56" t="s">
        <v>85</v>
      </c>
      <c r="D91" s="140">
        <f>IF(E10="",0,E10)</f>
        <v>168252215.66</v>
      </c>
    </row>
    <row r="92" spans="2:4" x14ac:dyDescent="0.25">
      <c r="B92" s="50" t="s">
        <v>86</v>
      </c>
      <c r="C92" s="55" t="s">
        <v>87</v>
      </c>
      <c r="D92" s="140">
        <f>IF(E27="",0,E27)</f>
        <v>17636000.377799999</v>
      </c>
    </row>
    <row r="93" spans="2:4" x14ac:dyDescent="0.25">
      <c r="B93" s="53" t="s">
        <v>88</v>
      </c>
      <c r="C93" s="56" t="s">
        <v>89</v>
      </c>
      <c r="D93" s="140">
        <f>IF(E18="",0,E18)+IF(E19="",0,E19)</f>
        <v>91405407.200000003</v>
      </c>
    </row>
    <row r="94" spans="2:4" x14ac:dyDescent="0.25">
      <c r="B94" s="57" t="s">
        <v>152</v>
      </c>
      <c r="C94" s="58"/>
      <c r="D94" s="125">
        <f>SUM(D80:D93)</f>
        <v>3848081677.2359414</v>
      </c>
    </row>
  </sheetData>
  <mergeCells count="17">
    <mergeCell ref="K48:P48"/>
    <mergeCell ref="B78:B79"/>
    <mergeCell ref="C78:C79"/>
    <mergeCell ref="B67:F67"/>
    <mergeCell ref="D49:F49"/>
    <mergeCell ref="J49:J50"/>
    <mergeCell ref="P49:P50"/>
    <mergeCell ref="O49:O50"/>
    <mergeCell ref="K49:K50"/>
    <mergeCell ref="L49:L50"/>
    <mergeCell ref="M49:M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H38" sqref="H3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8.42578125" customWidth="1"/>
    <col min="5" max="5" width="15" customWidth="1"/>
    <col min="6" max="6" width="16.42578125" customWidth="1"/>
    <col min="7" max="18" width="15.28515625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188</v>
      </c>
    </row>
    <row r="41" spans="2:19" ht="18.75" x14ac:dyDescent="0.25">
      <c r="B41" s="252" t="s">
        <v>162</v>
      </c>
      <c r="C41" s="253"/>
      <c r="D41" s="254"/>
      <c r="E41" s="67" t="s">
        <v>138</v>
      </c>
      <c r="F41" s="185">
        <f ca="1">IF(MONTH(TODAY())=8,DAY(TODAY())/DAY(EOMONTH(TODAY(),0)),IF(MONTH(TODAY())&gt;8,1,0))</f>
        <v>0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189</v>
      </c>
      <c r="L48" s="262"/>
      <c r="M48" s="262"/>
      <c r="N48" s="262"/>
      <c r="O48" s="262"/>
      <c r="P48" s="263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TARGETS!R5</f>
        <v>0</v>
      </c>
      <c r="E51" s="123">
        <f>TARGETS!S5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TARGETS!R6</f>
        <v>0</v>
      </c>
      <c r="E52" s="124">
        <f>TARGETS!S6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x14ac:dyDescent="0.25">
      <c r="B53" s="145" t="s">
        <v>175</v>
      </c>
      <c r="C53" s="146" t="s">
        <v>176</v>
      </c>
      <c r="D53" s="147">
        <f>TARGETS!R7</f>
        <v>0</v>
      </c>
      <c r="E53" s="147">
        <f>TARGETS!S7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TARGETS!R8</f>
        <v>0</v>
      </c>
      <c r="E54" s="124">
        <f>TARGETS!S8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184</v>
      </c>
      <c r="D55" s="123">
        <f>TARGETS!R9</f>
        <v>0</v>
      </c>
      <c r="E55" s="123">
        <f>TARGETS!S9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TARGETS!R10</f>
        <v>0</v>
      </c>
      <c r="E56" s="124">
        <f>TARGETS!S10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TARGETS!R11</f>
        <v>0</v>
      </c>
      <c r="E57" s="123">
        <f>TARGETS!S11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TARGETS!R12</f>
        <v>0</v>
      </c>
      <c r="E58" s="124">
        <f>TARGETS!S12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175</v>
      </c>
      <c r="C59" s="146" t="s">
        <v>177</v>
      </c>
      <c r="D59" s="147">
        <f>TARGETS!R13</f>
        <v>0</v>
      </c>
      <c r="E59" s="147">
        <f>TARGETS!S13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TARGETS!R14</f>
        <v>0</v>
      </c>
      <c r="E60" s="124">
        <f>TARGETS!S14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TARGETS!R15</f>
        <v>0</v>
      </c>
      <c r="E61" s="123">
        <f>TARGETS!S15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x14ac:dyDescent="0.25">
      <c r="B62" s="53" t="s">
        <v>84</v>
      </c>
      <c r="C62" s="56" t="s">
        <v>85</v>
      </c>
      <c r="D62" s="124">
        <f>TARGETS!R16</f>
        <v>0</v>
      </c>
      <c r="E62" s="124">
        <f>TARGETS!S16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TARGETS!R17</f>
        <v>0</v>
      </c>
      <c r="E63" s="123">
        <f>TARGETS!S17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TARGETS!R18</f>
        <v>0</v>
      </c>
      <c r="E64" s="124">
        <f>TARGETS!S18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1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TARGETS!K22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TARGETS!K23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TARGETS!K24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TARGETS!K25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TARGETS!K26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x14ac:dyDescent="0.25">
      <c r="B82" s="53" t="s">
        <v>175</v>
      </c>
      <c r="C82" s="56" t="s">
        <v>176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175</v>
      </c>
      <c r="C88" s="56" t="s">
        <v>177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35" zoomScaleNormal="100" workbookViewId="0">
      <selection activeCell="A35" sqref="A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188</v>
      </c>
    </row>
    <row r="41" spans="2:19" ht="18.75" x14ac:dyDescent="0.25">
      <c r="B41" s="252" t="s">
        <v>164</v>
      </c>
      <c r="C41" s="253"/>
      <c r="D41" s="254"/>
      <c r="E41" s="67" t="s">
        <v>138</v>
      </c>
      <c r="F41" s="185">
        <f ca="1">IF(MONTH(TODAY())=9,DAY(TODAY())/DAY(EOMONTH(TODAY(),0)),IF(MONTH(TODAY())&gt;9,1,0))</f>
        <v>0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189</v>
      </c>
      <c r="L48" s="262"/>
      <c r="M48" s="262"/>
      <c r="N48" s="262"/>
      <c r="O48" s="262"/>
      <c r="P48" s="263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TARGETS!T5</f>
        <v>0</v>
      </c>
      <c r="E51" s="123">
        <f>TARGETS!U5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TARGETS!T6</f>
        <v>0</v>
      </c>
      <c r="E52" s="124">
        <f>TARGETS!U6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175</v>
      </c>
      <c r="C53" s="146" t="s">
        <v>176</v>
      </c>
      <c r="D53" s="147">
        <f>TARGETS!T7</f>
        <v>0</v>
      </c>
      <c r="E53" s="147">
        <f>TARGETS!U7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TARGETS!T8</f>
        <v>0</v>
      </c>
      <c r="E54" s="124">
        <f>TARGETS!U8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184</v>
      </c>
      <c r="D55" s="123">
        <f>TARGETS!T9</f>
        <v>0</v>
      </c>
      <c r="E55" s="123">
        <f>TARGETS!U9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TARGETS!T10</f>
        <v>0</v>
      </c>
      <c r="E56" s="124">
        <f>TARGETS!U10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TARGETS!T11</f>
        <v>0</v>
      </c>
      <c r="E57" s="123">
        <f>TARGETS!U11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TARGETS!T12</f>
        <v>0</v>
      </c>
      <c r="E58" s="124">
        <f>TARGETS!U12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175</v>
      </c>
      <c r="C59" s="146" t="s">
        <v>177</v>
      </c>
      <c r="D59" s="147">
        <f>TARGETS!T13</f>
        <v>0</v>
      </c>
      <c r="E59" s="147">
        <f>TARGETS!U13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TARGETS!T14</f>
        <v>0</v>
      </c>
      <c r="E60" s="124">
        <f>TARGETS!U14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TARGETS!T15</f>
        <v>0</v>
      </c>
      <c r="E61" s="123">
        <f>TARGETS!U15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TARGETS!T16</f>
        <v>0</v>
      </c>
      <c r="E62" s="124">
        <f>TARGETS!U16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TARGETS!T17</f>
        <v>0</v>
      </c>
      <c r="E63" s="123">
        <f>TARGETS!U17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TARGETS!T18</f>
        <v>0</v>
      </c>
      <c r="E64" s="124">
        <f>TARGETS!U18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1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TARGETS!L22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TARGETS!L23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TARGETS!L24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TARGETS!L25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TARGETS!L26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175</v>
      </c>
      <c r="C82" s="56" t="s">
        <v>176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175</v>
      </c>
      <c r="C88" s="56" t="s">
        <v>177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188</v>
      </c>
    </row>
    <row r="41" spans="2:19" ht="27.95" customHeight="1" x14ac:dyDescent="0.25">
      <c r="B41" s="252" t="s">
        <v>166</v>
      </c>
      <c r="C41" s="253"/>
      <c r="D41" s="254"/>
      <c r="E41" s="67" t="s">
        <v>138</v>
      </c>
      <c r="F41" s="185">
        <f ca="1">IF(MONTH(TODAY())=10,DAY(TODAY())/DAY(EOMONTH(TODAY(),0)),IF(MONTH(TODAY())&gt;10,1,0))</f>
        <v>0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189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TARGETS!V5</f>
        <v>0</v>
      </c>
      <c r="E51" s="123">
        <f>TARGETS!W5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TARGETS!V6</f>
        <v>0</v>
      </c>
      <c r="E52" s="124">
        <f>TARGETS!W6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175</v>
      </c>
      <c r="C53" s="146" t="s">
        <v>176</v>
      </c>
      <c r="D53" s="147">
        <f>TARGETS!V7</f>
        <v>0</v>
      </c>
      <c r="E53" s="147">
        <f>TARGETS!W7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TARGETS!V8</f>
        <v>0</v>
      </c>
      <c r="E54" s="124">
        <f>TARGETS!W8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184</v>
      </c>
      <c r="D55" s="123">
        <f>TARGETS!V9</f>
        <v>0</v>
      </c>
      <c r="E55" s="123">
        <f>TARGETS!W9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TARGETS!V10</f>
        <v>0</v>
      </c>
      <c r="E56" s="124">
        <f>TARGETS!W10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TARGETS!V11</f>
        <v>0</v>
      </c>
      <c r="E57" s="123">
        <f>TARGETS!W11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TARGETS!V12</f>
        <v>0</v>
      </c>
      <c r="E58" s="124">
        <f>TARGETS!W12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175</v>
      </c>
      <c r="C59" s="146" t="s">
        <v>177</v>
      </c>
      <c r="D59" s="147">
        <f>TARGETS!V13</f>
        <v>0</v>
      </c>
      <c r="E59" s="147">
        <f>TARGETS!W13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TARGETS!V14</f>
        <v>0</v>
      </c>
      <c r="E60" s="124">
        <f>TARGETS!W14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TARGETS!V15</f>
        <v>0</v>
      </c>
      <c r="E61" s="123">
        <f>TARGETS!W15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TARGETS!V16</f>
        <v>0</v>
      </c>
      <c r="E62" s="124">
        <f>TARGETS!W16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TARGETS!V17</f>
        <v>0</v>
      </c>
      <c r="E63" s="123">
        <f>TARGETS!W17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TARGETS!V18</f>
        <v>0</v>
      </c>
      <c r="E64" s="124">
        <f>TARGETS!W18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TARGETS!M22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TARGETS!M23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TARGETS!M24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TARGETS!M25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TARGETS!M26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175</v>
      </c>
      <c r="C82" s="56" t="s">
        <v>176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175</v>
      </c>
      <c r="C88" s="56" t="s">
        <v>177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188</v>
      </c>
    </row>
    <row r="41" spans="2:19" ht="27.95" customHeight="1" x14ac:dyDescent="0.25">
      <c r="B41" s="252" t="s">
        <v>178</v>
      </c>
      <c r="C41" s="253"/>
      <c r="D41" s="254"/>
      <c r="E41" s="67" t="s">
        <v>138</v>
      </c>
      <c r="F41" s="185">
        <f ca="1">IF(MONTH(TODAY())=11,DAY(TODAY())/DAY(EOMONTH(TODAY(),0)),IF(MONTH(TODAY())&gt;11,1,0))</f>
        <v>0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189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TARGETS!X5</f>
        <v>0</v>
      </c>
      <c r="E51" s="123">
        <f>TARGETS!Y5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TARGETS!X6</f>
        <v>0</v>
      </c>
      <c r="E52" s="124">
        <f>TARGETS!Y6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175</v>
      </c>
      <c r="C53" s="146" t="s">
        <v>176</v>
      </c>
      <c r="D53" s="147">
        <f>TARGETS!X7</f>
        <v>0</v>
      </c>
      <c r="E53" s="147">
        <f>TARGETS!Y7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TARGETS!X8</f>
        <v>0</v>
      </c>
      <c r="E54" s="124">
        <f>TARGETS!Y8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184</v>
      </c>
      <c r="D55" s="123">
        <f>TARGETS!X9</f>
        <v>0</v>
      </c>
      <c r="E55" s="123">
        <f>TARGETS!Y9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TARGETS!X10</f>
        <v>0</v>
      </c>
      <c r="E56" s="124">
        <f>TARGETS!Y10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TARGETS!X11</f>
        <v>0</v>
      </c>
      <c r="E57" s="123">
        <f>TARGETS!Y11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TARGETS!X12</f>
        <v>0</v>
      </c>
      <c r="E58" s="124">
        <f>TARGETS!Y12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175</v>
      </c>
      <c r="C59" s="146" t="s">
        <v>177</v>
      </c>
      <c r="D59" s="147">
        <f>TARGETS!X13</f>
        <v>0</v>
      </c>
      <c r="E59" s="147">
        <f>TARGETS!Y13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TARGETS!X14</f>
        <v>0</v>
      </c>
      <c r="E60" s="124">
        <f>TARGETS!Y14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TARGETS!X15</f>
        <v>0</v>
      </c>
      <c r="E61" s="123">
        <f>TARGETS!Y15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TARGETS!X16</f>
        <v>0</v>
      </c>
      <c r="E62" s="124">
        <f>TARGETS!Y16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TARGETS!X17</f>
        <v>0</v>
      </c>
      <c r="E63" s="123">
        <f>TARGETS!Y17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TARGETS!X18</f>
        <v>0</v>
      </c>
      <c r="E64" s="124">
        <f>TARGETS!Y18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TARGETS!N22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TARGETS!N23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TARGETS!N24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TARGETS!N25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TARGETS!N26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175</v>
      </c>
      <c r="C82" s="56" t="s">
        <v>176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175</v>
      </c>
      <c r="C88" s="56" t="s">
        <v>177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179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188</v>
      </c>
    </row>
    <row r="41" spans="2:19" ht="27.95" customHeight="1" x14ac:dyDescent="0.25">
      <c r="B41" s="252" t="s">
        <v>180</v>
      </c>
      <c r="C41" s="253"/>
      <c r="D41" s="254"/>
      <c r="E41" s="67" t="s">
        <v>138</v>
      </c>
      <c r="F41" s="185">
        <f ca="1">IF(MONTH(TODAY())=12,DAY(TODAY())/DAY(EOMONTH(TODAY(),0)),IF(MONTH(TODAY())&gt;12,1,0))</f>
        <v>0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189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TARGETS!Z5</f>
        <v>0</v>
      </c>
      <c r="E51" s="123"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TARGETS!Z6</f>
        <v>0</v>
      </c>
      <c r="E52" s="124"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175</v>
      </c>
      <c r="C53" s="146" t="s">
        <v>176</v>
      </c>
      <c r="D53" s="147">
        <f>TARGETS!Z7</f>
        <v>0</v>
      </c>
      <c r="E53" s="147"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TARGETS!Z8</f>
        <v>0</v>
      </c>
      <c r="E54" s="124"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184</v>
      </c>
      <c r="D55" s="123">
        <f>TARGETS!Z9</f>
        <v>0</v>
      </c>
      <c r="E55" s="123"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TARGETS!Z10</f>
        <v>0</v>
      </c>
      <c r="E56" s="124"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TARGETS!Z11</f>
        <v>0</v>
      </c>
      <c r="E57" s="123"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TARGETS!Z12</f>
        <v>0</v>
      </c>
      <c r="E58" s="124"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175</v>
      </c>
      <c r="C59" s="146" t="s">
        <v>177</v>
      </c>
      <c r="D59" s="147">
        <f>TARGETS!Z13</f>
        <v>0</v>
      </c>
      <c r="E59" s="147"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TARGETS!Z14</f>
        <v>0</v>
      </c>
      <c r="E60" s="124"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TARGETS!Z15</f>
        <v>0</v>
      </c>
      <c r="E61" s="123"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TARGETS!Z16</f>
        <v>0</v>
      </c>
      <c r="E62" s="124"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TARGETS!Z17</f>
        <v>0</v>
      </c>
      <c r="E63" s="123"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TARGETS!Z18</f>
        <v>0</v>
      </c>
      <c r="E64" s="124"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TARGETS!O22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TARGETS!O23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TARGETS!O24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TARGETS!O25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TARGETS!O26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175</v>
      </c>
      <c r="C82" s="56" t="s">
        <v>176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175</v>
      </c>
      <c r="C88" s="56" t="s">
        <v>177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2026-07-24T08:17:10Z</cp:lastPrinted>
  <dcterms:created xsi:type="dcterms:W3CDTF">2026-03-24T08:59:20Z</dcterms:created>
  <dcterms:modified xsi:type="dcterms:W3CDTF">2026-07-31T00:57:22Z</dcterms:modified>
  <dc:language>en-US</dc:language>
</cp:coreProperties>
</file>