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1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<sst xmlns="http://schemas.openxmlformats.org/spreadsheetml/2006/main" count="2117" uniqueCount="229">
  <si>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</si>
  <si>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</si>
  <si>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</si>
  <si>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</si>
  <si>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</si>
  <si>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</si>
  <si>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</si>
  <si>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</si>
  <si>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</si>
  <si>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</si>
  <si>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</si>
  <si>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</si>
  <si>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</si>
  <si>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</si>
  <si>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</si>
  <si>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</si>
  <si>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</si>
  <si>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</si>
  <si>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</si>
  <si>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</si>
  <si>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</si>
  <si>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</si>
  <si>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</si>
  <si>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</si>
  <si>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</si>
  <si>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</si>
  <si>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</si>
  <si>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</si>
  <si>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</si>
  <si>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</si>
  <si>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</si>
  <si>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</si>
  <si>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</si>
  <si>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</si>
  <si>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</si>
  <si>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</si>
  <si>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</si>
  <si>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</si>
  <si>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</si>
  <si>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</si>
  <si>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</si>
  <si>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</si>
  <si>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</si>
  <si>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</si>
  <si>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</si>
  <si>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</si>
  <si>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</si>
  <si>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</si>
  <si>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</si>
  <si>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</si>
  <si>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</si>
  <si>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</si>
  <si>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</si>
  <si>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</si>
  <si>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</si>
  <si>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</si>
  <si>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</si>
  <si>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</si>
  <si>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</si>
  <si>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</si>
  <si>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</si>
  <si>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</si>
  <si>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</si>
  <si>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</si>
  <si>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</si>
  <si>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</si>
  <si>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</si>
  <si>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</si>
  <si>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</si>
  <si>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</si>
  <si>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</si>
  <si>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</si>
  <si>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</si>
  <si>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</si>
  <si>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</si>
  <si>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</si>
  <si>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</si>
  <si>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</si>
  <si>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</si>
  <si>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</si>
  <si>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</si>
  <si>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</si>
  <si>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</si>
  <si>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</si>
  <si>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</si>
  <si>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</si>
  <si>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</si>
  <si>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</si>
  <si>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</si>
  <si>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</si>
  <si>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</si>
  <si>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</si>
  <si>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</si>
  <si>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</si>
  <si>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</si>
  <si>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</si>
  <si>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</si>
  <si>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</si>
  <si>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</si>
  <si>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</si>
  <si>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</si>
  <si>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</si>
  <si>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</si>
  <si>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</si>
  <si>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</si>
  <si>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</si>
  <si>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</si>
  <si>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</si>
  <si>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</si>
  <si>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</si>
  <si>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</si>
  <si>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</si>
  <si>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</si>
  <si>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</si>
  <si>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</si>
  <si>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</si>
  <si>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</si>
  <si>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</si>
  <si>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</si>
  <si>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</si>
  <si>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</si>
  <si>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</si>
  <si>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</si>
  <si>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</si>
  <si>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</si>
  <si>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</si>
  <si>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</si>
  <si>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</si>
  <si>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</si>
  <si>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</si>
  <si>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</si>
  <si>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</si>
  <si>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</si>
  <si>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</si>
  <si>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</si>
  <si>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</si>
  <si>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</si>
  <si>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</si>
  <si>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</si>
  <si>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</si>
  <si>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</si>
  <si>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</si>
  <si>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</si>
  <si>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</si>
  <si>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</si>
  <si>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</si>
  <si>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</si>
  <si>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</si>
  <si>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</si>
  <si>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</si>
  <si>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</si>
  <si>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</si>
  <si>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</si>
  <si>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</si>
  <si>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</si>
  <si>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</si>
  <si>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</si>
  <si>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</si>
  <si>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</si>
  <si>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</si>
  <si>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</si>
  <si>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</si>
  <si>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</si>
  <si>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</si>
  <si>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</si>
  <si>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</si>
  <si>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</si>
  <si>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</si>
  <si>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</si>
  <si>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</si>
  <si>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</si>
  <si>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</si>
  <si>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</si>
  <si>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</si>
  <si>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</si>
  <si>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</si>
  <si>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</si>
  <si>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</si>
  <si>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</si>
  <si>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</si>
  <si>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</si>
  <si>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</si>
  <si>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</si>
  <si>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</si>
  <si>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</si>
  <si>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</si>
  <si>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</si>
  <si>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</si>
  <si>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</si>
  <si>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</si>
  <si>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</si>
  <si>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</si>
  <si>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</si>
  <si>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</si>
  <si>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</si>
  <si>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</si>
  <si>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</si>
  <si>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</si>
  <si>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</si>
  <si>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</si>
  <si>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</si>
  <si>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</si>
  <si>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</si>
  <si>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</si>
  <si>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</si>
  <si>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</si>
  <si>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</si>
  <si>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</si>
  <si>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</si>
  <si>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</si>
  <si>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</si>
  <si>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</si>
  <si>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</si>
  <si>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</si>
  <si>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</si>
  <si>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</si>
  <si>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</si>
  <si>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</si>
  <si>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</si>
  <si>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</si>
  <si>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</si>
  <si>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</si>
  <si>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</si>
  <si>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</si>
  <si>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</si>
  <si>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Ronald</t>
  </si>
  <si>
    <t>RONALD</t>
  </si>
  <si>
    <t>WIDI</t>
  </si>
  <si>
    <t>DATA PENCAPAIAN — GLOBAL — 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</si>
</sst>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zoomScale="86" zoomScaleNormal="86" workbookViewId="0">
      <selection activeCell="C11" sqref="C11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226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69" t="s">
        <v>178</v>
      </c>
      <c r="C41" s="270"/>
      <c r="D41" s="27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69" t="s">
        <v>180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69" t="s">
        <v>189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186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69" t="s">
        <v>219</v>
      </c>
      <c r="C40" s="270"/>
      <c r="D40" s="27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5.75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2"/>
      <c r="G67" s="260" t="s">
        <v>186</v>
      </c>
      <c r="H67" s="261"/>
      <c r="I67" s="261"/>
      <c r="J67" s="261"/>
      <c r="K67" s="261"/>
      <c r="L67" s="262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59" t="s">
        <v>41</v>
      </c>
      <c r="C78" s="259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67" zoomScale="73" zoomScaleNormal="73" workbookViewId="0">
      <selection activeCell="E89" sqref="E8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8" bestFit="1" customWidth="1"/>
    <col min="4" max="6" width="16.42578125" customWidth="1"/>
    <col min="7" max="7" width="18.5703125" customWidth="1"/>
    <col min="8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11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96917521.722049996</v>
      </c>
      <c r="D10" s="234">
        <v>29107735.559999999</v>
      </c>
      <c r="E10" s="234">
        <v>136252883.21706399</v>
      </c>
      <c r="F10" s="234">
        <v>100110649.099953</v>
      </c>
      <c r="G10" s="234">
        <v>362388789.59906697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4173423.4199979999</v>
      </c>
      <c r="D11" s="234">
        <v>16503315.6</v>
      </c>
      <c r="E11" s="234">
        <v>172635135.9993</v>
      </c>
      <c r="F11" s="234" t="s">
        <v>165</v>
      </c>
      <c r="G11" s="234">
        <v>193311875.01929799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116147651.836816</v>
      </c>
      <c r="D12" s="234">
        <v>54534837.701471999</v>
      </c>
      <c r="E12" s="234">
        <v>95450687.169696003</v>
      </c>
      <c r="F12" s="234">
        <v>37670094.600000001</v>
      </c>
      <c r="G12" s="234">
        <v>303803271.30798399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21583616.169985998</v>
      </c>
      <c r="D13" s="234">
        <v>16536638.039975001</v>
      </c>
      <c r="E13" s="234">
        <v>138116532.959694</v>
      </c>
      <c r="F13" s="234">
        <v>51507668.189999998</v>
      </c>
      <c r="G13" s="234">
        <v>227744455.35965499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313943352.84965998</v>
      </c>
      <c r="D14" s="234">
        <v>30269657.985479001</v>
      </c>
      <c r="E14" s="234">
        <v>101974162.349902</v>
      </c>
      <c r="F14" s="234">
        <v>250228878.32984</v>
      </c>
      <c r="G14" s="234">
        <v>696416051.51488101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1067496483.041103</v>
      </c>
      <c r="D15" s="234">
        <v>8138253.8869240005</v>
      </c>
      <c r="E15" s="234">
        <v>58176052.949942999</v>
      </c>
      <c r="F15" s="234">
        <v>10913513.77</v>
      </c>
      <c r="G15" s="234">
        <v>1144724303.64797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312494152.79274601</v>
      </c>
      <c r="D16" s="234">
        <v>29437089.039930999</v>
      </c>
      <c r="E16" s="234">
        <v>210140451.63960499</v>
      </c>
      <c r="F16" s="234">
        <v>668372515.47996902</v>
      </c>
      <c r="G16" s="234">
        <v>1220444208.952251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72865918.306536004</v>
      </c>
      <c r="D17" s="234">
        <v>11277436.9209</v>
      </c>
      <c r="E17" s="234">
        <v>66284032.579031996</v>
      </c>
      <c r="F17" s="234">
        <v>23000000.5</v>
      </c>
      <c r="G17" s="234">
        <v>173427388.30646801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8992270</v>
      </c>
      <c r="D18" s="234">
        <v>107181678.62261599</v>
      </c>
      <c r="E18" s="234">
        <v>46461402</v>
      </c>
      <c r="F18" s="234">
        <v>83978380.159999996</v>
      </c>
      <c r="G18" s="234">
        <v>246613730.78261599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30253778.960000001</v>
      </c>
      <c r="D19" s="234" t="s">
        <v>165</v>
      </c>
      <c r="E19" s="234" t="s">
        <v>165</v>
      </c>
      <c r="F19" s="234">
        <v>4684684.5599999996</v>
      </c>
      <c r="G19" s="234">
        <v>34938463.520000003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127135467.16</v>
      </c>
      <c r="D20" s="234" t="s">
        <v>165</v>
      </c>
      <c r="E20" s="234" t="s">
        <v>165</v>
      </c>
      <c r="F20" s="234">
        <v>7921891.6799999997</v>
      </c>
      <c r="G20" s="234">
        <v>135057358.84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177164270.058642</v>
      </c>
      <c r="D21" s="234">
        <v>35900827.783471003</v>
      </c>
      <c r="E21" s="234">
        <v>111568653.35986499</v>
      </c>
      <c r="F21" s="234">
        <v>290454016.77988499</v>
      </c>
      <c r="G21" s="234">
        <v>615087767.98186302</v>
      </c>
      <c r="H21" s="111"/>
      <c r="I21" s="111"/>
      <c r="J21" s="111"/>
      <c r="M21" s="14">
        <f>SUM(C33,C34)+M20</f>
        <v>454997313.98041403</v>
      </c>
      <c r="N21" s="10" t="s">
        <v>224</v>
      </c>
    </row>
    <row r="22" spans="2:15" ht="15" customHeight="1" x14ac:dyDescent="0.25">
      <c r="B22" s="72" t="s">
        <v>125</v>
      </c>
      <c r="C22" s="234">
        <v>172201414.51065901</v>
      </c>
      <c r="D22" s="234">
        <v>49903023.629965</v>
      </c>
      <c r="E22" s="234">
        <v>126746353.23747499</v>
      </c>
      <c r="F22" s="234">
        <v>210355166.919631</v>
      </c>
      <c r="G22" s="234">
        <v>559205958.29772997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323500640.14265001</v>
      </c>
      <c r="D23" s="234">
        <v>39057838.754964001</v>
      </c>
      <c r="E23" s="234">
        <v>139958091.469908</v>
      </c>
      <c r="F23" s="234">
        <v>390890270.92961597</v>
      </c>
      <c r="G23" s="234">
        <v>893406841.29713798</v>
      </c>
      <c r="H23" s="111"/>
      <c r="I23" s="111"/>
      <c r="J23" s="111"/>
    </row>
    <row r="24" spans="2:15" ht="15" customHeight="1" x14ac:dyDescent="0.25">
      <c r="B24" s="72" t="s">
        <v>225</v>
      </c>
      <c r="C24" s="234">
        <v>138586461.24244899</v>
      </c>
      <c r="D24" s="234">
        <v>34780160.220744997</v>
      </c>
      <c r="E24" s="234">
        <v>116499752.948219</v>
      </c>
      <c r="F24" s="234">
        <v>36782251.869999997</v>
      </c>
      <c r="G24" s="234">
        <v>326648626.28141302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199516529.892643</v>
      </c>
      <c r="D25" s="234">
        <v>62512341.996574</v>
      </c>
      <c r="E25" s="234">
        <v>72789644.420606002</v>
      </c>
      <c r="F25" s="234">
        <v>29729730.43</v>
      </c>
      <c r="G25" s="234">
        <v>364548246.73982298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321648535.34862697</v>
      </c>
      <c r="D26" s="234">
        <v>173348011.65299401</v>
      </c>
      <c r="E26" s="234">
        <v>223413017.625983</v>
      </c>
      <c r="F26" s="234">
        <v>15098054.3574</v>
      </c>
      <c r="G26" s="234">
        <v>733507618.98500395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167182405.05536899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351088868.38575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95000987.568413004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359996326.41200101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228</v>
      </c>
      <c r="C40" s="270"/>
      <c r="D40" s="271"/>
      <c r="E40" s="66" t="s">
        <v>137</v>
      </c>
      <c r="F40" s="174">
        <f ca="1">IF(MONTH(TODAY())=9,DAY(TODAY())/DAY(EOMONTH(TODAY(),0)),IF(MONTH(TODAY())&gt;9,1,0))</f>
        <v>0.6</v>
      </c>
      <c r="G40" s="192" t="s">
        <v>187</v>
      </c>
      <c r="H40" s="198">
        <v>1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2437125004.4134622</v>
      </c>
      <c r="F42" s="176">
        <f>IFERROR(E42/D42,0)</f>
        <v>0.54016856876857799</v>
      </c>
      <c r="G42" s="184">
        <f>D42*$H$40-E42</f>
        <v>2074661029.285934</v>
      </c>
      <c r="H42" s="184">
        <f ca="1">IFERROR(G42/$C$3,0)</f>
        <v>188605548.1169031</v>
      </c>
      <c r="I42" s="204">
        <f>D42*$J$40-E42</f>
        <v>2074661029.285934</v>
      </c>
      <c r="J42" s="204">
        <f ca="1">IFERROR(I42/$C$3,0)</f>
        <v>188605548.1169031</v>
      </c>
      <c r="K42" s="185">
        <f>D42*$L$40-E42</f>
        <v>2074661029.285934</v>
      </c>
      <c r="L42" s="185">
        <f ca="1">IFERROR(K42/$C$3,0)</f>
        <v>188605548.1169031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690350593.50908601</v>
      </c>
      <c r="F43" s="176">
        <f>IFERROR(E43/D43,0)</f>
        <v>0.49262714606170649</v>
      </c>
      <c r="G43" s="184">
        <f>D43*$H$40-E43</f>
        <v>711014717.00632894</v>
      </c>
      <c r="H43" s="184">
        <f ca="1">IFERROR(G43/$C$3,0)</f>
        <v>64637701.546029903</v>
      </c>
      <c r="I43" s="204">
        <f>D43*$J$40-E43</f>
        <v>711014717.00632894</v>
      </c>
      <c r="J43" s="204">
        <f ca="1">IFERROR(I43/$C$3,0)</f>
        <v>64637701.546029903</v>
      </c>
      <c r="K43" s="185">
        <f>D43*$L$40-E43</f>
        <v>711014717.00632894</v>
      </c>
      <c r="L43" s="185">
        <f ca="1">IFERROR(K43/$C$3,0)</f>
        <v>64637701.546029903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1758290800.9763489</v>
      </c>
      <c r="F44" s="176">
        <f>IFERROR(E44/D44,0)</f>
        <v>0.59708038733595448</v>
      </c>
      <c r="G44" s="184">
        <f>IF(D44=0,0,D44*$H$40-E44)</f>
        <v>1186523395.3523364</v>
      </c>
      <c r="H44" s="184">
        <f ca="1">IFERROR(G44/$C$3,0)</f>
        <v>107865763.21384877</v>
      </c>
      <c r="I44" s="204">
        <f>IF(D44=0,0,D44*$J$40-E44)</f>
        <v>1186523395.3523364</v>
      </c>
      <c r="J44" s="204">
        <f ca="1">IFERROR(I44/$C$3,0)</f>
        <v>107865763.21384877</v>
      </c>
      <c r="K44" s="185">
        <f>IF(D44=0,0,D44*$L$40-E44)</f>
        <v>1186523395.3523364</v>
      </c>
      <c r="L44" s="185">
        <f ca="1">IFERROR(K44/$C$3,0)</f>
        <v>107865763.21384877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973268587.42153299</v>
      </c>
      <c r="F45" s="176">
        <f>IFERROR(E45/D45,0)</f>
        <v>0.55921300255271456</v>
      </c>
      <c r="G45" s="184">
        <f>D45*$H$40-E45</f>
        <v>767156944.49336064</v>
      </c>
      <c r="H45" s="184">
        <f ca="1">IFERROR(G45/$C$3,0)</f>
        <v>69741540.408487335</v>
      </c>
      <c r="I45" s="204">
        <f>D45*$J$40-E45</f>
        <v>767156944.49336064</v>
      </c>
      <c r="J45" s="204">
        <f ca="1">IFERROR(I45/$C$3,0)</f>
        <v>69741540.408487335</v>
      </c>
      <c r="K45" s="185">
        <f>D45*$L$40-E45</f>
        <v>767156944.49336064</v>
      </c>
      <c r="L45" s="185">
        <f ca="1">IFERROR(K45/$C$3,0)</f>
        <v>69741540.408487335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5859034986.3204298</v>
      </c>
      <c r="F46" s="177">
        <f>IFERROR(E46/D46,0)</f>
        <v>0.55282306024223493</v>
      </c>
      <c r="G46" s="181">
        <f>SUM(G42:G45)</f>
        <v>4739356086.1379604</v>
      </c>
      <c r="H46" s="181">
        <f ca="1">IFERROR(G46/$C$3,0)</f>
        <v>430850553.28526914</v>
      </c>
      <c r="I46" s="186">
        <f>SUM(I42:I45)</f>
        <v>4739356086.1379604</v>
      </c>
      <c r="J46" s="186">
        <f ca="1">IFERROR(I46/$C$3,0)</f>
        <v>430850553.28526914</v>
      </c>
      <c r="K46" s="186">
        <f>SUM(K42:K45)</f>
        <v>4739356086.1379604</v>
      </c>
      <c r="L46" s="186">
        <f ca="1">IFERROR(K46/$C$3,0)</f>
        <v>430850553.28526914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213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100%</v>
      </c>
      <c r="N49" s="263" t="str">
        <f>"PER HARI"&amp;CHAR(10)&amp;TEXT($H$40,"0%")</f>
        <v>PER HARI
100%</v>
      </c>
      <c r="O49" s="265" t="str">
        <f>"SELISIH"&amp;CHAR(10)&amp;TEXT($J$40,"0%")</f>
        <v>SELISIH
100%</v>
      </c>
      <c r="P49" s="265" t="str">
        <f>"PER HARI"&amp;CHAR(10)&amp;TEXT($J$40,"0%")</f>
        <v>PER HARI
100%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177164270.058642</v>
      </c>
      <c r="I51" s="114">
        <f t="shared" ref="I51:I64" si="1">SUMIF($B$10:$B$26,$T51,D$10:D$26)+SUMIF($B$10:$B$26,$U51,D$10:D$26)</f>
        <v>35900827.783471003</v>
      </c>
      <c r="J51" s="114">
        <f t="shared" ref="J51:J64" si="2">SUMIF($B$10:$B$26,$T51,E$10:E$26)+SUMIF($B$10:$B$26,$U51,E$10:E$26)</f>
        <v>111568653.35986499</v>
      </c>
      <c r="K51" s="114">
        <f t="shared" ref="K51:K64" si="3">SUM(H51:J51)</f>
        <v>324633751.20197803</v>
      </c>
      <c r="L51" s="187">
        <f t="shared" ref="L51:L65" si="4">IFERROR(K51/G51,0)</f>
        <v>0.63113190209485415</v>
      </c>
      <c r="M51" s="184">
        <f t="shared" ref="M51:M64" si="5">G51*$H$40-K51</f>
        <v>189733768.68483657</v>
      </c>
      <c r="N51" s="184">
        <f t="shared" ref="N51:N65" ca="1" si="6">IFERROR(M51/$C$3,0)</f>
        <v>17248524.425894234</v>
      </c>
      <c r="O51" s="180">
        <f t="shared" ref="O51:O64" si="7">G51*$J$40-K51</f>
        <v>189733768.68483657</v>
      </c>
      <c r="P51" s="180">
        <f t="shared" ref="P51:P65" ca="1" si="8">IFERROR(O51/$C$3,0)</f>
        <v>17248524.425894234</v>
      </c>
      <c r="Q51" s="185">
        <f t="shared" ref="Q51:Q64" si="9">G51*$L$40-K51</f>
        <v>189733768.68483657</v>
      </c>
      <c r="R51" s="185">
        <f t="shared" ref="R51:R65" ca="1" si="10">IFERROR(Q51/$C$3,0)</f>
        <v>17248524.425894234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137731268.00680199</v>
      </c>
      <c r="I52" s="114">
        <f t="shared" si="1"/>
        <v>71071475.741447002</v>
      </c>
      <c r="J52" s="114">
        <f t="shared" si="2"/>
        <v>233567220.12939</v>
      </c>
      <c r="K52" s="114">
        <f t="shared" si="3"/>
        <v>442369963.877639</v>
      </c>
      <c r="L52" s="187">
        <f t="shared" si="4"/>
        <v>0.56315278801948365</v>
      </c>
      <c r="M52" s="184">
        <f t="shared" si="5"/>
        <v>343153917.54250258</v>
      </c>
      <c r="N52" s="184">
        <f t="shared" ca="1" si="6"/>
        <v>31195810.685682055</v>
      </c>
      <c r="O52" s="180">
        <f t="shared" si="7"/>
        <v>343153917.54250258</v>
      </c>
      <c r="P52" s="180">
        <f t="shared" ca="1" si="8"/>
        <v>31195810.685682055</v>
      </c>
      <c r="Q52" s="185">
        <f t="shared" si="9"/>
        <v>343153917.54250258</v>
      </c>
      <c r="R52" s="185">
        <f t="shared" ca="1" si="10"/>
        <v>31195810.685682055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30253778.960000001</v>
      </c>
      <c r="I53" s="114">
        <f t="shared" si="1"/>
        <v>0</v>
      </c>
      <c r="J53" s="114">
        <f t="shared" si="2"/>
        <v>0</v>
      </c>
      <c r="K53" s="114">
        <f t="shared" si="3"/>
        <v>30253778.960000001</v>
      </c>
      <c r="L53" s="187">
        <f t="shared" si="4"/>
        <v>0.11505389507665395</v>
      </c>
      <c r="M53" s="184">
        <f t="shared" si="5"/>
        <v>232699326.10301074</v>
      </c>
      <c r="N53" s="184">
        <f t="shared" ca="1" si="6"/>
        <v>21154484.191182796</v>
      </c>
      <c r="O53" s="180">
        <f t="shared" si="7"/>
        <v>232699326.10301074</v>
      </c>
      <c r="P53" s="180">
        <f t="shared" ca="1" si="8"/>
        <v>21154484.191182796</v>
      </c>
      <c r="Q53" s="185">
        <f t="shared" si="9"/>
        <v>232699326.10301074</v>
      </c>
      <c r="R53" s="185">
        <f t="shared" ca="1" si="10"/>
        <v>21154484.191182796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313943352.84965998</v>
      </c>
      <c r="I54" s="114">
        <f t="shared" si="1"/>
        <v>30269657.985479001</v>
      </c>
      <c r="J54" s="114">
        <f t="shared" si="2"/>
        <v>101974162.349902</v>
      </c>
      <c r="K54" s="114">
        <f t="shared" si="3"/>
        <v>446187173.18504095</v>
      </c>
      <c r="L54" s="187">
        <f t="shared" si="4"/>
        <v>0.61401470070861475</v>
      </c>
      <c r="M54" s="184">
        <f t="shared" si="5"/>
        <v>280484635.60082459</v>
      </c>
      <c r="N54" s="184">
        <f t="shared" ca="1" si="6"/>
        <v>25498603.236438598</v>
      </c>
      <c r="O54" s="180">
        <f t="shared" si="7"/>
        <v>280484635.60082459</v>
      </c>
      <c r="P54" s="180">
        <f t="shared" ca="1" si="8"/>
        <v>25498603.236438598</v>
      </c>
      <c r="Q54" s="185">
        <f t="shared" si="9"/>
        <v>280484635.60082459</v>
      </c>
      <c r="R54" s="185">
        <f t="shared" ca="1" si="10"/>
        <v>25498603.236438598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4173423.4199979999</v>
      </c>
      <c r="I55" s="114">
        <f t="shared" si="1"/>
        <v>16503315.6</v>
      </c>
      <c r="J55" s="114">
        <f t="shared" si="2"/>
        <v>172635135.9993</v>
      </c>
      <c r="K55" s="114">
        <f t="shared" si="3"/>
        <v>193311875.01929802</v>
      </c>
      <c r="L55" s="187">
        <f t="shared" si="4"/>
        <v>0.3598501774452893</v>
      </c>
      <c r="M55" s="184">
        <f t="shared" si="5"/>
        <v>343889124.55138761</v>
      </c>
      <c r="N55" s="184">
        <f t="shared" ca="1" si="6"/>
        <v>31262647.686489783</v>
      </c>
      <c r="O55" s="180">
        <f t="shared" si="7"/>
        <v>343889124.55138761</v>
      </c>
      <c r="P55" s="180">
        <f t="shared" ca="1" si="8"/>
        <v>31262647.686489783</v>
      </c>
      <c r="Q55" s="185">
        <f t="shared" si="9"/>
        <v>343889124.55138761</v>
      </c>
      <c r="R55" s="185">
        <f t="shared" ca="1" si="10"/>
        <v>31262647.686489783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226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138586461.24244899</v>
      </c>
      <c r="I56" s="114">
        <f t="shared" si="1"/>
        <v>34780160.220744997</v>
      </c>
      <c r="J56" s="114">
        <f t="shared" si="2"/>
        <v>116499752.948219</v>
      </c>
      <c r="K56" s="114">
        <f t="shared" si="3"/>
        <v>289866374.41141295</v>
      </c>
      <c r="L56" s="187">
        <f t="shared" si="4"/>
        <v>0.50416279130418329</v>
      </c>
      <c r="M56" s="184">
        <f t="shared" si="5"/>
        <v>285079614.08880544</v>
      </c>
      <c r="N56" s="184">
        <f t="shared" ca="1" si="6"/>
        <v>25916328.553527769</v>
      </c>
      <c r="O56" s="180">
        <f t="shared" si="7"/>
        <v>285079614.08880544</v>
      </c>
      <c r="P56" s="180">
        <f t="shared" ca="1" si="8"/>
        <v>25916328.553527769</v>
      </c>
      <c r="Q56" s="185">
        <f t="shared" si="9"/>
        <v>285079614.08880544</v>
      </c>
      <c r="R56" s="185">
        <f t="shared" ca="1" si="10"/>
        <v>25916328.553527769</v>
      </c>
      <c r="T56" t="s">
        <v>225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312494152.79274601</v>
      </c>
      <c r="I57" s="114">
        <f t="shared" si="1"/>
        <v>29437089.039930999</v>
      </c>
      <c r="J57" s="114">
        <f t="shared" si="2"/>
        <v>210140451.63960499</v>
      </c>
      <c r="K57" s="114">
        <f t="shared" si="3"/>
        <v>552071693.47228193</v>
      </c>
      <c r="L57" s="187">
        <f t="shared" si="4"/>
        <v>0.49772775378908907</v>
      </c>
      <c r="M57" s="184">
        <f t="shared" si="5"/>
        <v>557112372.05246472</v>
      </c>
      <c r="N57" s="184">
        <f t="shared" ca="1" si="6"/>
        <v>50646579.277496792</v>
      </c>
      <c r="O57" s="180">
        <f t="shared" si="7"/>
        <v>557112372.05246472</v>
      </c>
      <c r="P57" s="180">
        <f t="shared" ca="1" si="8"/>
        <v>50646579.277496792</v>
      </c>
      <c r="Q57" s="185">
        <f t="shared" si="9"/>
        <v>557112372.05246472</v>
      </c>
      <c r="R57" s="185">
        <f t="shared" ca="1" si="10"/>
        <v>50646579.277496792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172201414.51065901</v>
      </c>
      <c r="I58" s="114">
        <f t="shared" si="1"/>
        <v>49903023.629965</v>
      </c>
      <c r="J58" s="114">
        <f t="shared" si="2"/>
        <v>126746353.23747499</v>
      </c>
      <c r="K58" s="114">
        <f t="shared" si="3"/>
        <v>348850791.37809902</v>
      </c>
      <c r="L58" s="187">
        <f t="shared" si="4"/>
        <v>0.56762390159917142</v>
      </c>
      <c r="M58" s="184">
        <f t="shared" si="5"/>
        <v>265730078.79892987</v>
      </c>
      <c r="N58" s="184">
        <f t="shared" ca="1" si="6"/>
        <v>24157279.890811805</v>
      </c>
      <c r="O58" s="180">
        <f t="shared" si="7"/>
        <v>265730078.79892987</v>
      </c>
      <c r="P58" s="180">
        <f t="shared" ca="1" si="8"/>
        <v>24157279.890811805</v>
      </c>
      <c r="Q58" s="185">
        <f t="shared" si="9"/>
        <v>265730078.79892987</v>
      </c>
      <c r="R58" s="185">
        <f t="shared" ca="1" si="10"/>
        <v>24157279.890811805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127135467.16</v>
      </c>
      <c r="I59" s="114">
        <f t="shared" si="1"/>
        <v>0</v>
      </c>
      <c r="J59" s="114">
        <f t="shared" si="2"/>
        <v>0</v>
      </c>
      <c r="K59" s="114">
        <f t="shared" si="3"/>
        <v>127135467.16</v>
      </c>
      <c r="L59" s="187">
        <f t="shared" si="4"/>
        <v>0.28644003143042351</v>
      </c>
      <c r="M59" s="184">
        <f t="shared" si="5"/>
        <v>316711248.41641998</v>
      </c>
      <c r="N59" s="184">
        <f t="shared" ca="1" si="6"/>
        <v>28791931.674219999</v>
      </c>
      <c r="O59" s="180">
        <f t="shared" si="7"/>
        <v>316711248.41641998</v>
      </c>
      <c r="P59" s="180">
        <f t="shared" ca="1" si="8"/>
        <v>28791931.674219999</v>
      </c>
      <c r="Q59" s="185">
        <f t="shared" si="9"/>
        <v>316711248.41641998</v>
      </c>
      <c r="R59" s="185">
        <f t="shared" ca="1" si="10"/>
        <v>28791931.674219999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199516529.892643</v>
      </c>
      <c r="I60" s="114">
        <f t="shared" si="1"/>
        <v>62512341.996574</v>
      </c>
      <c r="J60" s="114">
        <f t="shared" si="2"/>
        <v>72789644.420606002</v>
      </c>
      <c r="K60" s="114">
        <f t="shared" si="3"/>
        <v>334818516.30982304</v>
      </c>
      <c r="L60" s="187">
        <f t="shared" si="4"/>
        <v>0.57808440803945504</v>
      </c>
      <c r="M60" s="184">
        <f t="shared" si="5"/>
        <v>244367691.88656068</v>
      </c>
      <c r="N60" s="184">
        <f t="shared" ca="1" si="6"/>
        <v>22215244.716960061</v>
      </c>
      <c r="O60" s="180">
        <f t="shared" si="7"/>
        <v>244367691.88656068</v>
      </c>
      <c r="P60" s="180">
        <f t="shared" ca="1" si="8"/>
        <v>22215244.716960061</v>
      </c>
      <c r="Q60" s="185">
        <f t="shared" si="9"/>
        <v>244367691.88656068</v>
      </c>
      <c r="R60" s="185">
        <f t="shared" ca="1" si="10"/>
        <v>22215244.716960061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323500640.14265001</v>
      </c>
      <c r="I61" s="114">
        <f t="shared" si="1"/>
        <v>39057838.754964001</v>
      </c>
      <c r="J61" s="114">
        <f t="shared" si="2"/>
        <v>139958091.469908</v>
      </c>
      <c r="K61" s="114">
        <f t="shared" si="3"/>
        <v>502516570.367522</v>
      </c>
      <c r="L61" s="187">
        <f t="shared" si="4"/>
        <v>0.70125818913941185</v>
      </c>
      <c r="M61" s="184">
        <f t="shared" si="5"/>
        <v>214076231.18565953</v>
      </c>
      <c r="N61" s="184">
        <f t="shared" ca="1" si="6"/>
        <v>19461475.562332686</v>
      </c>
      <c r="O61" s="180">
        <f t="shared" si="7"/>
        <v>214076231.18565953</v>
      </c>
      <c r="P61" s="180">
        <f t="shared" ca="1" si="8"/>
        <v>19461475.562332686</v>
      </c>
      <c r="Q61" s="185">
        <f t="shared" si="9"/>
        <v>214076231.18565953</v>
      </c>
      <c r="R61" s="185">
        <f t="shared" ca="1" si="10"/>
        <v>19461475.562332686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96917521.722049996</v>
      </c>
      <c r="I62" s="114">
        <f t="shared" si="1"/>
        <v>29107735.559999999</v>
      </c>
      <c r="J62" s="114">
        <f t="shared" si="2"/>
        <v>136252883.21706399</v>
      </c>
      <c r="K62" s="114">
        <f t="shared" si="3"/>
        <v>262278140.49911398</v>
      </c>
      <c r="L62" s="187">
        <f t="shared" si="4"/>
        <v>0.54982254290962729</v>
      </c>
      <c r="M62" s="184">
        <f t="shared" si="5"/>
        <v>214745117.06168753</v>
      </c>
      <c r="N62" s="184">
        <f t="shared" ca="1" si="6"/>
        <v>19522283.369244322</v>
      </c>
      <c r="O62" s="180">
        <f t="shared" si="7"/>
        <v>214745117.06168753</v>
      </c>
      <c r="P62" s="180">
        <f t="shared" ca="1" si="8"/>
        <v>19522283.369244322</v>
      </c>
      <c r="Q62" s="185">
        <f t="shared" si="9"/>
        <v>214745117.06168753</v>
      </c>
      <c r="R62" s="185">
        <f t="shared" ca="1" si="10"/>
        <v>19522283.369244322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321648535.34862697</v>
      </c>
      <c r="I63" s="114">
        <f t="shared" si="1"/>
        <v>173348011.65299401</v>
      </c>
      <c r="J63" s="114">
        <f t="shared" si="2"/>
        <v>223413017.625983</v>
      </c>
      <c r="K63" s="114">
        <f t="shared" si="3"/>
        <v>718409564.62760401</v>
      </c>
      <c r="L63" s="187">
        <f t="shared" si="4"/>
        <v>0.73383927112825775</v>
      </c>
      <c r="M63" s="184">
        <f t="shared" si="5"/>
        <v>260564432.66620255</v>
      </c>
      <c r="N63" s="184">
        <f t="shared" ca="1" si="6"/>
        <v>23687675.696927503</v>
      </c>
      <c r="O63" s="180">
        <f t="shared" si="7"/>
        <v>260564432.66620255</v>
      </c>
      <c r="P63" s="180">
        <f t="shared" ca="1" si="8"/>
        <v>23687675.696927503</v>
      </c>
      <c r="Q63" s="185">
        <f t="shared" si="9"/>
        <v>260564432.66620255</v>
      </c>
      <c r="R63" s="185">
        <f t="shared" ca="1" si="10"/>
        <v>23687675.696927503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81858188.306536004</v>
      </c>
      <c r="I64" s="114">
        <f t="shared" si="1"/>
        <v>118459115.543516</v>
      </c>
      <c r="J64" s="114">
        <f t="shared" si="2"/>
        <v>112745434.579032</v>
      </c>
      <c r="K64" s="114">
        <f t="shared" si="3"/>
        <v>313062738.429084</v>
      </c>
      <c r="L64" s="187">
        <f t="shared" si="4"/>
        <v>0.58307764559664343</v>
      </c>
      <c r="M64" s="184">
        <f t="shared" si="5"/>
        <v>223851583.00530678</v>
      </c>
      <c r="N64" s="184">
        <f t="shared" ca="1" si="6"/>
        <v>20350143.909573343</v>
      </c>
      <c r="O64" s="180">
        <f t="shared" si="7"/>
        <v>223851583.00530678</v>
      </c>
      <c r="P64" s="180">
        <f t="shared" ca="1" si="8"/>
        <v>20350143.909573343</v>
      </c>
      <c r="Q64" s="185">
        <f t="shared" si="9"/>
        <v>223851583.00530678</v>
      </c>
      <c r="R64" s="185">
        <f t="shared" ca="1" si="10"/>
        <v>20350143.909573343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2437125004.4134622</v>
      </c>
      <c r="I65" s="135">
        <f t="shared" si="12"/>
        <v>690350593.50908601</v>
      </c>
      <c r="J65" s="135">
        <f t="shared" si="12"/>
        <v>1758290800.9763489</v>
      </c>
      <c r="K65" s="135">
        <f t="shared" si="12"/>
        <v>4885766398.8988962</v>
      </c>
      <c r="L65" s="189">
        <f t="shared" si="4"/>
        <v>0.55156755538689106</v>
      </c>
      <c r="M65" s="181">
        <f>SUM(M51:M64)</f>
        <v>3972199141.6445985</v>
      </c>
      <c r="N65" s="181">
        <f t="shared" ca="1" si="6"/>
        <v>361109012.8767817</v>
      </c>
      <c r="O65" s="181">
        <f>SUM(O51:O64)</f>
        <v>3972199141.6445985</v>
      </c>
      <c r="P65" s="181">
        <f t="shared" ca="1" si="8"/>
        <v>361109012.8767817</v>
      </c>
      <c r="Q65" s="186">
        <f>SUM(Q51:Q64)</f>
        <v>3972199141.6445985</v>
      </c>
      <c r="R65" s="186">
        <f t="shared" ca="1" si="10"/>
        <v>361109012.8767817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167182405.05536899</v>
      </c>
      <c r="F69" s="187">
        <f t="shared" ref="F69:F74" si="13">IFERROR(E69/D69,0)</f>
        <v>0.65240003862993257</v>
      </c>
      <c r="G69" s="184">
        <f>D69*$H$40-E69</f>
        <v>89075098.249595642</v>
      </c>
      <c r="H69" s="184">
        <f t="shared" ref="H69:H74" ca="1" si="14">IFERROR(G69/$C$3,0)</f>
        <v>8097736.2045086948</v>
      </c>
      <c r="I69" s="204">
        <f>D69*$J$40-E69</f>
        <v>89075098.249595642</v>
      </c>
      <c r="J69" s="204">
        <f t="shared" ref="J69:J74" ca="1" si="15">IFERROR(I69/$C$3,0)</f>
        <v>8097736.2045086948</v>
      </c>
      <c r="K69" s="185">
        <f>D69*$L$40-E69</f>
        <v>89075098.249595642</v>
      </c>
      <c r="L69" s="185">
        <f t="shared" ref="L69:L74" ca="1" si="16">IFERROR(K69/$C$3,0)</f>
        <v>8097736.2045086948</v>
      </c>
    </row>
    <row r="70" spans="2:21" ht="15.95" customHeight="1" x14ac:dyDescent="0.25">
      <c r="B70" s="53" t="s">
        <v>94</v>
      </c>
      <c r="C70" s="56" t="s">
        <v>227</v>
      </c>
      <c r="D70" s="117">
        <f>TARGETS!L23</f>
        <v>399558412.3049646</v>
      </c>
      <c r="E70" s="114">
        <f>IFERROR($C$32,0)</f>
        <v>351088868.38575</v>
      </c>
      <c r="F70" s="187">
        <f t="shared" si="13"/>
        <v>0.87869222014472315</v>
      </c>
      <c r="G70" s="184">
        <f>D70*$H$40-E70</f>
        <v>48469543.919214606</v>
      </c>
      <c r="H70" s="184">
        <f t="shared" ca="1" si="14"/>
        <v>4406322.1744740549</v>
      </c>
      <c r="I70" s="204">
        <f>D70*$J$40-E70</f>
        <v>48469543.919214606</v>
      </c>
      <c r="J70" s="204">
        <f t="shared" ca="1" si="15"/>
        <v>4406322.1744740549</v>
      </c>
      <c r="K70" s="185">
        <f>D70*$L$40-E70</f>
        <v>48469543.919214606</v>
      </c>
      <c r="L70" s="185">
        <f t="shared" ca="1" si="16"/>
        <v>4406322.1744740549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454997313.98041403</v>
      </c>
      <c r="F71" s="187">
        <f t="shared" si="13"/>
        <v>0.4195033006718985</v>
      </c>
      <c r="G71" s="184">
        <f>D71*$H$40-E71</f>
        <v>629612302.32455051</v>
      </c>
      <c r="H71" s="184">
        <f t="shared" ca="1" si="14"/>
        <v>57237482.02950459</v>
      </c>
      <c r="I71" s="204">
        <f>D71*$J$40-E71</f>
        <v>629612302.32455051</v>
      </c>
      <c r="J71" s="204">
        <f t="shared" ca="1" si="15"/>
        <v>57237482.02950459</v>
      </c>
      <c r="K71" s="185">
        <f>D71*$L$40-E71</f>
        <v>629612302.32455051</v>
      </c>
      <c r="L71" s="185">
        <f t="shared" ca="1" si="16"/>
        <v>57237482.02950459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973268587.42153299</v>
      </c>
      <c r="F74" s="177">
        <f t="shared" si="13"/>
        <v>0.55921300255271456</v>
      </c>
      <c r="G74" s="181">
        <f>SUM(G69:G73)</f>
        <v>767156944.49336076</v>
      </c>
      <c r="H74" s="181">
        <f t="shared" ca="1" si="14"/>
        <v>69741540.408487335</v>
      </c>
      <c r="I74" s="186">
        <f>SUM(I69:I73)</f>
        <v>767156944.49336076</v>
      </c>
      <c r="J74" s="186">
        <f t="shared" ca="1" si="15"/>
        <v>69741540.408487335</v>
      </c>
      <c r="K74" s="186">
        <f>SUM(K69:K73)</f>
        <v>767156944.49336076</v>
      </c>
      <c r="L74" s="186">
        <f t="shared" ca="1" si="16"/>
        <v>69741540.408487335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290454016.77988499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89177762.789999992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4684684.5599999996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250228878.32984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36782251.869999997</v>
      </c>
      <c r="T85" t="str">
        <f t="shared" si="17"/>
        <v>Ronald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668372515.47996902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210355166.919631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7921891.6799999997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29729730.43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390890270.92961597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100110649.099953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15098054.3574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106978380.66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2200784253.8862939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1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163</v>
      </c>
      <c r="C40" s="270"/>
      <c r="D40" s="27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175</v>
      </c>
      <c r="C40" s="270"/>
      <c r="D40" s="27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69" t="s">
        <v>177</v>
      </c>
      <c r="C40" s="270"/>
      <c r="D40" s="27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73"/>
      <c r="L48" s="283"/>
      <c r="M48" s="260" t="s">
        <v>186</v>
      </c>
      <c r="N48" s="261"/>
      <c r="O48" s="261"/>
      <c r="P48" s="261"/>
      <c r="Q48" s="261"/>
      <c r="R48" s="262"/>
    </row>
    <row r="49" spans="2:21" ht="17.100000000000001" customHeight="1" x14ac:dyDescent="0.25">
      <c r="B49" s="284" t="s">
        <v>41</v>
      </c>
      <c r="C49" s="284" t="s">
        <v>42</v>
      </c>
      <c r="D49" s="253" t="s">
        <v>137</v>
      </c>
      <c r="E49" s="254"/>
      <c r="F49" s="254"/>
      <c r="G49" s="255"/>
      <c r="H49" s="285" t="s">
        <v>138</v>
      </c>
      <c r="I49" s="286"/>
      <c r="J49" s="286"/>
      <c r="K49" s="287"/>
      <c r="L49" s="288" t="s">
        <v>139</v>
      </c>
      <c r="M49" s="263" t="str">
        <f>"SELISIH"&amp;CHAR(10)&amp;TEXT($H$40,"0%")</f>
        <v>SELISIH
90%</v>
      </c>
      <c r="N49" s="263" t="str">
        <f>"PER HARI"&amp;CHAR(10)&amp;TEXT($H$40,"0%")</f>
        <v>PER HARI
90%</v>
      </c>
      <c r="O49" s="265" t="str">
        <f>"SELISIH"&amp;CHAR(10)&amp;TEXT($J$40,"0%")</f>
        <v>SELISIH
95%</v>
      </c>
      <c r="P49" s="265" t="str">
        <f>"PER HARI"&amp;CHAR(10)&amp;TEXT($J$40,"0%")</f>
        <v>PER HARI
95%</v>
      </c>
      <c r="Q49" s="267" t="str">
        <f>"SELISIH"&amp;CHAR(10)&amp;TEXT($L$40,"0%")</f>
        <v>SELISIH
100%</v>
      </c>
      <c r="R49" s="267" t="str">
        <f>"PER HARI"&amp;CHAR(10)&amp;TEXT($L$40,"0%")</f>
        <v>PER HARI
100%</v>
      </c>
    </row>
    <row r="50" spans="2:21" ht="17.100000000000001" customHeight="1" x14ac:dyDescent="0.25">
      <c r="B50" s="259"/>
      <c r="C50" s="259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89"/>
      <c r="M50" s="264"/>
      <c r="N50" s="264"/>
      <c r="O50" s="266"/>
      <c r="P50" s="266"/>
      <c r="Q50" s="268"/>
      <c r="R50" s="268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90" t="s">
        <v>144</v>
      </c>
      <c r="C67" s="291"/>
      <c r="D67" s="291"/>
      <c r="E67" s="291"/>
      <c r="F67" s="293"/>
      <c r="G67" s="260" t="s">
        <v>186</v>
      </c>
      <c r="H67" s="261"/>
      <c r="I67" s="261"/>
      <c r="J67" s="261"/>
      <c r="K67" s="261"/>
      <c r="L67" s="262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59" t="s">
        <v>41</v>
      </c>
      <c r="C78" s="259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B40:D40"/>
    <mergeCell ref="B46:C46"/>
    <mergeCell ref="B78:B79"/>
    <mergeCell ref="C78:C79"/>
    <mergeCell ref="B67:F67"/>
    <mergeCell ref="B77:D77"/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2026-09-05T00:51:55Z</cp:lastPrinted>
  <dcterms:created xsi:type="dcterms:W3CDTF">2026-03-24T08:59:20Z</dcterms:created>
  <dcterms:modified xsi:type="dcterms:W3CDTF">2026-09-18T00:48:21Z</dcterms:modified>
  <dc:language>en-US</dc:language>
</cp:coreProperties>
</file>