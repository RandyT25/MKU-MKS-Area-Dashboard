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F54" i="9" s="1"/>
  <c r="E53" i="9"/>
  <c r="E52" i="9"/>
  <c r="E51" i="9"/>
  <c r="E65" i="9" s="1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G92" i="9" s="1"/>
  <c r="E90" i="9"/>
  <c r="G90" i="9" s="1"/>
  <c r="E89" i="9"/>
  <c r="F64" i="9"/>
  <c r="F63" i="9"/>
  <c r="F58" i="9"/>
  <c r="F56" i="9"/>
  <c r="F55" i="9"/>
  <c r="L53" i="9"/>
  <c r="M21" i="9"/>
  <c r="E45" i="9" s="1"/>
  <c r="H64" i="9"/>
  <c r="L64" i="9" s="1"/>
  <c r="G64" i="9"/>
  <c r="K64" i="9" s="1"/>
  <c r="H63" i="9"/>
  <c r="L63" i="9" s="1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L57" i="9" s="1"/>
  <c r="G57" i="9"/>
  <c r="H56" i="9"/>
  <c r="L56" i="9" s="1"/>
  <c r="G56" i="9"/>
  <c r="H55" i="9"/>
  <c r="L55" i="9" s="1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12" l="1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F45" i="9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1" i="9" l="1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<sst xmlns="http://schemas.openxmlformats.org/spreadsheetml/2006/main" count="1879" uniqueCount="189">
  <si>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</si>
  <si>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</si>
  <si>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</si>
  <si>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</si>
  <si>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</si>
  <si>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</si>
  <si>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</si>
  <si>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</si>
  <si>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</si>
  <si>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</si>
  <si>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</si>
  <si>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</si>
  <si>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</si>
  <si>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</si>
  <si>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</si>
  <si>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</si>
  <si>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</si>
  <si>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</si>
  <si>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</si>
  <si>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</si>
  <si>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</si>
  <si>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</si>
  <si>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</si>
  <si>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</si>
  <si>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</si>
  <si>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</si>
  <si>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</si>
  <si>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</si>
  <si>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</si>
  <si>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</si>
  <si>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</si>
  <si>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</si>
  <si>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</si>
  <si>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</si>
  <si>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</si>
  <si>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</si>
  <si>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</si>
  <si>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</si>
  <si>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</si>
  <si>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</si>
  <si>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</si>
  <si>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</si>
  <si>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</si>
  <si>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</si>
  <si>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</si>
  <si>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</si>
  <si>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</si>
  <si>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</si>
  <si>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</si>
  <si>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</si>
  <si>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</si>
  <si>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</si>
  <si>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</si>
  <si>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</si>
  <si>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</si>
  <si>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</si>
  <si>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</si>
  <si>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</si>
  <si>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</si>
  <si>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</si>
  <si>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</si>
  <si>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</si>
  <si>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</si>
  <si>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</si>
  <si>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</si>
  <si>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</si>
  <si>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</si>
  <si>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</si>
  <si>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</si>
  <si>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</si>
  <si>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</si>
  <si>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</si>
  <si>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</si>
  <si>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</si>
  <si>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</si>
  <si>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</si>
  <si>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</si>
  <si>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</si>
  <si>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</si>
  <si>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</si>
  <si>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</si>
  <si>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</si>
  <si>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</si>
  <si>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</si>
  <si>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</si>
  <si>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</si>
  <si>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</si>
  <si>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</si>
  <si>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</si>
  <si>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</si>
  <si>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</si>
  <si>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</si>
  <si>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</si>
  <si>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</si>
  <si>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</si>
  <si>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</si>
  <si>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</si>
  <si>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</si>
  <si>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</si>
  <si>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</si>
  <si>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</si>
  <si>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</si>
  <si>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</si>
  <si>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</si>
  <si>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</si>
  <si>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</si>
  <si>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</si>
  <si>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</si>
  <si>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</si>
  <si>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</si>
  <si>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</si>
  <si>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</si>
  <si>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</si>
  <si>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</si>
  <si>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</si>
  <si>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</si>
  <si>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</si>
  <si>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</si>
  <si>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</si>
  <si>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</si>
  <si>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</si>
  <si>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</si>
  <si>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</si>
  <si>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</si>
  <si>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</si>
  <si>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</si>
  <si>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</si>
  <si>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</si>
  <si>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</si>
  <si>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</si>
  <si>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</si>
  <si>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</si>
  <si>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</si>
  <si>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</si>
  <si>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</si>
  <si>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</si>
  <si>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</si>
  <si>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</si>
  <si>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</si>
  <si>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</si>
  <si>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</si>
  <si>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</si>
  <si>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</si>
  <si>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</si>
  <si>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</si>
  <si>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</si>
  <si>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</si>
  <si>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</si>
  <si>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</si>
  <si>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</si>
  <si>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</si>
  <si>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</si>
  <si>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</si>
  <si>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</si>
  <si>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</si>
  <si>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</si>
  <si>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</si>
  <si>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</si>
  <si>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</si>
  <si>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</si>
  <si>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</si>
  <si>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</si>
  <si>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</si>
  <si>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</si>
  <si>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</si>
  <si>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</si>
  <si>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</si>
  <si>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</si>
  <si>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</si>
  <si>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</si>
  <si>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</si>
  <si>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</si>
  <si>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</si>
  <si>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</si>
  <si>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</si>
  <si>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</si>
  <si>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</si>
  <si>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</si>
  <si>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</si>
  <si>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</si>
  <si>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</si>
  <si>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</si>
  <si>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</si>
  <si>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</si>
  <si>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</si>
  <si>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</si>
  <si>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</si>
  <si>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</si>
  <si>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20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</si>
</sst>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11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57526734.564691544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50507939.065153711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9979319.5217920654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118013993.15163732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13813102.120596664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12359057.726115454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3991402.0181818171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-3668064.3169115563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11890397.964684194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7335227.6777221505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-2283375.9698854145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10074038.930480914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9419285.4700022712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6873813.4233891256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16112377.945988931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10761302.560197532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3145971.1784541281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8210136.9008291252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108034673.62984534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-1214816.1742065875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-1684498.4307165851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12878634.126715248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9979319.5217920765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4.7109375" customWidth="1"/>
    <col min="6" max="6" width="15.140625" bestFit="1" customWidth="1"/>
    <col min="7" max="7" width="16.85546875" customWidth="1"/>
    <col min="8" max="8" width="12.42578125" bestFit="1" customWidth="1"/>
    <col min="9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11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277092026.46808499</v>
      </c>
      <c r="N8" s="11">
        <f>D22</f>
        <v>36740238.443963997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379604383.56625801</v>
      </c>
      <c r="N9" s="11">
        <f>D13+D14</f>
        <v>126936245.06133801</v>
      </c>
    </row>
    <row r="10" spans="2:14" x14ac:dyDescent="0.25">
      <c r="B10" s="74" t="s">
        <v>113</v>
      </c>
      <c r="C10" s="206">
        <v>242571929.61913601</v>
      </c>
      <c r="D10" s="206">
        <v>35717673.674698003</v>
      </c>
      <c r="E10" s="206">
        <v>103513938.23</v>
      </c>
      <c r="F10" s="206">
        <v>381803541.52383399</v>
      </c>
      <c r="H10" s="116"/>
      <c r="I10" s="116"/>
      <c r="J10" s="116"/>
      <c r="M10" s="11">
        <f>C15</f>
        <v>585983696.144768</v>
      </c>
      <c r="N10" s="11">
        <f>D15</f>
        <v>15702178.822329</v>
      </c>
    </row>
    <row r="11" spans="2:14" x14ac:dyDescent="0.25">
      <c r="B11" s="74" t="s">
        <v>114</v>
      </c>
      <c r="C11" s="206">
        <v>208007924.836685</v>
      </c>
      <c r="D11" s="206">
        <v>59341619.102747001</v>
      </c>
      <c r="E11" s="206">
        <v>43437020.299999997</v>
      </c>
      <c r="F11" s="206">
        <v>310786564.23943198</v>
      </c>
      <c r="H11" s="116"/>
      <c r="I11" s="116"/>
      <c r="J11" s="116"/>
      <c r="M11" s="11">
        <f>C12</f>
        <v>239306307.47903901</v>
      </c>
      <c r="N11" s="11">
        <f>D12</f>
        <v>21077997.699999999</v>
      </c>
    </row>
    <row r="12" spans="2:14" x14ac:dyDescent="0.25">
      <c r="B12" s="74" t="s">
        <v>185</v>
      </c>
      <c r="C12" s="206">
        <v>239306307.47903901</v>
      </c>
      <c r="D12" s="206">
        <v>21077997.699999999</v>
      </c>
      <c r="E12" s="206" t="s">
        <v>168</v>
      </c>
      <c r="F12" s="206">
        <v>260384305.179039</v>
      </c>
      <c r="H12" s="116"/>
      <c r="I12" s="116"/>
      <c r="J12" s="116"/>
      <c r="M12" s="11">
        <f>C25+C26</f>
        <v>241328956.143978</v>
      </c>
      <c r="N12" s="11">
        <f>D25+D26</f>
        <v>80974554.165187001</v>
      </c>
    </row>
    <row r="13" spans="2:14" x14ac:dyDescent="0.25">
      <c r="B13" s="74" t="s">
        <v>70</v>
      </c>
      <c r="C13" s="206">
        <v>196400715.17323101</v>
      </c>
      <c r="D13" s="206">
        <v>95517231.771494001</v>
      </c>
      <c r="E13" s="206">
        <v>40904922.479999997</v>
      </c>
      <c r="F13" s="206">
        <v>332822869.424725</v>
      </c>
      <c r="H13" s="116"/>
      <c r="I13" s="116"/>
      <c r="J13" s="116"/>
      <c r="M13" s="11">
        <f>C17</f>
        <v>967723769.02623403</v>
      </c>
      <c r="N13" s="11">
        <f>D17</f>
        <v>70426682.629644006</v>
      </c>
    </row>
    <row r="14" spans="2:14" x14ac:dyDescent="0.25">
      <c r="B14" s="74" t="s">
        <v>115</v>
      </c>
      <c r="C14" s="206">
        <v>183203668.39302701</v>
      </c>
      <c r="D14" s="206">
        <v>31419013.289843999</v>
      </c>
      <c r="E14" s="206">
        <v>28998287.940000001</v>
      </c>
      <c r="F14" s="206">
        <v>243620969.62287101</v>
      </c>
      <c r="H14" s="116"/>
      <c r="I14" s="116"/>
      <c r="J14" s="116"/>
      <c r="M14" s="11">
        <f>C23</f>
        <v>313237758.666637</v>
      </c>
      <c r="N14" s="11">
        <f>D23</f>
        <v>43257460.569945</v>
      </c>
    </row>
    <row r="15" spans="2:14" x14ac:dyDescent="0.25">
      <c r="B15" s="84" t="s">
        <v>116</v>
      </c>
      <c r="C15" s="206">
        <v>585983696.144768</v>
      </c>
      <c r="D15" s="206">
        <v>15702178.822329</v>
      </c>
      <c r="E15" s="206">
        <v>242495426.91</v>
      </c>
      <c r="F15" s="206">
        <v>844181301.87709701</v>
      </c>
      <c r="H15" s="116"/>
      <c r="I15" s="116"/>
      <c r="J15" s="116"/>
      <c r="M15" s="11">
        <f>C11</f>
        <v>208007924.836685</v>
      </c>
      <c r="N15" s="11">
        <f>D11</f>
        <v>59341619.102747001</v>
      </c>
    </row>
    <row r="16" spans="2:14" x14ac:dyDescent="0.25">
      <c r="B16" s="74" t="s">
        <v>119</v>
      </c>
      <c r="C16" s="206">
        <v>958476887.70375502</v>
      </c>
      <c r="D16" s="206">
        <v>3879063.3339979998</v>
      </c>
      <c r="E16" s="206">
        <v>4929729.68</v>
      </c>
      <c r="F16" s="206">
        <v>967285680.71775305</v>
      </c>
      <c r="H16" s="116"/>
      <c r="I16" s="116"/>
      <c r="J16" s="116"/>
      <c r="M16" s="11">
        <f>C24</f>
        <v>390243033.76374698</v>
      </c>
      <c r="N16" s="11">
        <f>D24</f>
        <v>39839667.539916001</v>
      </c>
    </row>
    <row r="17" spans="2:14" x14ac:dyDescent="0.25">
      <c r="B17" s="74" t="s">
        <v>121</v>
      </c>
      <c r="C17" s="206">
        <v>967723769.02623403</v>
      </c>
      <c r="D17" s="206">
        <v>70426682.629644006</v>
      </c>
      <c r="E17" s="206">
        <v>823702994.37996805</v>
      </c>
      <c r="F17" s="206">
        <v>1861853446.035846</v>
      </c>
      <c r="H17" s="116"/>
      <c r="I17" s="116"/>
      <c r="J17" s="116"/>
      <c r="M17" s="11">
        <f>C10</f>
        <v>242571929.61913601</v>
      </c>
      <c r="N17" s="11">
        <f>D10</f>
        <v>35717673.674698003</v>
      </c>
    </row>
    <row r="18" spans="2:14" x14ac:dyDescent="0.25">
      <c r="B18" s="74" t="s">
        <v>123</v>
      </c>
      <c r="C18" s="206">
        <v>164240931.747558</v>
      </c>
      <c r="D18" s="206">
        <v>20023770.979789</v>
      </c>
      <c r="E18" s="206">
        <v>5232432.54</v>
      </c>
      <c r="F18" s="206">
        <v>189497135.26734701</v>
      </c>
      <c r="H18" s="116"/>
      <c r="I18" s="116"/>
      <c r="J18" s="116"/>
      <c r="M18" s="11">
        <f>C27</f>
        <v>578866254.54817796</v>
      </c>
      <c r="N18" s="11">
        <f>D27</f>
        <v>152878464.51356199</v>
      </c>
    </row>
    <row r="19" spans="2:14" x14ac:dyDescent="0.25">
      <c r="B19" s="74" t="s">
        <v>124</v>
      </c>
      <c r="C19" s="206">
        <v>40309213.299989</v>
      </c>
      <c r="D19" s="206">
        <v>98321495.371998996</v>
      </c>
      <c r="E19" s="206">
        <v>34054054.780000001</v>
      </c>
      <c r="F19" s="206">
        <v>172684763.45198801</v>
      </c>
      <c r="H19" s="116"/>
      <c r="I19" s="116"/>
      <c r="J19" s="116"/>
      <c r="M19" s="11">
        <f>C18+C19</f>
        <v>204550145.04754698</v>
      </c>
      <c r="N19" s="11">
        <f>D18+D19</f>
        <v>118345266.351788</v>
      </c>
    </row>
    <row r="20" spans="2:14" x14ac:dyDescent="0.25">
      <c r="B20" s="74" t="s">
        <v>172</v>
      </c>
      <c r="C20" s="206">
        <v>92008319.599999994</v>
      </c>
      <c r="D20" s="206" t="s">
        <v>168</v>
      </c>
      <c r="E20" s="206">
        <v>6702702.5199999996</v>
      </c>
      <c r="F20" s="206">
        <v>98711022.120000005</v>
      </c>
      <c r="H20" s="116"/>
      <c r="I20" s="116"/>
      <c r="J20" s="116"/>
      <c r="M20" s="14">
        <f>IFERROR(C31,0)+IFERROR(C36,0)</f>
        <v>411000</v>
      </c>
      <c r="N20" s="10" t="s">
        <v>120</v>
      </c>
    </row>
    <row r="21" spans="2:14" x14ac:dyDescent="0.25">
      <c r="B21" s="74" t="s">
        <v>173</v>
      </c>
      <c r="C21" s="206">
        <v>176514768.24000001</v>
      </c>
      <c r="D21" s="206" t="s">
        <v>168</v>
      </c>
      <c r="E21" s="206">
        <v>9567567.3000000007</v>
      </c>
      <c r="F21" s="206">
        <v>186082335.53999999</v>
      </c>
      <c r="H21" s="116"/>
      <c r="I21" s="116"/>
      <c r="J21" s="116"/>
      <c r="M21" s="14">
        <f>IFERROR(C34,0)+IFERROR(C35,0)+M20</f>
        <v>410744426.07412797</v>
      </c>
      <c r="N21" s="10" t="s">
        <v>122</v>
      </c>
    </row>
    <row r="22" spans="2:14" x14ac:dyDescent="0.25">
      <c r="B22" s="74" t="s">
        <v>125</v>
      </c>
      <c r="C22" s="206">
        <v>277092026.46808499</v>
      </c>
      <c r="D22" s="206">
        <v>36740238.443963997</v>
      </c>
      <c r="E22" s="206">
        <v>333232558.34990001</v>
      </c>
      <c r="F22" s="206">
        <v>647064823.26194894</v>
      </c>
      <c r="H22" s="116"/>
      <c r="I22" s="116"/>
      <c r="J22" s="116"/>
    </row>
    <row r="23" spans="2:14" x14ac:dyDescent="0.25">
      <c r="B23" s="74" t="s">
        <v>126</v>
      </c>
      <c r="C23" s="206">
        <v>313237758.666637</v>
      </c>
      <c r="D23" s="206">
        <v>43257460.569945</v>
      </c>
      <c r="E23" s="206">
        <v>171446673.319592</v>
      </c>
      <c r="F23" s="206">
        <v>527941892.55617398</v>
      </c>
      <c r="H23" s="116"/>
      <c r="I23" s="116"/>
      <c r="J23" s="116"/>
    </row>
    <row r="24" spans="2:14" x14ac:dyDescent="0.25">
      <c r="B24" s="74" t="s">
        <v>127</v>
      </c>
      <c r="C24" s="206">
        <v>390243033.76374698</v>
      </c>
      <c r="D24" s="206">
        <v>39839667.539916001</v>
      </c>
      <c r="E24" s="206">
        <v>515499666.95939898</v>
      </c>
      <c r="F24" s="206">
        <v>945582368.263062</v>
      </c>
      <c r="H24" s="116"/>
      <c r="I24" s="116"/>
      <c r="J24" s="116"/>
    </row>
    <row r="25" spans="2:14" x14ac:dyDescent="0.25">
      <c r="B25" s="74" t="s">
        <v>186</v>
      </c>
      <c r="C25" s="206">
        <v>159688228.93425199</v>
      </c>
      <c r="D25" s="206">
        <v>3851604.9499949999</v>
      </c>
      <c r="E25" s="206">
        <v>37630269.799999997</v>
      </c>
      <c r="F25" s="206">
        <v>201170103.68424699</v>
      </c>
      <c r="H25" s="116"/>
      <c r="I25" s="116"/>
      <c r="J25" s="116"/>
    </row>
    <row r="26" spans="2:14" x14ac:dyDescent="0.25">
      <c r="B26" s="74" t="s">
        <v>187</v>
      </c>
      <c r="C26" s="206">
        <v>81640727.209726006</v>
      </c>
      <c r="D26" s="206">
        <v>77122949.215192005</v>
      </c>
      <c r="E26" s="206" t="s">
        <v>168</v>
      </c>
      <c r="F26" s="206">
        <v>158763676.424918</v>
      </c>
      <c r="H26" s="116"/>
      <c r="I26" s="116"/>
      <c r="J26" s="116"/>
    </row>
    <row r="27" spans="2:14" x14ac:dyDescent="0.25">
      <c r="B27" s="74" t="s">
        <v>128</v>
      </c>
      <c r="C27" s="206">
        <v>578866254.54817796</v>
      </c>
      <c r="D27" s="206">
        <v>152878464.51356199</v>
      </c>
      <c r="E27" s="206">
        <v>10463243.48</v>
      </c>
      <c r="F27" s="206">
        <v>742207962.54173994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154117147.753782</v>
      </c>
      <c r="G32" s="116"/>
      <c r="H32" s="116"/>
      <c r="I32" s="116"/>
    </row>
    <row r="33" spans="2:14" x14ac:dyDescent="0.25">
      <c r="B33" s="84" t="s">
        <v>133</v>
      </c>
      <c r="C33" s="206">
        <v>475298994.47468501</v>
      </c>
      <c r="G33" s="116"/>
      <c r="H33" s="116"/>
      <c r="I33" s="116"/>
    </row>
    <row r="34" spans="2:14" x14ac:dyDescent="0.25">
      <c r="B34" s="84" t="s">
        <v>134</v>
      </c>
      <c r="C34" s="205">
        <v>84726662.025224999</v>
      </c>
      <c r="G34" s="116"/>
      <c r="H34" s="116"/>
      <c r="I34" s="116"/>
    </row>
    <row r="35" spans="2:14" x14ac:dyDescent="0.25">
      <c r="B35" s="84" t="s">
        <v>135</v>
      </c>
      <c r="C35" s="206">
        <v>325606764.04890299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0.64516129032258063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4897039273.1502924</v>
      </c>
      <c r="F43" s="44">
        <f>IFERROR(E43/D43,0)</f>
        <v>0.61614689373225773</v>
      </c>
      <c r="G43" s="118">
        <f>D43-E43</f>
        <v>3050804533.1973972</v>
      </c>
      <c r="H43" s="118">
        <f ca="1">IFERROR(G43/C3,0)</f>
        <v>277345866.65430886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801238048.57511795</v>
      </c>
      <c r="F44" s="44">
        <f>IFERROR(E44/D44,0)</f>
        <v>0.54038915140418731</v>
      </c>
      <c r="G44" s="118">
        <f>D44-E44</f>
        <v>681467602.51562202</v>
      </c>
      <c r="H44" s="118">
        <f ca="1">IFERROR(G44/C3,0)</f>
        <v>61951600.228692912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1040160568.3025949</v>
      </c>
      <c r="F45" s="44">
        <f>IFERROR(E45/D45,0)</f>
        <v>0.5619258242554247</v>
      </c>
      <c r="G45" s="118">
        <f>D45-E45</f>
        <v>810903261.48463941</v>
      </c>
      <c r="H45" s="118">
        <f ca="1">IFERROR(G45/C3,0)</f>
        <v>73718478.316785395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6738437890.0280056</v>
      </c>
      <c r="F46" s="43">
        <f>IFERROR(E46/D46,0)</f>
        <v>0.59729381946268612</v>
      </c>
      <c r="G46" s="119">
        <f>G43+G44+G45</f>
        <v>4543175397.1976585</v>
      </c>
      <c r="H46" s="119">
        <f ca="1">IFERROR(G46/C3,0)</f>
        <v>413015945.19978714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277092026.46808499</v>
      </c>
      <c r="H51" s="122">
        <f>N8</f>
        <v>36740238.443963997</v>
      </c>
      <c r="I51" s="122">
        <f t="shared" ref="I51:I64" si="1">G51+H51</f>
        <v>313832264.912049</v>
      </c>
      <c r="J51" s="61">
        <f t="shared" ref="J51:J64" si="2">IFERROR(I51/F51,0)</f>
        <v>0.5529442302369777</v>
      </c>
      <c r="K51" s="51">
        <f t="shared" ref="K51:M64" si="3">D51-G51</f>
        <v>214145150.65737844</v>
      </c>
      <c r="L51" s="51">
        <f t="shared" si="3"/>
        <v>39588439.630017452</v>
      </c>
      <c r="M51" s="51">
        <f t="shared" si="3"/>
        <v>253733590.28739589</v>
      </c>
      <c r="N51" s="51">
        <f ca="1">IFERROR(M51/C3,0)</f>
        <v>23066690.026126899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379604383.56625801</v>
      </c>
      <c r="H52" s="122">
        <f>N9</f>
        <v>126936245.06133801</v>
      </c>
      <c r="I52" s="122">
        <f t="shared" si="1"/>
        <v>506540628.62759602</v>
      </c>
      <c r="J52" s="61">
        <f t="shared" si="2"/>
        <v>0.60394325859259623</v>
      </c>
      <c r="K52" s="54">
        <f t="shared" si="3"/>
        <v>277852776.28549165</v>
      </c>
      <c r="L52" s="54">
        <f t="shared" si="3"/>
        <v>54328811.819684297</v>
      </c>
      <c r="M52" s="54">
        <f t="shared" si="3"/>
        <v>332181588.10517597</v>
      </c>
      <c r="N52" s="54">
        <f ca="1">IFERROR(M52/C3,0)</f>
        <v>30198326.191379633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92008319.599999994</v>
      </c>
      <c r="H53" s="122">
        <f>IF(D20="",0,D20)</f>
        <v>0</v>
      </c>
      <c r="I53" s="122">
        <f>G53+H53</f>
        <v>92008319.599999994</v>
      </c>
      <c r="J53" s="61">
        <f>IFERROR(I53/F53,0)</f>
        <v>0.36957726312404759</v>
      </c>
      <c r="K53" s="54">
        <f>D53-G53</f>
        <v>156947254.18787572</v>
      </c>
      <c r="L53" s="54">
        <f>E53-H53</f>
        <v>0</v>
      </c>
      <c r="M53" s="54">
        <f>F53-I53</f>
        <v>156947254.18787572</v>
      </c>
      <c r="N53" s="54">
        <f ca="1">IFERROR(M53/C3,0)</f>
        <v>14267932.198897792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585983696.144768</v>
      </c>
      <c r="H54" s="122">
        <f t="shared" ref="H54:H58" si="4">N10</f>
        <v>15702178.822329</v>
      </c>
      <c r="I54" s="122">
        <f t="shared" si="1"/>
        <v>601685874.96709704</v>
      </c>
      <c r="J54" s="61">
        <f t="shared" si="2"/>
        <v>0.77152059162698927</v>
      </c>
      <c r="K54" s="54">
        <f>D54-G54</f>
        <v>142403581.42913473</v>
      </c>
      <c r="L54" s="54">
        <f t="shared" si="3"/>
        <v>35780687.702264354</v>
      </c>
      <c r="M54" s="54">
        <f t="shared" si="3"/>
        <v>178184269.13139904</v>
      </c>
      <c r="N54" s="54">
        <f ca="1">IFERROR(M54/C3,0)</f>
        <v>16198569.921036275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239306307.47903901</v>
      </c>
      <c r="H55" s="122">
        <f t="shared" si="4"/>
        <v>21077997.699999999</v>
      </c>
      <c r="I55" s="122">
        <f t="shared" si="1"/>
        <v>260384305.179039</v>
      </c>
      <c r="J55" s="61">
        <f t="shared" si="2"/>
        <v>0.47119998309654221</v>
      </c>
      <c r="K55" s="54">
        <f t="shared" si="3"/>
        <v>243005870.99832636</v>
      </c>
      <c r="L55" s="54">
        <f t="shared" si="3"/>
        <v>49208114.399588957</v>
      </c>
      <c r="M55" s="54">
        <f t="shared" si="3"/>
        <v>292213985.39791536</v>
      </c>
      <c r="N55" s="54">
        <f ca="1">IFERROR(M55/C3,0)</f>
        <v>26564907.763446853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241328956.143978</v>
      </c>
      <c r="H56" s="122">
        <f t="shared" si="4"/>
        <v>80974554.165187001</v>
      </c>
      <c r="I56" s="122">
        <f t="shared" si="1"/>
        <v>322303510.309165</v>
      </c>
      <c r="J56" s="61">
        <f t="shared" si="2"/>
        <v>0.51310423113079529</v>
      </c>
      <c r="K56" s="54">
        <f t="shared" si="3"/>
        <v>263863046.85910857</v>
      </c>
      <c r="L56" s="54">
        <f t="shared" si="3"/>
        <v>41977766.644575104</v>
      </c>
      <c r="M56" s="54">
        <f t="shared" si="3"/>
        <v>305840813.50368369</v>
      </c>
      <c r="N56" s="54">
        <f ca="1">IFERROR(M56/C3,0)</f>
        <v>27803710.318516698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967723769.02623403</v>
      </c>
      <c r="H57" s="122">
        <f t="shared" si="4"/>
        <v>70426682.629644006</v>
      </c>
      <c r="I57" s="122">
        <f t="shared" si="1"/>
        <v>1038150451.6558781</v>
      </c>
      <c r="J57" s="61">
        <f t="shared" si="2"/>
        <v>0.89312299541699647</v>
      </c>
      <c r="K57" s="54">
        <f t="shared" si="3"/>
        <v>93521634.02248466</v>
      </c>
      <c r="L57" s="54">
        <f t="shared" si="3"/>
        <v>30710315.159014389</v>
      </c>
      <c r="M57" s="54">
        <f t="shared" si="3"/>
        <v>124231949.181499</v>
      </c>
      <c r="N57" s="54">
        <f ca="1">IFERROR(M57/C3,0)</f>
        <v>11293813.561954455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313237758.666637</v>
      </c>
      <c r="H58" s="122">
        <f t="shared" si="4"/>
        <v>43257460.569945</v>
      </c>
      <c r="I58" s="122">
        <f>G58+H58</f>
        <v>356495219.23658198</v>
      </c>
      <c r="J58" s="61">
        <f>IFERROR(I58/F58,0)</f>
        <v>0.53385193235416251</v>
      </c>
      <c r="K58" s="54">
        <f t="shared" si="3"/>
        <v>249876412.06745178</v>
      </c>
      <c r="L58" s="54">
        <f t="shared" si="3"/>
        <v>61407574.185625486</v>
      </c>
      <c r="M58" s="54">
        <f t="shared" si="3"/>
        <v>311283986.25307733</v>
      </c>
      <c r="N58" s="54">
        <f ca="1">IFERROR(M58/C3,0)</f>
        <v>28298544.204825211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176514768.24000001</v>
      </c>
      <c r="H59" s="122">
        <f>IF(D21="",0,D21)</f>
        <v>0</v>
      </c>
      <c r="I59" s="122">
        <f>G59+H59</f>
        <v>176514768.24000001</v>
      </c>
      <c r="J59" s="61">
        <f>IFERROR(I59/F59,0)</f>
        <v>0.41064348773145348</v>
      </c>
      <c r="K59" s="54">
        <f>D59-G59</f>
        <v>253334416.06128496</v>
      </c>
      <c r="L59" s="54">
        <f>E59-H59</f>
        <v>0</v>
      </c>
      <c r="M59" s="54">
        <f>F59-I59</f>
        <v>253334416.06128496</v>
      </c>
      <c r="N59" s="54">
        <f ca="1">IFERROR(M59/C3,0)</f>
        <v>23030401.460116815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208007924.836685</v>
      </c>
      <c r="H60" s="122">
        <f t="shared" ref="H60:H64" si="5">N15</f>
        <v>59341619.102747001</v>
      </c>
      <c r="I60" s="122">
        <f t="shared" si="1"/>
        <v>267349543.939432</v>
      </c>
      <c r="J60" s="61">
        <f t="shared" si="2"/>
        <v>0.42276419732833198</v>
      </c>
      <c r="K60" s="54">
        <f t="shared" si="3"/>
        <v>306713186.59016305</v>
      </c>
      <c r="L60" s="54">
        <f t="shared" si="3"/>
        <v>58321812.979419075</v>
      </c>
      <c r="M60" s="54">
        <f t="shared" si="3"/>
        <v>365034999.5695821</v>
      </c>
      <c r="N60" s="54">
        <f ca="1">IFERROR(M60/C3,0)</f>
        <v>33184999.9608711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390243033.76374698</v>
      </c>
      <c r="H61" s="122">
        <f t="shared" si="5"/>
        <v>39839667.539916001</v>
      </c>
      <c r="I61" s="122">
        <f t="shared" si="1"/>
        <v>430082701.30366296</v>
      </c>
      <c r="J61" s="61">
        <f t="shared" si="2"/>
        <v>0.55870051070571625</v>
      </c>
      <c r="K61" s="54">
        <f t="shared" si="3"/>
        <v>308602142.47585404</v>
      </c>
      <c r="L61" s="54">
        <f t="shared" si="3"/>
        <v>31106293.086294822</v>
      </c>
      <c r="M61" s="54">
        <f t="shared" si="3"/>
        <v>339708435.56214887</v>
      </c>
      <c r="N61" s="54">
        <f ca="1">IFERROR(M61/C3,0)</f>
        <v>30882585.051104441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242571929.61913601</v>
      </c>
      <c r="H62" s="122">
        <f t="shared" si="5"/>
        <v>35717673.674698003</v>
      </c>
      <c r="I62" s="122">
        <f t="shared" si="1"/>
        <v>278289603.29383403</v>
      </c>
      <c r="J62" s="61">
        <f t="shared" si="2"/>
        <v>0.52485528132812942</v>
      </c>
      <c r="K62" s="54">
        <f t="shared" si="3"/>
        <v>239298434.59823009</v>
      </c>
      <c r="L62" s="54">
        <f t="shared" si="3"/>
        <v>12633554.981367789</v>
      </c>
      <c r="M62" s="54">
        <f t="shared" si="3"/>
        <v>251931989.57959789</v>
      </c>
      <c r="N62" s="54">
        <f ca="1">IFERROR(M62/C3,0)</f>
        <v>22902908.143599808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578866254.54817796</v>
      </c>
      <c r="H63" s="122">
        <f t="shared" si="5"/>
        <v>152878464.51356199</v>
      </c>
      <c r="I63" s="122">
        <f t="shared" si="1"/>
        <v>731744719.06173992</v>
      </c>
      <c r="J63" s="61">
        <f t="shared" si="2"/>
        <v>0.70893657574984748</v>
      </c>
      <c r="K63" s="54">
        <f t="shared" si="3"/>
        <v>127188674.44462252</v>
      </c>
      <c r="L63" s="54">
        <f t="shared" si="3"/>
        <v>173238939.10007432</v>
      </c>
      <c r="M63" s="54">
        <f t="shared" si="3"/>
        <v>300427613.54469681</v>
      </c>
      <c r="N63" s="54">
        <f ca="1">IFERROR(M63/C3,0)</f>
        <v>27311601.231336072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204550145.04754698</v>
      </c>
      <c r="H64" s="122">
        <f t="shared" si="5"/>
        <v>118345266.351788</v>
      </c>
      <c r="I64" s="122">
        <f t="shared" si="1"/>
        <v>322895411.39933497</v>
      </c>
      <c r="J64" s="61">
        <f t="shared" si="2"/>
        <v>0.54717587855052374</v>
      </c>
      <c r="K64" s="54">
        <f t="shared" si="3"/>
        <v>174051952.51999021</v>
      </c>
      <c r="L64" s="54">
        <f t="shared" si="3"/>
        <v>93165292.827695981</v>
      </c>
      <c r="M64" s="54">
        <f t="shared" si="3"/>
        <v>267217245.34768623</v>
      </c>
      <c r="N64" s="54">
        <f ca="1">IFERROR(M64/C3,0)</f>
        <v>24292476.849789657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4897039273.1502924</v>
      </c>
      <c r="H65" s="152">
        <f>SUM(H51:H64)</f>
        <v>801238048.57511795</v>
      </c>
      <c r="I65" s="152">
        <f>SUM(I51:I64)</f>
        <v>5698277321.7254095</v>
      </c>
      <c r="J65" s="153">
        <f>IFERROR(I65/F65,0)</f>
        <v>0.60423598300848147</v>
      </c>
      <c r="K65" s="154">
        <f>SUM(K51:K64)</f>
        <v>3050804533.1973963</v>
      </c>
      <c r="L65" s="154">
        <f>SUM(L51:L64)</f>
        <v>681467602.51562202</v>
      </c>
      <c r="M65" s="154">
        <f>SUM(M51:M64)</f>
        <v>3732272135.7130189</v>
      </c>
      <c r="N65" s="154">
        <f ca="1">IFERROR(M65/C3,0)</f>
        <v>339297466.88300174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333232558.34990001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69903210.420000002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6702702.5199999996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242495426.91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37630269.799999997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823702994.37996805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171446673.319592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9567567.3000000007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43437020.299999997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515499666.95939898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103513938.23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10463243.48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39286487.32</v>
      </c>
    </row>
    <row r="84" spans="2:9" ht="20.100000000000001" customHeight="1" x14ac:dyDescent="0.25">
      <c r="B84" s="57" t="s">
        <v>152</v>
      </c>
      <c r="C84" s="58"/>
      <c r="D84" s="129">
        <f>SUM(D70:D83)</f>
        <v>2406881759.2888589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154117147.753782</v>
      </c>
      <c r="F89" s="61">
        <f t="shared" ref="F89:F94" si="7">IFERROR(E89/D89,0)</f>
        <v>0.5257513771983785</v>
      </c>
      <c r="G89" s="125">
        <f>D89-E89</f>
        <v>139019788.13983515</v>
      </c>
      <c r="H89" s="125">
        <f ca="1">IFERROR(G89/C3,0)</f>
        <v>12638162.558166832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475298994.47468501</v>
      </c>
      <c r="F90" s="61">
        <f t="shared" si="7"/>
        <v>1.0890416585906759</v>
      </c>
      <c r="G90" s="126">
        <f>D90-E90</f>
        <v>-38861149.58106786</v>
      </c>
      <c r="H90" s="126">
        <f ca="1">IFERROR(G90/C3,0)</f>
        <v>-3532831.7800970781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410744426.07412797</v>
      </c>
      <c r="F91" s="61">
        <f t="shared" si="7"/>
        <v>0.36624916350309183</v>
      </c>
      <c r="G91" s="125">
        <f>D91-E91</f>
        <v>710744622.92587209</v>
      </c>
      <c r="H91" s="125">
        <f ca="1">IFERROR(G91/C3,0)</f>
        <v>64613147.538715646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1040160568.3025949</v>
      </c>
      <c r="F94" s="43">
        <f t="shared" si="7"/>
        <v>0.5619258242554247</v>
      </c>
      <c r="G94" s="119">
        <f>SUM(G89:G93)</f>
        <v>810903261.48463941</v>
      </c>
      <c r="H94" s="119">
        <f ca="1">IFERROR(G94/C3,0)</f>
        <v>73718478.316785395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2026-07-20T00:57:45Z</dcterms:modified>
  <dc:language>en-US</dc:language>
</cp:coreProperties>
</file>