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980" tabRatio="500" firstSheet="1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9" i="14" l="1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51" i="8"/>
  <c r="K65" i="8" s="1"/>
  <c r="M51" i="8"/>
  <c r="O51" i="8"/>
  <c r="K52" i="8"/>
  <c r="M52" i="8"/>
  <c r="M65" i="8" s="1"/>
  <c r="O52" i="8"/>
  <c r="K53" i="8"/>
  <c r="M53" i="8"/>
  <c r="O53" i="8"/>
  <c r="K54" i="8"/>
  <c r="M54" i="8"/>
  <c r="O54" i="8"/>
  <c r="K55" i="8"/>
  <c r="M55" i="8"/>
  <c r="O55" i="8"/>
  <c r="K56" i="8"/>
  <c r="M56" i="8"/>
  <c r="O56" i="8"/>
  <c r="K57" i="8"/>
  <c r="M57" i="8"/>
  <c r="O57" i="8"/>
  <c r="K58" i="8"/>
  <c r="M58" i="8"/>
  <c r="O58" i="8"/>
  <c r="K59" i="8"/>
  <c r="M59" i="8"/>
  <c r="O59" i="8"/>
  <c r="K60" i="8"/>
  <c r="M60" i="8"/>
  <c r="O60" i="8"/>
  <c r="K61" i="8"/>
  <c r="M61" i="8"/>
  <c r="O61" i="8"/>
  <c r="K62" i="8"/>
  <c r="M62" i="8"/>
  <c r="O62" i="8"/>
  <c r="K63" i="8"/>
  <c r="M63" i="8"/>
  <c r="O63" i="8"/>
  <c r="K64" i="8"/>
  <c r="M64" i="8"/>
  <c r="O64" i="8"/>
  <c r="K49" i="8"/>
  <c r="L49" i="8"/>
  <c r="M49" i="8"/>
  <c r="N49" i="8"/>
  <c r="O49" i="8"/>
  <c r="P49" i="8"/>
  <c r="G69" i="8"/>
  <c r="G74" i="8" s="1"/>
  <c r="I69" i="8"/>
  <c r="K69" i="8"/>
  <c r="G70" i="8"/>
  <c r="I70" i="8"/>
  <c r="K70" i="8"/>
  <c r="G71" i="8"/>
  <c r="I71" i="8"/>
  <c r="I74" i="8" s="1"/>
  <c r="K71" i="8"/>
  <c r="G72" i="8"/>
  <c r="I72" i="8"/>
  <c r="K72" i="8"/>
  <c r="K74" i="8" s="1"/>
  <c r="G73" i="8"/>
  <c r="I73" i="8"/>
  <c r="K73" i="8"/>
  <c r="G68" i="8"/>
  <c r="H68" i="8"/>
  <c r="I68" i="8"/>
  <c r="J68" i="8"/>
  <c r="K68" i="8"/>
  <c r="L68" i="8"/>
  <c r="I46" i="8"/>
  <c r="G43" i="8"/>
  <c r="I43" i="8"/>
  <c r="K43" i="8"/>
  <c r="G44" i="8"/>
  <c r="I44" i="8"/>
  <c r="K44" i="8"/>
  <c r="G45" i="8"/>
  <c r="G46" i="8" s="1"/>
  <c r="I45" i="8"/>
  <c r="K45" i="8"/>
  <c r="G42" i="8"/>
  <c r="H42" i="8"/>
  <c r="I42" i="8"/>
  <c r="J42" i="8"/>
  <c r="K42" i="8"/>
  <c r="L42" i="8"/>
  <c r="K51" i="7"/>
  <c r="K65" i="7" s="1"/>
  <c r="M51" i="7"/>
  <c r="O51" i="7"/>
  <c r="K52" i="7"/>
  <c r="M52" i="7"/>
  <c r="O52" i="7"/>
  <c r="K53" i="7"/>
  <c r="M53" i="7"/>
  <c r="M65" i="7" s="1"/>
  <c r="O53" i="7"/>
  <c r="K54" i="7"/>
  <c r="M54" i="7"/>
  <c r="O54" i="7"/>
  <c r="O65" i="7" s="1"/>
  <c r="K55" i="7"/>
  <c r="M55" i="7"/>
  <c r="O55" i="7"/>
  <c r="K56" i="7"/>
  <c r="M56" i="7"/>
  <c r="O56" i="7"/>
  <c r="K57" i="7"/>
  <c r="M57" i="7"/>
  <c r="O57" i="7"/>
  <c r="K58" i="7"/>
  <c r="M58" i="7"/>
  <c r="O58" i="7"/>
  <c r="K59" i="7"/>
  <c r="M59" i="7"/>
  <c r="O59" i="7"/>
  <c r="K60" i="7"/>
  <c r="M60" i="7"/>
  <c r="O60" i="7"/>
  <c r="K61" i="7"/>
  <c r="M61" i="7"/>
  <c r="O61" i="7"/>
  <c r="K62" i="7"/>
  <c r="M62" i="7"/>
  <c r="O62" i="7"/>
  <c r="K63" i="7"/>
  <c r="M63" i="7"/>
  <c r="O63" i="7"/>
  <c r="K64" i="7"/>
  <c r="M64" i="7"/>
  <c r="O64" i="7"/>
  <c r="K49" i="7"/>
  <c r="L49" i="7"/>
  <c r="M49" i="7"/>
  <c r="N49" i="7"/>
  <c r="O49" i="7"/>
  <c r="P49" i="7"/>
  <c r="G69" i="7"/>
  <c r="I69" i="7"/>
  <c r="K69" i="7"/>
  <c r="G70" i="7"/>
  <c r="I70" i="7"/>
  <c r="K70" i="7"/>
  <c r="G71" i="7"/>
  <c r="I71" i="7"/>
  <c r="K71" i="7"/>
  <c r="G72" i="7"/>
  <c r="I72" i="7"/>
  <c r="K72" i="7"/>
  <c r="G73" i="7"/>
  <c r="I73" i="7"/>
  <c r="K73" i="7"/>
  <c r="G68" i="7"/>
  <c r="H68" i="7"/>
  <c r="I68" i="7"/>
  <c r="J68" i="7"/>
  <c r="K68" i="7"/>
  <c r="L68" i="7"/>
  <c r="I46" i="7"/>
  <c r="G43" i="7"/>
  <c r="I43" i="7"/>
  <c r="K43" i="7"/>
  <c r="G44" i="7"/>
  <c r="I44" i="7"/>
  <c r="K44" i="7"/>
  <c r="G45" i="7"/>
  <c r="I45" i="7"/>
  <c r="K45" i="7"/>
  <c r="G42" i="7"/>
  <c r="H42" i="7"/>
  <c r="I42" i="7"/>
  <c r="J42" i="7"/>
  <c r="K42" i="7"/>
  <c r="L42" i="7"/>
  <c r="K51" i="6"/>
  <c r="M51" i="6"/>
  <c r="O51" i="6"/>
  <c r="K52" i="6"/>
  <c r="M52" i="6"/>
  <c r="O52" i="6"/>
  <c r="K53" i="6"/>
  <c r="M53" i="6"/>
  <c r="O53" i="6"/>
  <c r="K54" i="6"/>
  <c r="M54" i="6"/>
  <c r="O54" i="6"/>
  <c r="K55" i="6"/>
  <c r="M55" i="6"/>
  <c r="O55" i="6"/>
  <c r="K56" i="6"/>
  <c r="M56" i="6"/>
  <c r="O56" i="6"/>
  <c r="K57" i="6"/>
  <c r="M57" i="6"/>
  <c r="O57" i="6"/>
  <c r="K58" i="6"/>
  <c r="M58" i="6"/>
  <c r="O58" i="6"/>
  <c r="K59" i="6"/>
  <c r="M59" i="6"/>
  <c r="O59" i="6"/>
  <c r="K60" i="6"/>
  <c r="M60" i="6"/>
  <c r="O60" i="6"/>
  <c r="K61" i="6"/>
  <c r="M61" i="6"/>
  <c r="O61" i="6"/>
  <c r="K62" i="6"/>
  <c r="M62" i="6"/>
  <c r="O62" i="6"/>
  <c r="K63" i="6"/>
  <c r="M63" i="6"/>
  <c r="O63" i="6"/>
  <c r="K64" i="6"/>
  <c r="M64" i="6"/>
  <c r="O64" i="6"/>
  <c r="K49" i="6"/>
  <c r="L49" i="6"/>
  <c r="M49" i="6"/>
  <c r="N49" i="6"/>
  <c r="O49" i="6"/>
  <c r="P49" i="6"/>
  <c r="K74" i="6"/>
  <c r="G69" i="6"/>
  <c r="I69" i="6"/>
  <c r="K69" i="6"/>
  <c r="G70" i="6"/>
  <c r="I70" i="6"/>
  <c r="K70" i="6"/>
  <c r="G71" i="6"/>
  <c r="I71" i="6"/>
  <c r="K71" i="6"/>
  <c r="G72" i="6"/>
  <c r="I72" i="6"/>
  <c r="K72" i="6"/>
  <c r="G73" i="6"/>
  <c r="I73" i="6"/>
  <c r="K73" i="6"/>
  <c r="G68" i="6"/>
  <c r="H68" i="6"/>
  <c r="I68" i="6"/>
  <c r="J68" i="6"/>
  <c r="K68" i="6"/>
  <c r="L68" i="6"/>
  <c r="I46" i="6"/>
  <c r="G43" i="6"/>
  <c r="I43" i="6"/>
  <c r="K43" i="6"/>
  <c r="G44" i="6"/>
  <c r="I44" i="6"/>
  <c r="K44" i="6"/>
  <c r="G45" i="6"/>
  <c r="I45" i="6"/>
  <c r="K45" i="6"/>
  <c r="G42" i="6"/>
  <c r="H42" i="6"/>
  <c r="I42" i="6"/>
  <c r="J42" i="6"/>
  <c r="K42" i="6"/>
  <c r="L42" i="6"/>
  <c r="K65" i="11"/>
  <c r="K51" i="11"/>
  <c r="M51" i="11"/>
  <c r="M65" i="11" s="1"/>
  <c r="O51" i="11"/>
  <c r="K52" i="11"/>
  <c r="M52" i="11"/>
  <c r="O52" i="11"/>
  <c r="K53" i="11"/>
  <c r="M53" i="11"/>
  <c r="O53" i="11"/>
  <c r="K54" i="11"/>
  <c r="M54" i="11"/>
  <c r="O54" i="11"/>
  <c r="K55" i="11"/>
  <c r="M55" i="11"/>
  <c r="O55" i="11"/>
  <c r="K56" i="11"/>
  <c r="M56" i="11"/>
  <c r="O56" i="11"/>
  <c r="K57" i="11"/>
  <c r="M57" i="11"/>
  <c r="O57" i="11"/>
  <c r="K58" i="11"/>
  <c r="M58" i="11"/>
  <c r="O58" i="11"/>
  <c r="K59" i="11"/>
  <c r="M59" i="11"/>
  <c r="O59" i="11"/>
  <c r="K60" i="11"/>
  <c r="M60" i="11"/>
  <c r="O60" i="11"/>
  <c r="K61" i="11"/>
  <c r="M61" i="11"/>
  <c r="O61" i="11"/>
  <c r="K62" i="11"/>
  <c r="M62" i="11"/>
  <c r="O62" i="11"/>
  <c r="K63" i="11"/>
  <c r="M63" i="11"/>
  <c r="O63" i="11"/>
  <c r="K64" i="11"/>
  <c r="M64" i="11"/>
  <c r="O64" i="11"/>
  <c r="K49" i="11"/>
  <c r="L49" i="11"/>
  <c r="M49" i="11"/>
  <c r="N49" i="11"/>
  <c r="O49" i="11"/>
  <c r="P49" i="11"/>
  <c r="K49" i="10"/>
  <c r="L49" i="10"/>
  <c r="M49" i="10"/>
  <c r="N49" i="10"/>
  <c r="O49" i="10"/>
  <c r="P49" i="10"/>
  <c r="G69" i="11"/>
  <c r="I69" i="11"/>
  <c r="K69" i="11"/>
  <c r="G70" i="11"/>
  <c r="G74" i="11" s="1"/>
  <c r="I70" i="11"/>
  <c r="K70" i="11"/>
  <c r="G71" i="11"/>
  <c r="I71" i="11"/>
  <c r="K71" i="11"/>
  <c r="G72" i="11"/>
  <c r="I72" i="11"/>
  <c r="K72" i="11"/>
  <c r="G73" i="11"/>
  <c r="I73" i="11"/>
  <c r="K73" i="11"/>
  <c r="G68" i="11"/>
  <c r="H68" i="11"/>
  <c r="I68" i="11"/>
  <c r="J68" i="11"/>
  <c r="K68" i="11"/>
  <c r="L68" i="11"/>
  <c r="I46" i="11"/>
  <c r="G43" i="11"/>
  <c r="G46" i="11" s="1"/>
  <c r="I43" i="11"/>
  <c r="K43" i="11"/>
  <c r="G44" i="11"/>
  <c r="I44" i="11"/>
  <c r="K44" i="11"/>
  <c r="G45" i="11"/>
  <c r="I45" i="11"/>
  <c r="K45" i="11"/>
  <c r="G42" i="11"/>
  <c r="H42" i="11"/>
  <c r="I42" i="11"/>
  <c r="J42" i="11"/>
  <c r="K42" i="11"/>
  <c r="L42" i="11"/>
  <c r="G72" i="10"/>
  <c r="I72" i="10"/>
  <c r="K72" i="10"/>
  <c r="G73" i="10"/>
  <c r="I73" i="10"/>
  <c r="K73" i="10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N13" i="14"/>
  <c r="M13" i="14"/>
  <c r="G57" i="14" s="1"/>
  <c r="N12" i="14"/>
  <c r="H56" i="14" s="1"/>
  <c r="M12" i="14"/>
  <c r="G56" i="14" s="1"/>
  <c r="I56" i="14" s="1"/>
  <c r="N11" i="14"/>
  <c r="H55" i="14" s="1"/>
  <c r="M11" i="14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62" i="14"/>
  <c r="H59" i="14"/>
  <c r="G59" i="14"/>
  <c r="G58" i="14"/>
  <c r="H57" i="14"/>
  <c r="G55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I63" i="13" s="1"/>
  <c r="N17" i="13"/>
  <c r="M17" i="13"/>
  <c r="G62" i="13" s="1"/>
  <c r="N16" i="13"/>
  <c r="H61" i="13" s="1"/>
  <c r="M16" i="13"/>
  <c r="G61" i="13" s="1"/>
  <c r="N15" i="13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N10" i="13"/>
  <c r="H54" i="13" s="1"/>
  <c r="M10" i="13"/>
  <c r="G54" i="13" s="1"/>
  <c r="N9" i="13"/>
  <c r="M9" i="13"/>
  <c r="N8" i="13"/>
  <c r="H51" i="13" s="1"/>
  <c r="M8" i="13"/>
  <c r="G51" i="13" s="1"/>
  <c r="N7" i="13"/>
  <c r="M7" i="13"/>
  <c r="H63" i="13"/>
  <c r="H62" i="13"/>
  <c r="H60" i="13"/>
  <c r="H59" i="13"/>
  <c r="G59" i="13"/>
  <c r="G55" i="13"/>
  <c r="H53" i="13"/>
  <c r="G53" i="13"/>
  <c r="H52" i="13"/>
  <c r="G52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N18" i="12"/>
  <c r="M18" i="12"/>
  <c r="G63" i="12" s="1"/>
  <c r="N17" i="12"/>
  <c r="M17" i="12"/>
  <c r="G62" i="12" s="1"/>
  <c r="I62" i="12" s="1"/>
  <c r="N16" i="12"/>
  <c r="H61" i="12" s="1"/>
  <c r="M16" i="12"/>
  <c r="G61" i="12" s="1"/>
  <c r="N15" i="12"/>
  <c r="H60" i="12" s="1"/>
  <c r="M15" i="12"/>
  <c r="N14" i="12"/>
  <c r="H58" i="12" s="1"/>
  <c r="M14" i="12"/>
  <c r="G58" i="12" s="1"/>
  <c r="I58" i="12" s="1"/>
  <c r="N13" i="12"/>
  <c r="M13" i="12"/>
  <c r="G57" i="12" s="1"/>
  <c r="N12" i="12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M9" i="12"/>
  <c r="N8" i="12"/>
  <c r="H51" i="12" s="1"/>
  <c r="M8" i="12"/>
  <c r="G51" i="12" s="1"/>
  <c r="N7" i="12"/>
  <c r="M7" i="12"/>
  <c r="G64" i="12"/>
  <c r="H63" i="12"/>
  <c r="H62" i="12"/>
  <c r="G60" i="12"/>
  <c r="I60" i="12" s="1"/>
  <c r="H59" i="12"/>
  <c r="G59" i="12"/>
  <c r="H57" i="12"/>
  <c r="H56" i="12"/>
  <c r="H53" i="12"/>
  <c r="G53" i="12"/>
  <c r="H52" i="12"/>
  <c r="G52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N17" i="11"/>
  <c r="H62" i="11" s="1"/>
  <c r="M17" i="11"/>
  <c r="N16" i="11"/>
  <c r="H61" i="11" s="1"/>
  <c r="M16" i="11"/>
  <c r="G61" i="11" s="1"/>
  <c r="I61" i="11" s="1"/>
  <c r="N15" i="11"/>
  <c r="M15" i="11"/>
  <c r="G60" i="11" s="1"/>
  <c r="N14" i="11"/>
  <c r="M14" i="11"/>
  <c r="G58" i="11" s="1"/>
  <c r="N13" i="11"/>
  <c r="H57" i="11" s="1"/>
  <c r="M13" i="11"/>
  <c r="N12" i="11"/>
  <c r="M12" i="11"/>
  <c r="G56" i="11" s="1"/>
  <c r="N11" i="11"/>
  <c r="M11" i="1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I51" i="11" s="1"/>
  <c r="N7" i="11"/>
  <c r="M7" i="11"/>
  <c r="G63" i="11"/>
  <c r="G62" i="11"/>
  <c r="H60" i="11"/>
  <c r="H59" i="11"/>
  <c r="G59" i="11"/>
  <c r="I59" i="11" s="1"/>
  <c r="H58" i="11"/>
  <c r="G57" i="11"/>
  <c r="H56" i="11"/>
  <c r="H55" i="11"/>
  <c r="G55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M18" i="10"/>
  <c r="G63" i="10" s="1"/>
  <c r="N17" i="10"/>
  <c r="H62" i="10" s="1"/>
  <c r="M17" i="10"/>
  <c r="G62" i="10" s="1"/>
  <c r="N16" i="10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M8" i="10"/>
  <c r="G51" i="10" s="1"/>
  <c r="N7" i="10"/>
  <c r="M7" i="10"/>
  <c r="H63" i="10"/>
  <c r="H61" i="10"/>
  <c r="H59" i="10"/>
  <c r="G59" i="10"/>
  <c r="H57" i="10"/>
  <c r="H53" i="10"/>
  <c r="G53" i="10"/>
  <c r="H51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58" i="10" l="1"/>
  <c r="I52" i="10"/>
  <c r="I57" i="10"/>
  <c r="I60" i="10"/>
  <c r="I62" i="10"/>
  <c r="G74" i="6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G74" i="7"/>
  <c r="I74" i="7"/>
  <c r="K74" i="7"/>
  <c r="K46" i="6"/>
  <c r="M65" i="6"/>
  <c r="K65" i="6"/>
  <c r="K46" i="7"/>
  <c r="O65" i="6"/>
  <c r="G46" i="6"/>
  <c r="I74" i="6"/>
  <c r="G46" i="7"/>
  <c r="K46" i="8"/>
  <c r="O65" i="8"/>
  <c r="O65" i="11"/>
  <c r="K46" i="11"/>
  <c r="K74" i="11"/>
  <c r="I74" i="11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N51" i="7" l="1"/>
  <c r="P52" i="7"/>
  <c r="L54" i="7"/>
  <c r="N55" i="7"/>
  <c r="P56" i="7"/>
  <c r="L58" i="7"/>
  <c r="N59" i="7"/>
  <c r="P60" i="7"/>
  <c r="L62" i="7"/>
  <c r="N63" i="7"/>
  <c r="P64" i="7"/>
  <c r="J69" i="7"/>
  <c r="L70" i="7"/>
  <c r="H72" i="7"/>
  <c r="J73" i="7"/>
  <c r="H43" i="7"/>
  <c r="J44" i="7"/>
  <c r="L45" i="7"/>
  <c r="H71" i="7"/>
  <c r="L73" i="7"/>
  <c r="J43" i="7"/>
  <c r="P63" i="7"/>
  <c r="L69" i="7"/>
  <c r="J72" i="7"/>
  <c r="L44" i="7"/>
  <c r="P51" i="7"/>
  <c r="L53" i="7"/>
  <c r="N54" i="7"/>
  <c r="P55" i="7"/>
  <c r="L57" i="7"/>
  <c r="N58" i="7"/>
  <c r="P59" i="7"/>
  <c r="L61" i="7"/>
  <c r="N62" i="7"/>
  <c r="L51" i="7"/>
  <c r="N52" i="7"/>
  <c r="P53" i="7"/>
  <c r="L55" i="7"/>
  <c r="N56" i="7"/>
  <c r="P57" i="7"/>
  <c r="L59" i="7"/>
  <c r="N60" i="7"/>
  <c r="P61" i="7"/>
  <c r="L63" i="7"/>
  <c r="N64" i="7"/>
  <c r="L71" i="7"/>
  <c r="J45" i="7"/>
  <c r="H44" i="7"/>
  <c r="H73" i="7"/>
  <c r="H69" i="7"/>
  <c r="J70" i="7"/>
  <c r="L72" i="7"/>
  <c r="N65" i="7"/>
  <c r="N61" i="7"/>
  <c r="L52" i="7"/>
  <c r="L64" i="7"/>
  <c r="P58" i="7"/>
  <c r="J71" i="7"/>
  <c r="L65" i="7"/>
  <c r="H45" i="7"/>
  <c r="P62" i="7"/>
  <c r="N57" i="7"/>
  <c r="N53" i="7"/>
  <c r="J46" i="7"/>
  <c r="L56" i="7"/>
  <c r="L43" i="7"/>
  <c r="L60" i="7"/>
  <c r="P54" i="7"/>
  <c r="H70" i="7"/>
  <c r="P65" i="7"/>
  <c r="H46" i="7"/>
  <c r="L74" i="7"/>
  <c r="L46" i="7"/>
  <c r="H74" i="7"/>
  <c r="J74" i="7"/>
  <c r="N51" i="6"/>
  <c r="P52" i="6"/>
  <c r="L54" i="6"/>
  <c r="N55" i="6"/>
  <c r="P56" i="6"/>
  <c r="L58" i="6"/>
  <c r="N59" i="6"/>
  <c r="P60" i="6"/>
  <c r="L62" i="6"/>
  <c r="N63" i="6"/>
  <c r="P64" i="6"/>
  <c r="J69" i="6"/>
  <c r="L70" i="6"/>
  <c r="H72" i="6"/>
  <c r="J73" i="6"/>
  <c r="H43" i="6"/>
  <c r="J44" i="6"/>
  <c r="L45" i="6"/>
  <c r="P59" i="6"/>
  <c r="H71" i="6"/>
  <c r="J72" i="6"/>
  <c r="L73" i="6"/>
  <c r="J43" i="6"/>
  <c r="L44" i="6"/>
  <c r="L53" i="6"/>
  <c r="N54" i="6"/>
  <c r="P55" i="6"/>
  <c r="L57" i="6"/>
  <c r="N58" i="6"/>
  <c r="L61" i="6"/>
  <c r="N62" i="6"/>
  <c r="P63" i="6"/>
  <c r="P51" i="6"/>
  <c r="L69" i="6"/>
  <c r="N56" i="6"/>
  <c r="H69" i="6"/>
  <c r="N52" i="6"/>
  <c r="L63" i="6"/>
  <c r="L59" i="6"/>
  <c r="L71" i="6"/>
  <c r="L55" i="6"/>
  <c r="J45" i="6"/>
  <c r="P57" i="6"/>
  <c r="J70" i="6"/>
  <c r="L51" i="6"/>
  <c r="P53" i="6"/>
  <c r="N64" i="6"/>
  <c r="H44" i="6"/>
  <c r="N60" i="6"/>
  <c r="H73" i="6"/>
  <c r="P61" i="6"/>
  <c r="L74" i="6"/>
  <c r="L72" i="6"/>
  <c r="J71" i="6"/>
  <c r="L56" i="6"/>
  <c r="L60" i="6"/>
  <c r="L64" i="6"/>
  <c r="P58" i="6"/>
  <c r="H74" i="6"/>
  <c r="H70" i="6"/>
  <c r="P62" i="6"/>
  <c r="P54" i="6"/>
  <c r="N57" i="6"/>
  <c r="L52" i="6"/>
  <c r="L43" i="6"/>
  <c r="N61" i="6"/>
  <c r="H45" i="6"/>
  <c r="J46" i="6"/>
  <c r="N53" i="6"/>
  <c r="P65" i="6"/>
  <c r="L46" i="6"/>
  <c r="J74" i="6"/>
  <c r="N65" i="6"/>
  <c r="H46" i="6"/>
  <c r="L65" i="6"/>
  <c r="H43" i="8"/>
  <c r="J44" i="8"/>
  <c r="L45" i="8"/>
  <c r="N51" i="8"/>
  <c r="P52" i="8"/>
  <c r="L54" i="8"/>
  <c r="N55" i="8"/>
  <c r="P56" i="8"/>
  <c r="L58" i="8"/>
  <c r="N59" i="8"/>
  <c r="P60" i="8"/>
  <c r="L62" i="8"/>
  <c r="N63" i="8"/>
  <c r="P64" i="8"/>
  <c r="J69" i="8"/>
  <c r="L70" i="8"/>
  <c r="H72" i="8"/>
  <c r="J73" i="8"/>
  <c r="L69" i="8"/>
  <c r="J72" i="8"/>
  <c r="L73" i="8"/>
  <c r="J43" i="8"/>
  <c r="L44" i="8"/>
  <c r="L51" i="8"/>
  <c r="N52" i="8"/>
  <c r="P53" i="8"/>
  <c r="L55" i="8"/>
  <c r="N56" i="8"/>
  <c r="P57" i="8"/>
  <c r="L59" i="8"/>
  <c r="N60" i="8"/>
  <c r="P61" i="8"/>
  <c r="L63" i="8"/>
  <c r="N64" i="8"/>
  <c r="H69" i="8"/>
  <c r="J70" i="8"/>
  <c r="L71" i="8"/>
  <c r="H73" i="8"/>
  <c r="H44" i="8"/>
  <c r="J45" i="8"/>
  <c r="L53" i="8"/>
  <c r="H70" i="8"/>
  <c r="P59" i="8"/>
  <c r="L72" i="8"/>
  <c r="H46" i="8"/>
  <c r="P62" i="8"/>
  <c r="L57" i="8"/>
  <c r="L43" i="8"/>
  <c r="J71" i="8"/>
  <c r="P54" i="8"/>
  <c r="L60" i="8"/>
  <c r="N54" i="8"/>
  <c r="H74" i="8"/>
  <c r="H71" i="8"/>
  <c r="L52" i="8"/>
  <c r="P51" i="8"/>
  <c r="L65" i="8"/>
  <c r="P63" i="8"/>
  <c r="J74" i="8"/>
  <c r="J46" i="8"/>
  <c r="L64" i="8"/>
  <c r="P58" i="8"/>
  <c r="N65" i="8"/>
  <c r="P55" i="8"/>
  <c r="L74" i="8"/>
  <c r="N62" i="8"/>
  <c r="L61" i="8"/>
  <c r="N61" i="8"/>
  <c r="N58" i="8"/>
  <c r="L56" i="8"/>
  <c r="N53" i="8"/>
  <c r="N57" i="8"/>
  <c r="H45" i="8"/>
  <c r="P65" i="8"/>
  <c r="L46" i="8"/>
  <c r="P54" i="11"/>
  <c r="N57" i="11"/>
  <c r="P62" i="11"/>
  <c r="L52" i="11"/>
  <c r="L60" i="11"/>
  <c r="N51" i="11"/>
  <c r="N55" i="11"/>
  <c r="P56" i="11"/>
  <c r="L58" i="11"/>
  <c r="L62" i="11"/>
  <c r="P64" i="11"/>
  <c r="N53" i="11"/>
  <c r="L56" i="11"/>
  <c r="P58" i="11"/>
  <c r="N61" i="11"/>
  <c r="L64" i="11"/>
  <c r="L54" i="11"/>
  <c r="N52" i="11"/>
  <c r="P53" i="11"/>
  <c r="L55" i="11"/>
  <c r="N56" i="11"/>
  <c r="P57" i="11"/>
  <c r="L59" i="11"/>
  <c r="N60" i="11"/>
  <c r="P61" i="11"/>
  <c r="L63" i="11"/>
  <c r="N64" i="11"/>
  <c r="P52" i="11"/>
  <c r="N59" i="11"/>
  <c r="P60" i="11"/>
  <c r="N63" i="11"/>
  <c r="P63" i="11"/>
  <c r="N65" i="11"/>
  <c r="L65" i="11"/>
  <c r="L61" i="11"/>
  <c r="P51" i="11"/>
  <c r="L51" i="11"/>
  <c r="P55" i="11"/>
  <c r="N62" i="11"/>
  <c r="L53" i="11"/>
  <c r="P59" i="11"/>
  <c r="L57" i="11"/>
  <c r="N58" i="11"/>
  <c r="N54" i="11"/>
  <c r="P65" i="11"/>
  <c r="H43" i="11"/>
  <c r="H44" i="11"/>
  <c r="J45" i="11"/>
  <c r="J73" i="11"/>
  <c r="L70" i="11"/>
  <c r="H70" i="11"/>
  <c r="J70" i="11"/>
  <c r="L72" i="11"/>
  <c r="J44" i="11"/>
  <c r="J43" i="11"/>
  <c r="J72" i="11"/>
  <c r="H73" i="11"/>
  <c r="L43" i="11"/>
  <c r="H46" i="11"/>
  <c r="L44" i="11"/>
  <c r="J69" i="11"/>
  <c r="H74" i="11"/>
  <c r="H71" i="11"/>
  <c r="L69" i="11"/>
  <c r="J71" i="11"/>
  <c r="H45" i="11"/>
  <c r="L71" i="11"/>
  <c r="H72" i="11"/>
  <c r="H69" i="11"/>
  <c r="J46" i="11"/>
  <c r="L45" i="11"/>
  <c r="L73" i="11"/>
  <c r="L74" i="11"/>
  <c r="L46" i="11"/>
  <c r="J74" i="11"/>
  <c r="L73" i="10"/>
  <c r="J72" i="10"/>
  <c r="H73" i="10"/>
  <c r="J73" i="10"/>
  <c r="H72" i="10"/>
  <c r="L72" i="10"/>
  <c r="D73" i="14"/>
  <c r="D72" i="14"/>
  <c r="D71" i="14"/>
  <c r="D70" i="14"/>
  <c r="D69" i="14"/>
  <c r="D74" i="14" s="1"/>
  <c r="D45" i="14"/>
  <c r="D43" i="14"/>
  <c r="D64" i="14"/>
  <c r="D63" i="14"/>
  <c r="D62" i="14"/>
  <c r="D61" i="14"/>
  <c r="D60" i="14"/>
  <c r="D59" i="14"/>
  <c r="F59" i="14" s="1"/>
  <c r="D58" i="14"/>
  <c r="F58" i="14" s="1"/>
  <c r="D57" i="14"/>
  <c r="D56" i="14"/>
  <c r="F56" i="14" s="1"/>
  <c r="D55" i="14"/>
  <c r="D54" i="14"/>
  <c r="D53" i="14"/>
  <c r="D52" i="14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F56" i="13" s="1"/>
  <c r="D55" i="13"/>
  <c r="F55" i="13" s="1"/>
  <c r="D54" i="13"/>
  <c r="D53" i="13"/>
  <c r="F53" i="13" s="1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F55" i="12" s="1"/>
  <c r="E54" i="12"/>
  <c r="E65" i="12" s="1"/>
  <c r="E53" i="12"/>
  <c r="E52" i="12"/>
  <c r="E51" i="12"/>
  <c r="F51" i="12" s="1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F53" i="12" s="1"/>
  <c r="D52" i="12"/>
  <c r="D65" i="12" s="1"/>
  <c r="D51" i="12"/>
  <c r="F41" i="12"/>
  <c r="D73" i="11"/>
  <c r="D72" i="11"/>
  <c r="D71" i="11"/>
  <c r="D70" i="11"/>
  <c r="D69" i="11"/>
  <c r="D74" i="11" s="1"/>
  <c r="D45" i="11"/>
  <c r="D44" i="11"/>
  <c r="D43" i="11"/>
  <c r="E64" i="11"/>
  <c r="E63" i="11"/>
  <c r="E62" i="11"/>
  <c r="E61" i="11"/>
  <c r="E60" i="11"/>
  <c r="E59" i="11"/>
  <c r="E58" i="11"/>
  <c r="E57" i="11"/>
  <c r="E56" i="11"/>
  <c r="E55" i="11"/>
  <c r="E54" i="11"/>
  <c r="F54" i="11" s="1"/>
  <c r="J54" i="11" s="1"/>
  <c r="E53" i="11"/>
  <c r="E52" i="11"/>
  <c r="F52" i="11" s="1"/>
  <c r="J52" i="11" s="1"/>
  <c r="E51" i="11"/>
  <c r="D64" i="11"/>
  <c r="D63" i="11"/>
  <c r="F63" i="11" s="1"/>
  <c r="J63" i="11" s="1"/>
  <c r="D62" i="11"/>
  <c r="D61" i="11"/>
  <c r="D60" i="11"/>
  <c r="D59" i="11"/>
  <c r="D58" i="11"/>
  <c r="D57" i="11"/>
  <c r="D56" i="11"/>
  <c r="D55" i="11"/>
  <c r="F55" i="11" s="1"/>
  <c r="J55" i="11" s="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F53" i="10" s="1"/>
  <c r="D52" i="10"/>
  <c r="D51" i="10"/>
  <c r="F41" i="10"/>
  <c r="D73" i="9"/>
  <c r="D72" i="9"/>
  <c r="D71" i="9"/>
  <c r="D70" i="9"/>
  <c r="D69" i="9"/>
  <c r="D45" i="9"/>
  <c r="D44" i="9"/>
  <c r="D43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D59" i="9"/>
  <c r="D58" i="9"/>
  <c r="F58" i="9" s="1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F52" i="8" s="1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F69" i="14" s="1"/>
  <c r="E65" i="14"/>
  <c r="F64" i="14"/>
  <c r="F63" i="14"/>
  <c r="F62" i="14"/>
  <c r="F61" i="14"/>
  <c r="F60" i="14"/>
  <c r="F57" i="14"/>
  <c r="F55" i="14"/>
  <c r="F54" i="14"/>
  <c r="F53" i="14"/>
  <c r="F52" i="14"/>
  <c r="E73" i="13"/>
  <c r="E72" i="13"/>
  <c r="E70" i="13"/>
  <c r="E69" i="13"/>
  <c r="F69" i="13" s="1"/>
  <c r="F64" i="13"/>
  <c r="F60" i="13"/>
  <c r="F59" i="13"/>
  <c r="F54" i="13"/>
  <c r="F52" i="13"/>
  <c r="F51" i="13"/>
  <c r="E45" i="13"/>
  <c r="E73" i="12"/>
  <c r="F73" i="12" s="1"/>
  <c r="E72" i="12"/>
  <c r="E70" i="12"/>
  <c r="E69" i="12"/>
  <c r="F64" i="12"/>
  <c r="F63" i="12"/>
  <c r="F61" i="12"/>
  <c r="F59" i="12"/>
  <c r="F57" i="12"/>
  <c r="F56" i="12"/>
  <c r="D46" i="12"/>
  <c r="E73" i="11"/>
  <c r="E72" i="11"/>
  <c r="E70" i="11"/>
  <c r="E69" i="11"/>
  <c r="F64" i="11"/>
  <c r="J64" i="11" s="1"/>
  <c r="F62" i="11"/>
  <c r="J62" i="11" s="1"/>
  <c r="F61" i="11"/>
  <c r="J61" i="11" s="1"/>
  <c r="F56" i="11"/>
  <c r="J56" i="11" s="1"/>
  <c r="E73" i="10"/>
  <c r="E72" i="10"/>
  <c r="E70" i="10"/>
  <c r="E69" i="10"/>
  <c r="F61" i="10"/>
  <c r="F59" i="10"/>
  <c r="F58" i="10"/>
  <c r="E45" i="10"/>
  <c r="E73" i="9"/>
  <c r="E72" i="9"/>
  <c r="E70" i="9"/>
  <c r="E69" i="9"/>
  <c r="F64" i="9"/>
  <c r="F56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F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F58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I70" i="10" l="1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J53" i="10"/>
  <c r="K53" i="10"/>
  <c r="L53" i="10" s="1"/>
  <c r="O53" i="10"/>
  <c r="P53" i="10" s="1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J51" i="12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J51" i="13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I45" i="14"/>
  <c r="J45" i="14" s="1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G44" i="13"/>
  <c r="H44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J53" i="13"/>
  <c r="K53" i="13"/>
  <c r="L53" i="13" s="1"/>
  <c r="O53" i="13"/>
  <c r="P53" i="13" s="1"/>
  <c r="M53" i="13"/>
  <c r="N53" i="13" s="1"/>
  <c r="J61" i="13"/>
  <c r="K61" i="13"/>
  <c r="L61" i="13" s="1"/>
  <c r="O61" i="13"/>
  <c r="P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J64" i="12"/>
  <c r="O64" i="12"/>
  <c r="P64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G43" i="12"/>
  <c r="I43" i="12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I44" i="12"/>
  <c r="J44" i="12" s="1"/>
  <c r="K44" i="12"/>
  <c r="L44" i="12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J53" i="11" s="1"/>
  <c r="F70" i="11"/>
  <c r="F58" i="11"/>
  <c r="J58" i="11" s="1"/>
  <c r="F56" i="10"/>
  <c r="F64" i="10"/>
  <c r="F51" i="11"/>
  <c r="J51" i="11" s="1"/>
  <c r="F59" i="11"/>
  <c r="J59" i="11" s="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J60" i="11" s="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F73" i="9"/>
  <c r="F69" i="8"/>
  <c r="F54" i="7"/>
  <c r="L52" i="3"/>
  <c r="F52" i="10"/>
  <c r="K58" i="3"/>
  <c r="F54" i="3"/>
  <c r="F57" i="7"/>
  <c r="I54" i="9"/>
  <c r="I63" i="9"/>
  <c r="J63" i="9" s="1"/>
  <c r="F68" i="3"/>
  <c r="F60" i="3"/>
  <c r="G66" i="3"/>
  <c r="H66" i="3" s="1"/>
  <c r="I62" i="9"/>
  <c r="F65" i="14"/>
  <c r="E65" i="7"/>
  <c r="D74" i="7"/>
  <c r="I55" i="8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54" i="7"/>
  <c r="I52" i="7"/>
  <c r="I61" i="7"/>
  <c r="F69" i="7"/>
  <c r="D46" i="7"/>
  <c r="D65" i="7"/>
  <c r="F51" i="7"/>
  <c r="I51" i="9"/>
  <c r="I53" i="7"/>
  <c r="J53" i="7" s="1"/>
  <c r="E44" i="13"/>
  <c r="K44" i="13" s="1"/>
  <c r="L44" i="13" s="1"/>
  <c r="K50" i="3"/>
  <c r="K49" i="3"/>
  <c r="I62" i="7"/>
  <c r="J62" i="7" s="1"/>
  <c r="E44" i="8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J60" i="8" s="1"/>
  <c r="I57" i="9"/>
  <c r="J57" i="9" s="1"/>
  <c r="I57" i="7"/>
  <c r="I59" i="7"/>
  <c r="I61" i="9"/>
  <c r="G65" i="12"/>
  <c r="E43" i="12" s="1"/>
  <c r="K43" i="12" s="1"/>
  <c r="I62" i="8"/>
  <c r="I58" i="9"/>
  <c r="J58" i="9" s="1"/>
  <c r="E44" i="11"/>
  <c r="E45" i="1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I63" i="8"/>
  <c r="J63" i="8" s="1"/>
  <c r="I53" i="9"/>
  <c r="J53" i="9" s="1"/>
  <c r="I58" i="7"/>
  <c r="E71" i="8"/>
  <c r="E74" i="8" s="1"/>
  <c r="F74" i="8" s="1"/>
  <c r="F69" i="10"/>
  <c r="I60" i="7"/>
  <c r="I64" i="7"/>
  <c r="I54" i="8"/>
  <c r="J54" i="8" s="1"/>
  <c r="I51" i="8"/>
  <c r="I53" i="8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71" i="10" l="1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I74" i="10"/>
  <c r="J74" i="10" s="1"/>
  <c r="J69" i="10"/>
  <c r="G74" i="10"/>
  <c r="H74" i="10" s="1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K46" i="10"/>
  <c r="L46" i="10" s="1"/>
  <c r="L43" i="10"/>
  <c r="H43" i="13"/>
  <c r="G46" i="13"/>
  <c r="H46" i="13" s="1"/>
  <c r="L43" i="12"/>
  <c r="K46" i="12"/>
  <c r="L46" i="12" s="1"/>
  <c r="H43" i="14"/>
  <c r="G46" i="14"/>
  <c r="H46" i="14" s="1"/>
  <c r="K43" i="13"/>
  <c r="J69" i="13"/>
  <c r="H43" i="12"/>
  <c r="G46" i="12"/>
  <c r="H46" i="12" s="1"/>
  <c r="M63" i="13"/>
  <c r="N63" i="13" s="1"/>
  <c r="O63" i="13"/>
  <c r="P63" i="13" s="1"/>
  <c r="K63" i="13"/>
  <c r="L63" i="13" s="1"/>
  <c r="L69" i="13"/>
  <c r="G45" i="14"/>
  <c r="H45" i="14" s="1"/>
  <c r="G74" i="14"/>
  <c r="H74" i="14" s="1"/>
  <c r="H69" i="14"/>
  <c r="I43" i="13"/>
  <c r="G74" i="12"/>
  <c r="H74" i="12" s="1"/>
  <c r="H69" i="12"/>
  <c r="L69" i="14"/>
  <c r="K74" i="14"/>
  <c r="L74" i="14" s="1"/>
  <c r="I71" i="13"/>
  <c r="J71" i="13" s="1"/>
  <c r="J54" i="12"/>
  <c r="K54" i="12"/>
  <c r="L54" i="12" s="1"/>
  <c r="M54" i="12"/>
  <c r="N54" i="12" s="1"/>
  <c r="O54" i="12"/>
  <c r="P54" i="12" s="1"/>
  <c r="J43" i="12"/>
  <c r="I46" i="12"/>
  <c r="J46" i="12" s="1"/>
  <c r="J62" i="13"/>
  <c r="K62" i="13"/>
  <c r="L62" i="13" s="1"/>
  <c r="M62" i="13"/>
  <c r="N62" i="13" s="1"/>
  <c r="O62" i="13"/>
  <c r="P62" i="13" s="1"/>
  <c r="L69" i="12"/>
  <c r="K74" i="12"/>
  <c r="L74" i="12" s="1"/>
  <c r="J69" i="14"/>
  <c r="I74" i="14"/>
  <c r="J74" i="14" s="1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M65" i="12"/>
  <c r="N65" i="12" s="1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I74" i="12"/>
  <c r="J74" i="12" s="1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I74" i="9"/>
  <c r="J74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J65" i="10" s="1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K74" i="10" l="1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O65" i="9"/>
  <c r="P65" i="9" s="1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K65" i="9" l="1"/>
  <c r="L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I54" i="4" l="1"/>
  <c r="I58" i="4"/>
  <c r="E67" i="5"/>
  <c r="E67" i="4"/>
  <c r="F67" i="4" s="1"/>
  <c r="E43" i="5"/>
  <c r="G43" i="5" s="1"/>
  <c r="H43" i="5" s="1"/>
  <c r="E41" i="4"/>
  <c r="F41" i="4" s="1"/>
  <c r="G66" i="4"/>
  <c r="H66" i="4" s="1"/>
  <c r="E70" i="5"/>
  <c r="M54" i="4"/>
  <c r="N54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M58" i="4"/>
  <c r="N58" i="4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J58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7" i="4" l="1"/>
  <c r="H67" i="4" s="1"/>
  <c r="M50" i="4"/>
  <c r="N50" i="4" s="1"/>
  <c r="L61" i="4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J65" i="6" l="1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sharedStrings.xml><?xml version="1.0" encoding="utf-8"?>
<sst xmlns="http://schemas.openxmlformats.org/spreadsheetml/2006/main" count="1843" uniqueCount="193">
  <si>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</si>
  <si>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</si>
  <si>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</si>
  <si>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</si>
  <si>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</si>
  <si>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</si>
  <si>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</si>
  <si>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</si>
  <si>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</si>
  <si>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</si>
  <si>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</si>
  <si>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</si>
  <si>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</si>
  <si>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</si>
  <si>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</si>
  <si>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</si>
  <si>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</si>
  <si>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</si>
  <si>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</si>
  <si>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</si>
  <si>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</si>
  <si>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</si>
  <si>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</si>
  <si>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</si>
  <si>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</si>
  <si>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</si>
  <si>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</si>
  <si>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</si>
  <si>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</si>
  <si>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</si>
  <si>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</si>
  <si>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</si>
  <si>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</si>
  <si>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</si>
  <si>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</si>
  <si>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</si>
  <si>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</si>
  <si>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</si>
  <si>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</si>
  <si>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</si>
  <si>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</si>
  <si>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</si>
  <si>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</si>
  <si>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</si>
  <si>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</si>
  <si>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</si>
  <si>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</si>
  <si>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</si>
  <si>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</si>
  <si>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</si>
  <si>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</si>
  <si>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</si>
  <si>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</si>
  <si>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</si>
  <si>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</si>
  <si>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</si>
  <si>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</si>
  <si>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</si>
  <si>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</si>
  <si>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</si>
  <si>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</si>
  <si>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</si>
  <si>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</si>
  <si>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</si>
  <si>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</si>
  <si>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</si>
  <si>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</si>
  <si>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</si>
  <si>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</si>
  <si>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</si>
  <si>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</si>
  <si>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</si>
  <si>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</si>
  <si>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</si>
  <si>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</si>
  <si>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</si>
  <si>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</si>
  <si>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</si>
  <si>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</si>
  <si>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</si>
  <si>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</si>
  <si>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</si>
  <si>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</si>
  <si>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</si>
  <si>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</si>
  <si>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</si>
  <si>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</si>
  <si>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</si>
  <si>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</si>
  <si>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</si>
  <si>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</si>
  <si>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</si>
  <si>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</si>
  <si>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</si>
  <si>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</si>
  <si>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</si>
  <si>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</si>
  <si>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</si>
  <si>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</si>
  <si>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</si>
  <si>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</si>
  <si>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</si>
  <si>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</si>
  <si>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</si>
  <si>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</si>
  <si>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</si>
  <si>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</si>
  <si>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</si>
  <si>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</si>
  <si>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</si>
  <si>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</si>
  <si>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</si>
  <si>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</si>
  <si>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</si>
  <si>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</si>
  <si>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</si>
  <si>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</si>
  <si>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</si>
  <si>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</si>
  <si>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</si>
  <si>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</si>
  <si>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</si>
  <si>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</si>
  <si>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</si>
  <si>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</si>
  <si>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</si>
  <si>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</si>
  <si>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</si>
  <si>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</si>
  <si>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</si>
  <si>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</si>
  <si>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</si>
  <si>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</si>
  <si>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</si>
  <si>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</si>
  <si>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</si>
  <si>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</si>
  <si>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</si>
  <si>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</si>
  <si>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</si>
  <si>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</si>
  <si>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</si>
  <si>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</si>
  <si>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</si>
  <si>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</si>
  <si>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</si>
  <si>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</si>
  <si>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</si>
  <si>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</si>
  <si>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</si>
  <si>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</si>
  <si>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</si>
  <si>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</si>
  <si>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</si>
  <si>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</si>
  <si>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</si>
  <si>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</si>
  <si>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</si>
  <si>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</si>
  <si>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</si>
  <si>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</si>
  <si>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</si>
  <si>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</si>
  <si>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</si>
  <si>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</si>
  <si>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</si>
  <si>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</si>
  <si>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</si>
  <si>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</si>
  <si>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</si>
  <si>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</si>
  <si>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</si>
  <si>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</si>
  <si>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</si>
  <si>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</si>
  <si>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</si>
  <si>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</si>
  <si>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</si>
  <si>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</si>
  <si>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</si>
  <si>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</si>
  <si>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</si>
  <si>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</si>
  <si>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</si>
  <si>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</si>
  <si>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</si>
  <si>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</si>
  <si>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</si>
  <si>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</si>
  <si>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</si>
  <si>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</si>
  <si>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</si>
  <si>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DATA PENCAPAIAN — GLOBAL — 5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</si>
</sst>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4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7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on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on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on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4" t="s">
        <v>0</v>
      </c>
      <c r="C1" s="234"/>
    </row>
    <row r="3" spans="2:3" x14ac:dyDescent="0.25">
      <c r="B3" s="235" t="s">
        <v>1</v>
      </c>
      <c r="C3" s="235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6" t="s">
        <v>14</v>
      </c>
      <c r="C11" s="236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35" t="s">
        <v>28</v>
      </c>
      <c r="C3" s="235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37" t="s">
        <v>102</v>
      </c>
      <c r="C29" s="237"/>
      <c r="D29" s="237"/>
      <c r="E29" s="237"/>
      <c r="F29" s="237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39" t="s">
        <v>146</v>
      </c>
      <c r="C44" s="240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1" t="s">
        <v>41</v>
      </c>
      <c r="C47" s="241" t="s">
        <v>42</v>
      </c>
      <c r="D47" s="242" t="s">
        <v>138</v>
      </c>
      <c r="E47" s="243"/>
      <c r="F47" s="244"/>
      <c r="G47" s="101" t="s">
        <v>139</v>
      </c>
      <c r="H47" s="101"/>
      <c r="I47" s="101"/>
      <c r="J47" s="241" t="s">
        <v>140</v>
      </c>
      <c r="K47" s="102" t="s">
        <v>148</v>
      </c>
      <c r="L47" s="102"/>
      <c r="M47" s="102"/>
      <c r="N47" s="238" t="s">
        <v>149</v>
      </c>
    </row>
    <row r="48" spans="2:14" ht="15.75" x14ac:dyDescent="0.25">
      <c r="B48" s="241"/>
      <c r="C48" s="241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1"/>
      <c r="K48" s="104" t="s">
        <v>143</v>
      </c>
      <c r="L48" s="104" t="s">
        <v>111</v>
      </c>
      <c r="M48" s="104" t="s">
        <v>146</v>
      </c>
      <c r="N48" s="238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49" t="s">
        <v>146</v>
      </c>
      <c r="C44" s="250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1" t="s">
        <v>41</v>
      </c>
      <c r="C47" s="251" t="s">
        <v>42</v>
      </c>
      <c r="D47" s="246" t="s">
        <v>138</v>
      </c>
      <c r="E47" s="247"/>
      <c r="F47" s="248"/>
      <c r="G47" s="70" t="s">
        <v>139</v>
      </c>
      <c r="H47" s="70"/>
      <c r="I47" s="70"/>
      <c r="J47" s="251" t="s">
        <v>140</v>
      </c>
      <c r="K47" s="35" t="s">
        <v>148</v>
      </c>
      <c r="L47" s="35"/>
      <c r="M47" s="35"/>
      <c r="N47" s="245" t="s">
        <v>149</v>
      </c>
    </row>
    <row r="48" spans="2:17" ht="15.75" x14ac:dyDescent="0.25">
      <c r="B48" s="251"/>
      <c r="C48" s="251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1"/>
      <c r="K48" s="34" t="s">
        <v>143</v>
      </c>
      <c r="L48" s="34" t="s">
        <v>111</v>
      </c>
      <c r="M48" s="34" t="s">
        <v>146</v>
      </c>
      <c r="N48" s="245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52" t="s">
        <v>180</v>
      </c>
      <c r="C41" s="253"/>
      <c r="D41" s="254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49" t="s">
        <v>146</v>
      </c>
      <c r="C46" s="250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  <c r="Q48"/>
      <c r="R48"/>
    </row>
    <row r="49" spans="2:18" s="148" customFormat="1" ht="33.950000000000003" customHeight="1" x14ac:dyDescent="0.25">
      <c r="B49" s="260" t="s">
        <v>41</v>
      </c>
      <c r="C49" s="260" t="s">
        <v>42</v>
      </c>
      <c r="D49" s="257" t="s">
        <v>138</v>
      </c>
      <c r="E49" s="258"/>
      <c r="F49" s="259"/>
      <c r="G49" s="149" t="s">
        <v>139</v>
      </c>
      <c r="H49" s="149"/>
      <c r="I49" s="149"/>
      <c r="J49" s="257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8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60"/>
      <c r="C50" s="260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57"/>
      <c r="K50" s="265"/>
      <c r="L50" s="265"/>
      <c r="M50" s="267"/>
      <c r="N50" s="202"/>
      <c r="O50" s="196"/>
      <c r="P50" s="269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55" t="s">
        <v>145</v>
      </c>
      <c r="C67" s="256"/>
      <c r="D67" s="256"/>
      <c r="E67" s="256"/>
      <c r="F67" s="256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1" t="s">
        <v>41</v>
      </c>
      <c r="C78" s="251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1"/>
      <c r="C79" s="251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78:B79"/>
    <mergeCell ref="C78:C79"/>
    <mergeCell ref="K48:P48"/>
    <mergeCell ref="K49:K50"/>
    <mergeCell ref="L49:L50"/>
    <mergeCell ref="M49:M50"/>
    <mergeCell ref="P49:P50"/>
    <mergeCell ref="B41:D41"/>
    <mergeCell ref="B48:J48"/>
    <mergeCell ref="B67:F67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23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0" t="s">
        <v>181</v>
      </c>
      <c r="C41" s="271"/>
      <c r="D41" s="272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-2223210.9994953405</v>
      </c>
      <c r="I43" s="218">
        <f>D43*$J$41-E43</f>
        <v>290830113.6116066</v>
      </c>
      <c r="J43" s="218">
        <f ca="1">IFERROR(I43/$C$3,0)</f>
        <v>12644787.548330722</v>
      </c>
      <c r="K43" s="198">
        <f>D43*$L$41-E43</f>
        <v>632794080.21160698</v>
      </c>
      <c r="L43" s="198">
        <f ca="1">IFERROR(K43/$C$3,0)</f>
        <v>27512786.096156824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17741775.96933281</v>
      </c>
      <c r="I44" s="218">
        <f>D44*$J$41-E44</f>
        <v>481824088.50567269</v>
      </c>
      <c r="J44" s="218">
        <f ca="1">IFERROR(I44/$C$3,0)</f>
        <v>20948873.413290117</v>
      </c>
      <c r="K44" s="198">
        <f>D44*$L$41-E44</f>
        <v>555587329.71669078</v>
      </c>
      <c r="L44" s="198">
        <f ca="1">IFERROR(K44/$C$3,0)</f>
        <v>24155970.857247423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-2979363.3739440339</v>
      </c>
      <c r="I45" s="218">
        <f>D45*$J$41-E45</f>
        <v>20623578.569499731</v>
      </c>
      <c r="J45" s="218">
        <f ca="1">IFERROR(I45/$C$3,0)</f>
        <v>896677.32910868397</v>
      </c>
      <c r="K45" s="198">
        <f>D45*$L$41-E45</f>
        <v>109772514.73971272</v>
      </c>
      <c r="L45" s="198">
        <f ca="1">IFERROR(K45/$C$3,0)</f>
        <v>4772718.0321614221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12539201.595893435</v>
      </c>
      <c r="I46" s="199">
        <f>I43+I44+I45</f>
        <v>793277780.68677902</v>
      </c>
      <c r="J46" s="199">
        <f ca="1">IFERROR(I46/$C$3,0)</f>
        <v>34490338.290729523</v>
      </c>
      <c r="K46" s="199">
        <f>K43+K44+K45</f>
        <v>1298153924.6680105</v>
      </c>
      <c r="L46" s="199">
        <f ca="1">IFERROR(K46/$C$3,0)</f>
        <v>56441474.98556567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22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4497771.1045433851</v>
      </c>
      <c r="M51" s="193">
        <f t="shared" ref="M51:M64" si="5">F51*$J$41-I51</f>
        <v>127696429.36553055</v>
      </c>
      <c r="N51" s="193">
        <f t="shared" ref="N51:N65" ca="1" si="6">IFERROR(M51/$C$3,0)</f>
        <v>5552018.6680665454</v>
      </c>
      <c r="O51" s="198">
        <f t="shared" ref="O51:O64" si="7">F51*$L$41-I51</f>
        <v>151944123.3265633</v>
      </c>
      <c r="P51" s="198">
        <f t="shared" ref="P51:P65" ca="1" si="8">IFERROR(O51/$C$3,0)</f>
        <v>6606266.2315897085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2664205.1950986953</v>
      </c>
      <c r="M52" s="193">
        <f t="shared" si="5"/>
        <v>98613177.237269998</v>
      </c>
      <c r="N52" s="193">
        <f t="shared" ca="1" si="6"/>
        <v>4287529.4450986953</v>
      </c>
      <c r="O52" s="198">
        <f t="shared" si="7"/>
        <v>135949634.98727</v>
      </c>
      <c r="P52" s="198">
        <f t="shared" ca="1" si="8"/>
        <v>5910853.6950986953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859047.62608695682</v>
      </c>
      <c r="M53" s="193">
        <f t="shared" si="5"/>
        <v>31831758.799999982</v>
      </c>
      <c r="N53" s="193">
        <f t="shared" ca="1" si="6"/>
        <v>1383989.5130434774</v>
      </c>
      <c r="O53" s="198">
        <f t="shared" si="7"/>
        <v>43905422.199999988</v>
      </c>
      <c r="P53" s="198">
        <f t="shared" ca="1" si="8"/>
        <v>1908931.3999999994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-4613397.276859154</v>
      </c>
      <c r="M54" s="193">
        <f t="shared" si="5"/>
        <v>-73228422.42689395</v>
      </c>
      <c r="N54" s="193">
        <f t="shared" ca="1" si="6"/>
        <v>-3183844.4533432154</v>
      </c>
      <c r="O54" s="198">
        <f t="shared" si="7"/>
        <v>-40348707.486027122</v>
      </c>
      <c r="P54" s="198">
        <f t="shared" ca="1" si="8"/>
        <v>-1754291.6298272661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3565265.9866249459</v>
      </c>
      <c r="M55" s="193">
        <f t="shared" si="5"/>
        <v>106397747.65194988</v>
      </c>
      <c r="N55" s="193">
        <f t="shared" ca="1" si="6"/>
        <v>4625989.0283456473</v>
      </c>
      <c r="O55" s="198">
        <f t="shared" si="7"/>
        <v>130794377.61152613</v>
      </c>
      <c r="P55" s="198">
        <f t="shared" ca="1" si="8"/>
        <v>5686712.0700663533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1094420.9496816655</v>
      </c>
      <c r="M56" s="193">
        <f t="shared" si="5"/>
        <v>52929593.148810923</v>
      </c>
      <c r="N56" s="193">
        <f t="shared" ca="1" si="6"/>
        <v>2301286.658643953</v>
      </c>
      <c r="O56" s="198">
        <f t="shared" si="7"/>
        <v>80687504.454943657</v>
      </c>
      <c r="P56" s="198">
        <f t="shared" ca="1" si="8"/>
        <v>3508152.3676062459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-5673296.8609850099</v>
      </c>
      <c r="M57" s="193">
        <f t="shared" si="5"/>
        <v>-77801481.735697389</v>
      </c>
      <c r="N57" s="193">
        <f t="shared" ca="1" si="6"/>
        <v>-3382673.1189433648</v>
      </c>
      <c r="O57" s="198">
        <f t="shared" si="7"/>
        <v>-25117135.668739557</v>
      </c>
      <c r="P57" s="198">
        <f t="shared" ca="1" si="8"/>
        <v>-1092049.37690172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2343807.9102300019</v>
      </c>
      <c r="M58" s="193">
        <f t="shared" si="5"/>
        <v>82361005.085290074</v>
      </c>
      <c r="N58" s="193">
        <f t="shared" ca="1" si="6"/>
        <v>3580913.2645778293</v>
      </c>
      <c r="O58" s="198">
        <f t="shared" si="7"/>
        <v>110814428.23529005</v>
      </c>
      <c r="P58" s="198">
        <f t="shared" ca="1" si="8"/>
        <v>4818018.6189256543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2747772.7726097833</v>
      </c>
      <c r="M59" s="193">
        <f t="shared" si="5"/>
        <v>83405456.970024943</v>
      </c>
      <c r="N59" s="193">
        <f t="shared" ca="1" si="6"/>
        <v>3626324.2160880412</v>
      </c>
      <c r="O59" s="198">
        <f t="shared" si="7"/>
        <v>103612140.17002499</v>
      </c>
      <c r="P59" s="198">
        <f t="shared" ca="1" si="8"/>
        <v>4504875.6595663037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928859.90154264541</v>
      </c>
      <c r="M60" s="193">
        <f t="shared" si="5"/>
        <v>48487862.696380615</v>
      </c>
      <c r="N60" s="193">
        <f t="shared" ca="1" si="6"/>
        <v>2108167.9433208965</v>
      </c>
      <c r="O60" s="198">
        <f t="shared" si="7"/>
        <v>75611947.657280385</v>
      </c>
      <c r="P60" s="198">
        <f t="shared" ca="1" si="8"/>
        <v>3287475.9850991471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4704305.9889050331</v>
      </c>
      <c r="M61" s="193">
        <f t="shared" si="5"/>
        <v>142717597.57534701</v>
      </c>
      <c r="N61" s="193">
        <f t="shared" ca="1" si="6"/>
        <v>6205112.9380585654</v>
      </c>
      <c r="O61" s="198">
        <f t="shared" si="7"/>
        <v>177236157.40587825</v>
      </c>
      <c r="P61" s="198">
        <f t="shared" ca="1" si="8"/>
        <v>7705919.8872120976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3188852.6253126729</v>
      </c>
      <c r="M62" s="193">
        <f t="shared" si="5"/>
        <v>95858969.272182167</v>
      </c>
      <c r="N62" s="193">
        <f t="shared" ca="1" si="6"/>
        <v>4167781.2727035726</v>
      </c>
      <c r="O62" s="198">
        <f t="shared" si="7"/>
        <v>118374328.16217285</v>
      </c>
      <c r="P62" s="198">
        <f t="shared" ca="1" si="8"/>
        <v>5146709.9200944724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-2465656.7711424464</v>
      </c>
      <c r="M63" s="193">
        <f t="shared" si="5"/>
        <v>-11052211.386640549</v>
      </c>
      <c r="N63" s="193">
        <f t="shared" ca="1" si="6"/>
        <v>-480530.92985393689</v>
      </c>
      <c r="O63" s="198">
        <f t="shared" si="7"/>
        <v>34605682.96299541</v>
      </c>
      <c r="P63" s="198">
        <f t="shared" ca="1" si="8"/>
        <v>1504594.9114345831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1676605.8181883381</v>
      </c>
      <c r="M64" s="193">
        <f t="shared" si="5"/>
        <v>64436719.86372602</v>
      </c>
      <c r="N64" s="193">
        <f t="shared" ca="1" si="6"/>
        <v>2801596.5158141749</v>
      </c>
      <c r="O64" s="198">
        <f t="shared" si="7"/>
        <v>90311505.909120381</v>
      </c>
      <c r="P64" s="198">
        <f t="shared" ca="1" si="8"/>
        <v>3926587.2134400164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15518564.969837515</v>
      </c>
      <c r="M65" s="194">
        <f>SUM(M51:M64)</f>
        <v>772654202.11728036</v>
      </c>
      <c r="N65" s="194">
        <f t="shared" ca="1" si="6"/>
        <v>33593660.961620882</v>
      </c>
      <c r="O65" s="199">
        <f>SUM(O51:O64)</f>
        <v>1188381409.9282987</v>
      </c>
      <c r="P65" s="199">
        <f t="shared" ca="1" si="8"/>
        <v>51668756.953404292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-1789975.6394214525</v>
      </c>
      <c r="I69" s="218">
        <f>D69*$J$41-E69</f>
        <v>-27266208.811482966</v>
      </c>
      <c r="J69" s="218">
        <f t="shared" ref="J69:J74" ca="1" si="14">IFERROR(I69/$C$3,0)</f>
        <v>-1185487.3396296941</v>
      </c>
      <c r="K69" s="198">
        <f>D69*$L$41-E69</f>
        <v>-13362977.916272461</v>
      </c>
      <c r="L69" s="198">
        <f t="shared" ref="L69:L74" ca="1" si="15">IFERROR(K69/$C$3,0)</f>
        <v>-580999.03983793315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-2621362.5241971561</v>
      </c>
      <c r="I70" s="218">
        <f>D70*$J$41-E70</f>
        <v>-39410410.397208512</v>
      </c>
      <c r="J70" s="218">
        <f t="shared" ca="1" si="14"/>
        <v>-1713496.104226457</v>
      </c>
      <c r="K70" s="198">
        <f>D70*$L$41-E70</f>
        <v>-18529482.737882435</v>
      </c>
      <c r="L70" s="198">
        <f t="shared" ca="1" si="15"/>
        <v>-805629.68425575807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1431974.7896745775</v>
      </c>
      <c r="I71" s="218">
        <f>D71*$J$41-E71</f>
        <v>87300197.778191447</v>
      </c>
      <c r="J71" s="218">
        <f t="shared" ca="1" si="14"/>
        <v>3795660.7729648454</v>
      </c>
      <c r="K71" s="198">
        <f>D71*$L$41-E71</f>
        <v>141664975.39386773</v>
      </c>
      <c r="L71" s="198">
        <f t="shared" ca="1" si="15"/>
        <v>6159346.7562551191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-2979363.3739440311</v>
      </c>
      <c r="I74" s="199">
        <f>SUM(I69:I73)</f>
        <v>20623578.569499969</v>
      </c>
      <c r="J74" s="199">
        <f t="shared" ca="1" si="14"/>
        <v>896677.32910869434</v>
      </c>
      <c r="K74" s="199">
        <f>SUM(K69:K73)</f>
        <v>109772514.73971283</v>
      </c>
      <c r="L74" s="199">
        <f t="shared" ca="1" si="15"/>
        <v>4772718.0321614277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1" t="s">
        <v>41</v>
      </c>
      <c r="C78" s="251" t="s">
        <v>42</v>
      </c>
      <c r="D78" s="126" t="s">
        <v>139</v>
      </c>
    </row>
    <row r="79" spans="2:16" ht="18" customHeight="1" x14ac:dyDescent="0.25">
      <c r="B79" s="251"/>
      <c r="C79" s="251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182</v>
      </c>
      <c r="C41" s="253"/>
      <c r="D41" s="254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49" t="s">
        <v>146</v>
      </c>
      <c r="C46" s="250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9.5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5703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5703125" bestFit="1" customWidth="1"/>
    <col min="12" max="12" width="18.5703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5703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0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233">
        <v>393617269.45962203</v>
      </c>
      <c r="D10" s="233">
        <v>52106885.865496002</v>
      </c>
      <c r="E10" s="233">
        <v>178626089.13999999</v>
      </c>
      <c r="F10" s="233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233">
        <v>324688224.63140702</v>
      </c>
      <c r="D11" s="233">
        <v>130969678.577117</v>
      </c>
      <c r="E11" s="233">
        <v>123485070.23999999</v>
      </c>
      <c r="F11" s="233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233">
        <v>341819821.47863901</v>
      </c>
      <c r="D12" s="233">
        <v>43800016.100000001</v>
      </c>
      <c r="E12" s="233" t="s">
        <v>167</v>
      </c>
      <c r="F12" s="233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233">
        <v>335783257.01891601</v>
      </c>
      <c r="D13" s="233">
        <v>116240171.81246901</v>
      </c>
      <c r="E13" s="233">
        <v>62660260.079999998</v>
      </c>
      <c r="F13" s="233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233">
        <v>309974778.642878</v>
      </c>
      <c r="D14" s="233">
        <v>38873783.709844001</v>
      </c>
      <c r="E14" s="233">
        <v>61782485.780000001</v>
      </c>
      <c r="F14" s="233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233">
        <v>1054671906.6945471</v>
      </c>
      <c r="D15" s="233">
        <v>29495978.518279999</v>
      </c>
      <c r="E15" s="233">
        <v>410218259.94994998</v>
      </c>
      <c r="F15" s="233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233">
        <v>1554416407.7220271</v>
      </c>
      <c r="D16" s="233">
        <v>10384914.213416999</v>
      </c>
      <c r="E16" s="233">
        <v>8032432.3600000003</v>
      </c>
      <c r="F16" s="233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233">
        <v>1425026257.5066569</v>
      </c>
      <c r="D17" s="233">
        <v>87442239.299614996</v>
      </c>
      <c r="E17" s="233">
        <v>1305012954.6799581</v>
      </c>
      <c r="F17" s="233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233">
        <v>269119168.26818502</v>
      </c>
      <c r="D18" s="233">
        <v>21889933.159789</v>
      </c>
      <c r="E18" s="233">
        <v>7372973.1399999997</v>
      </c>
      <c r="F18" s="233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233">
        <v>72833049.799989</v>
      </c>
      <c r="D19" s="233">
        <v>128966591.851889</v>
      </c>
      <c r="E19" s="233">
        <v>85016217.859999999</v>
      </c>
      <c r="F19" s="233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233">
        <v>195476199.69999999</v>
      </c>
      <c r="D20" s="233" t="s">
        <v>167</v>
      </c>
      <c r="E20" s="233">
        <v>11387387.08</v>
      </c>
      <c r="F20" s="233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233">
        <v>288524887.39999998</v>
      </c>
      <c r="D21" s="233" t="s">
        <v>167</v>
      </c>
      <c r="E21" s="233">
        <v>15855585.16</v>
      </c>
      <c r="F21" s="233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233">
        <v>448510399.46910501</v>
      </c>
      <c r="D22" s="233">
        <v>63011769.152930997</v>
      </c>
      <c r="E22" s="233">
        <v>503698656.98984998</v>
      </c>
      <c r="F22" s="233">
        <v>1015220825.611886</v>
      </c>
      <c r="H22" s="116"/>
      <c r="I22" s="116"/>
      <c r="J22" s="116"/>
    </row>
    <row r="23" spans="2:14" x14ac:dyDescent="0.25">
      <c r="B23" s="74" t="s">
        <v>126</v>
      </c>
      <c r="C23" s="233">
        <v>537624961.29726696</v>
      </c>
      <c r="D23" s="233">
        <v>72473352.539875999</v>
      </c>
      <c r="E23" s="233">
        <v>310958467.80928099</v>
      </c>
      <c r="F23" s="233">
        <v>921056781.64642406</v>
      </c>
      <c r="H23" s="116"/>
      <c r="I23" s="116"/>
      <c r="J23" s="116"/>
    </row>
    <row r="24" spans="2:14" x14ac:dyDescent="0.25">
      <c r="B24" s="74" t="s">
        <v>127</v>
      </c>
      <c r="C24" s="233">
        <v>687182241.108935</v>
      </c>
      <c r="D24" s="233">
        <v>61286832.419910997</v>
      </c>
      <c r="E24" s="233">
        <v>792137124.23901403</v>
      </c>
      <c r="F24" s="233">
        <v>1540606197.7678599</v>
      </c>
      <c r="H24" s="116"/>
      <c r="I24" s="116"/>
      <c r="J24" s="116"/>
    </row>
    <row r="25" spans="2:14" x14ac:dyDescent="0.25">
      <c r="B25" s="74" t="s">
        <v>185</v>
      </c>
      <c r="C25" s="233">
        <v>267316450.13510299</v>
      </c>
      <c r="D25" s="233">
        <v>6945068.9099909998</v>
      </c>
      <c r="E25" s="233">
        <v>65202431.659999996</v>
      </c>
      <c r="F25" s="233">
        <v>339463950.70509398</v>
      </c>
      <c r="H25" s="116"/>
      <c r="I25" s="116"/>
      <c r="J25" s="116"/>
    </row>
    <row r="26" spans="2:14" x14ac:dyDescent="0.25">
      <c r="B26" s="74" t="s">
        <v>186</v>
      </c>
      <c r="C26" s="233">
        <v>138084633.55645701</v>
      </c>
      <c r="D26" s="233">
        <v>103844000.433377</v>
      </c>
      <c r="E26" s="233" t="s">
        <v>167</v>
      </c>
      <c r="F26" s="233">
        <v>241928633.98983401</v>
      </c>
      <c r="H26" s="116"/>
      <c r="I26" s="116"/>
      <c r="J26" s="116"/>
    </row>
    <row r="27" spans="2:14" x14ac:dyDescent="0.25">
      <c r="B27" s="74" t="s">
        <v>128</v>
      </c>
      <c r="C27" s="233">
        <v>887123024.85446894</v>
      </c>
      <c r="D27" s="233">
        <v>267781372.49532399</v>
      </c>
      <c r="E27" s="233">
        <v>17830594.9778</v>
      </c>
      <c r="F27" s="233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233">
        <v>603527981.52019799</v>
      </c>
      <c r="G33" s="116"/>
      <c r="H33" s="116"/>
      <c r="I33" s="116"/>
    </row>
    <row r="34" spans="2:19" x14ac:dyDescent="0.25">
      <c r="B34" s="84" t="s">
        <v>134</v>
      </c>
      <c r="C34" s="233">
        <v>132378030.09105299</v>
      </c>
      <c r="G34" s="116"/>
      <c r="H34" s="116"/>
      <c r="I34" s="116"/>
    </row>
    <row r="35" spans="2:19" x14ac:dyDescent="0.25">
      <c r="B35" s="84" t="s">
        <v>135</v>
      </c>
      <c r="C35" s="233">
        <v>506220615.42076802</v>
      </c>
      <c r="G35" s="116"/>
      <c r="H35" s="116"/>
      <c r="I35" s="116"/>
    </row>
    <row r="36" spans="2:19" x14ac:dyDescent="0.25">
      <c r="B36" s="84" t="s">
        <v>136</v>
      </c>
      <c r="C36" s="233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52" t="s">
        <v>191</v>
      </c>
      <c r="C41" s="253"/>
      <c r="D41" s="254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77"/>
      <c r="P50" s="277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5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abSelected="1" topLeftCell="A59" zoomScaleNormal="100" workbookViewId="0">
      <selection activeCell="B67" sqref="B67:F67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23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75056111.449129</v>
      </c>
      <c r="N8" s="11">
        <f>D22</f>
        <v>8722512.5899969991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99942733.94453001</v>
      </c>
      <c r="N9" s="11">
        <f>D13+D14</f>
        <v>24157545.609963998</v>
      </c>
    </row>
    <row r="10" spans="2:14" x14ac:dyDescent="0.25">
      <c r="B10" s="74" t="s">
        <v>113</v>
      </c>
      <c r="C10" s="233">
        <v>75428053.957158998</v>
      </c>
      <c r="D10" s="233">
        <v>10674453.783195</v>
      </c>
      <c r="E10" s="233">
        <v>36350629.609999999</v>
      </c>
      <c r="F10" s="233">
        <v>122453137.350354</v>
      </c>
      <c r="H10" s="116"/>
      <c r="I10" s="116"/>
      <c r="J10" s="116"/>
      <c r="M10" s="11">
        <f>C15</f>
        <v>185582188.989925</v>
      </c>
      <c r="N10" s="11">
        <f>D15</f>
        <v>9001522.4399519991</v>
      </c>
    </row>
    <row r="11" spans="2:14" x14ac:dyDescent="0.25">
      <c r="B11" s="74" t="s">
        <v>114</v>
      </c>
      <c r="C11" s="233">
        <v>67877817.412826002</v>
      </c>
      <c r="D11" s="233">
        <v>12641311.029944999</v>
      </c>
      <c r="E11" s="233">
        <v>14940540.84</v>
      </c>
      <c r="F11" s="233">
        <v>95459669.282771006</v>
      </c>
      <c r="H11" s="116"/>
      <c r="I11" s="116"/>
      <c r="J11" s="116"/>
      <c r="M11" s="11">
        <f>C12</f>
        <v>63091892.199749999</v>
      </c>
      <c r="N11" s="11">
        <f>D12</f>
        <v>2448696</v>
      </c>
    </row>
    <row r="12" spans="2:14" x14ac:dyDescent="0.25">
      <c r="B12" s="74" t="s">
        <v>184</v>
      </c>
      <c r="C12" s="233">
        <v>63091892.199749999</v>
      </c>
      <c r="D12" s="233">
        <v>2448696</v>
      </c>
      <c r="E12" s="233">
        <v>0</v>
      </c>
      <c r="F12" s="233">
        <v>65540588.199749999</v>
      </c>
      <c r="H12" s="116"/>
      <c r="I12" s="116"/>
      <c r="J12" s="116"/>
      <c r="M12" s="11">
        <f>C25+C26</f>
        <v>64742435.355255</v>
      </c>
      <c r="N12" s="11">
        <f>D25+D26</f>
        <v>23276363.049936999</v>
      </c>
    </row>
    <row r="13" spans="2:14" x14ac:dyDescent="0.25">
      <c r="B13" s="74" t="s">
        <v>70</v>
      </c>
      <c r="C13" s="233">
        <v>46101972.061705001</v>
      </c>
      <c r="D13" s="233">
        <v>18339640.02998</v>
      </c>
      <c r="E13" s="233">
        <v>8442635.0399999991</v>
      </c>
      <c r="F13" s="233">
        <v>72884247.131685004</v>
      </c>
      <c r="H13" s="116"/>
      <c r="I13" s="116"/>
      <c r="J13" s="116"/>
      <c r="M13" s="11">
        <f>C17</f>
        <v>165517003.30801201</v>
      </c>
      <c r="N13" s="11">
        <f>D17</f>
        <v>15471860.289988</v>
      </c>
    </row>
    <row r="14" spans="2:14" x14ac:dyDescent="0.25">
      <c r="B14" s="74" t="s">
        <v>115</v>
      </c>
      <c r="C14" s="233">
        <v>53840761.882825002</v>
      </c>
      <c r="D14" s="233">
        <v>5817905.579984</v>
      </c>
      <c r="E14" s="233">
        <v>12011387.26</v>
      </c>
      <c r="F14" s="233">
        <v>71670054.722809002</v>
      </c>
      <c r="H14" s="116"/>
      <c r="I14" s="116"/>
      <c r="J14" s="116"/>
      <c r="M14" s="11">
        <f>C23</f>
        <v>118082385.888073</v>
      </c>
      <c r="N14" s="11">
        <f>D23</f>
        <v>22863540.599968001</v>
      </c>
    </row>
    <row r="15" spans="2:14" x14ac:dyDescent="0.25">
      <c r="B15" s="84" t="s">
        <v>116</v>
      </c>
      <c r="C15" s="233">
        <v>185582188.989925</v>
      </c>
      <c r="D15" s="233">
        <v>9001522.4399519991</v>
      </c>
      <c r="E15" s="233">
        <v>66233333.459964998</v>
      </c>
      <c r="F15" s="233">
        <v>260817044.889842</v>
      </c>
      <c r="H15" s="116"/>
      <c r="I15" s="116"/>
      <c r="J15" s="116"/>
      <c r="M15" s="11">
        <f>C11</f>
        <v>67877817.412826002</v>
      </c>
      <c r="N15" s="11">
        <f>D11</f>
        <v>12641311.029944999</v>
      </c>
    </row>
    <row r="16" spans="2:14" x14ac:dyDescent="0.25">
      <c r="B16" s="74" t="s">
        <v>119</v>
      </c>
      <c r="C16" s="233">
        <v>86064231.499919996</v>
      </c>
      <c r="D16" s="233">
        <v>183333.33499999999</v>
      </c>
      <c r="E16" s="233">
        <v>1297297.28</v>
      </c>
      <c r="F16" s="233">
        <v>87544862.114920005</v>
      </c>
      <c r="H16" s="116"/>
      <c r="I16" s="116"/>
      <c r="J16" s="116"/>
      <c r="M16" s="11">
        <f>C24</f>
        <v>117108677.855774</v>
      </c>
      <c r="N16" s="11">
        <f>D24</f>
        <v>12434500</v>
      </c>
    </row>
    <row r="17" spans="2:14" x14ac:dyDescent="0.25">
      <c r="B17" s="74" t="s">
        <v>121</v>
      </c>
      <c r="C17" s="233">
        <v>165517003.30801201</v>
      </c>
      <c r="D17" s="233">
        <v>15471860.289988</v>
      </c>
      <c r="E17" s="233">
        <v>239411619.89997399</v>
      </c>
      <c r="F17" s="233">
        <v>420400483.49797398</v>
      </c>
      <c r="H17" s="116"/>
      <c r="I17" s="116"/>
      <c r="J17" s="116"/>
      <c r="M17" s="11">
        <f>C10</f>
        <v>75428053.957158998</v>
      </c>
      <c r="N17" s="11">
        <f>D10</f>
        <v>10674453.783195</v>
      </c>
    </row>
    <row r="18" spans="2:14" x14ac:dyDescent="0.25">
      <c r="B18" s="74" t="s">
        <v>123</v>
      </c>
      <c r="C18" s="233">
        <v>46433786.259581</v>
      </c>
      <c r="D18" s="233">
        <v>0</v>
      </c>
      <c r="E18" s="233">
        <v>7167567.7000000002</v>
      </c>
      <c r="F18" s="233">
        <v>53601353.959581003</v>
      </c>
      <c r="H18" s="116"/>
      <c r="I18" s="116"/>
      <c r="J18" s="116"/>
      <c r="M18" s="11">
        <f>C27</f>
        <v>117239719.577011</v>
      </c>
      <c r="N18" s="11">
        <f>D27</f>
        <v>27839630.479740001</v>
      </c>
    </row>
    <row r="19" spans="2:14" x14ac:dyDescent="0.25">
      <c r="B19" s="74" t="s">
        <v>124</v>
      </c>
      <c r="C19" s="233">
        <v>9840730</v>
      </c>
      <c r="D19" s="233">
        <v>16115447.439863</v>
      </c>
      <c r="E19" s="233">
        <v>16162162.48</v>
      </c>
      <c r="F19" s="233">
        <v>42118339.919863001</v>
      </c>
      <c r="H19" s="116"/>
      <c r="I19" s="116"/>
      <c r="J19" s="116"/>
      <c r="M19" s="11">
        <f>C18+C19</f>
        <v>56274516.259581</v>
      </c>
      <c r="N19" s="11">
        <f>D18+D19</f>
        <v>16115447.439863</v>
      </c>
    </row>
    <row r="20" spans="2:14" x14ac:dyDescent="0.25">
      <c r="B20" s="74" t="s">
        <v>171</v>
      </c>
      <c r="C20" s="233">
        <v>26874206.399999999</v>
      </c>
      <c r="D20" s="233">
        <v>0</v>
      </c>
      <c r="E20" s="233">
        <v>2882882.8</v>
      </c>
      <c r="F20" s="233">
        <v>29757089.199999999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33">
        <v>82089859.099999994</v>
      </c>
      <c r="D21" s="233">
        <v>0</v>
      </c>
      <c r="E21" s="233">
        <v>3783783.68</v>
      </c>
      <c r="F21" s="233">
        <v>85873642.780000001</v>
      </c>
      <c r="H21" s="116"/>
      <c r="I21" s="116"/>
      <c r="J21" s="116"/>
      <c r="M21" s="14">
        <f>IFERROR(C34,0)+IFERROR(C35,0)+M20</f>
        <v>189881409.31098598</v>
      </c>
      <c r="N21" s="10" t="s">
        <v>122</v>
      </c>
    </row>
    <row r="22" spans="2:14" x14ac:dyDescent="0.25">
      <c r="B22" s="74" t="s">
        <v>125</v>
      </c>
      <c r="C22" s="233">
        <v>75056111.449129</v>
      </c>
      <c r="D22" s="233">
        <v>8722512.5899969991</v>
      </c>
      <c r="E22" s="233">
        <v>63996396.039980002</v>
      </c>
      <c r="F22" s="233">
        <v>147775020.079106</v>
      </c>
      <c r="H22" s="116"/>
      <c r="I22" s="116"/>
      <c r="J22" s="116"/>
    </row>
    <row r="23" spans="2:14" x14ac:dyDescent="0.25">
      <c r="B23" s="74" t="s">
        <v>126</v>
      </c>
      <c r="C23" s="233">
        <v>118082385.888073</v>
      </c>
      <c r="D23" s="233">
        <v>22863540.599968001</v>
      </c>
      <c r="E23" s="233">
        <v>86204505.229828998</v>
      </c>
      <c r="F23" s="233">
        <v>227150431.71787</v>
      </c>
      <c r="H23" s="116"/>
      <c r="I23" s="116"/>
      <c r="J23" s="116"/>
    </row>
    <row r="24" spans="2:14" x14ac:dyDescent="0.25">
      <c r="B24" s="74" t="s">
        <v>127</v>
      </c>
      <c r="C24" s="233">
        <v>117108677.855774</v>
      </c>
      <c r="D24" s="233">
        <v>12434500</v>
      </c>
      <c r="E24" s="233">
        <v>85028739.059912995</v>
      </c>
      <c r="F24" s="233">
        <v>214571916.91568699</v>
      </c>
      <c r="H24" s="116"/>
      <c r="I24" s="116"/>
      <c r="J24" s="116"/>
    </row>
    <row r="25" spans="2:14" x14ac:dyDescent="0.25">
      <c r="B25" s="74" t="s">
        <v>185</v>
      </c>
      <c r="C25" s="233">
        <v>42039418.594971001</v>
      </c>
      <c r="D25" s="233">
        <v>668973</v>
      </c>
      <c r="E25" s="233">
        <v>9664864.7599999998</v>
      </c>
      <c r="F25" s="233">
        <v>52373256.354970999</v>
      </c>
      <c r="H25" s="116"/>
      <c r="I25" s="116"/>
      <c r="J25" s="116"/>
    </row>
    <row r="26" spans="2:14" x14ac:dyDescent="0.25">
      <c r="B26" s="74" t="s">
        <v>186</v>
      </c>
      <c r="C26" s="233">
        <v>22703016.760283999</v>
      </c>
      <c r="D26" s="233">
        <v>22607390.049936999</v>
      </c>
      <c r="E26" s="233">
        <v>0</v>
      </c>
      <c r="F26" s="233">
        <v>45310406.810221002</v>
      </c>
      <c r="H26" s="116"/>
      <c r="I26" s="116"/>
      <c r="J26" s="116"/>
    </row>
    <row r="27" spans="2:14" x14ac:dyDescent="0.25">
      <c r="B27" s="74" t="s">
        <v>128</v>
      </c>
      <c r="C27" s="233">
        <v>117239719.577011</v>
      </c>
      <c r="D27" s="233">
        <v>27839630.479740001</v>
      </c>
      <c r="E27" s="233">
        <v>2770810.8769999999</v>
      </c>
      <c r="F27" s="233">
        <v>147850160.93375099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33">
        <v>35302328.919822998</v>
      </c>
      <c r="G32" s="116"/>
      <c r="H32" s="116"/>
      <c r="I32" s="116"/>
    </row>
    <row r="33" spans="2:19" x14ac:dyDescent="0.25">
      <c r="B33" s="84" t="s">
        <v>133</v>
      </c>
      <c r="C33" s="233">
        <v>108989484.288491</v>
      </c>
      <c r="G33" s="116"/>
      <c r="H33" s="116"/>
      <c r="I33" s="116"/>
    </row>
    <row r="34" spans="2:19" x14ac:dyDescent="0.25">
      <c r="B34" s="84" t="s">
        <v>134</v>
      </c>
      <c r="C34" s="181">
        <v>39154784.190699995</v>
      </c>
      <c r="G34" s="116"/>
      <c r="H34" s="116"/>
      <c r="I34" s="116"/>
    </row>
    <row r="35" spans="2:19" x14ac:dyDescent="0.25">
      <c r="B35" s="84" t="s">
        <v>135</v>
      </c>
      <c r="C35" s="233">
        <v>150726625.12028599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192</v>
      </c>
      <c r="C41" s="253"/>
      <c r="D41" s="254"/>
      <c r="E41" s="67" t="s">
        <v>138</v>
      </c>
      <c r="F41" s="185">
        <f ca="1">IF(MONTH(TODAY())=8,DAY(TODAY())/DAY(EOMONTH(TODAY(),0)),IF(MONTH(TODAY())&gt;8,1,0))</f>
        <v>0.16129032258064516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1314907601.6970251</v>
      </c>
      <c r="F43" s="187">
        <f>IFERROR(E43/D43,0)</f>
        <v>0.16146100212668496</v>
      </c>
      <c r="G43" s="197">
        <f>D43*$H$41-E43</f>
        <v>6014520718.0825968</v>
      </c>
      <c r="H43" s="197">
        <f ca="1">IFERROR(G43/$C$3,0)</f>
        <v>261500900.78619987</v>
      </c>
      <c r="I43" s="218">
        <f>D43*$J$41-E43</f>
        <v>6421711180.2925758</v>
      </c>
      <c r="J43" s="218">
        <f ca="1">IFERROR(I43/$C$3,0)</f>
        <v>279204833.92576414</v>
      </c>
      <c r="K43" s="198">
        <f>D43*$L$41-E43</f>
        <v>6828901642.5025549</v>
      </c>
      <c r="L43" s="198">
        <f ca="1">IFERROR(K43/$C$3,0)</f>
        <v>296908767.06532848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185647383.312549</v>
      </c>
      <c r="F44" s="187">
        <f>IFERROR(E44/D44,0)</f>
        <v>0.14341873970192642</v>
      </c>
      <c r="G44" s="197">
        <f>D44*$H$41-E44</f>
        <v>979351314.40679657</v>
      </c>
      <c r="H44" s="197">
        <f ca="1">IFERROR(G44/$C$3,0)</f>
        <v>42580491.930730283</v>
      </c>
      <c r="I44" s="218">
        <f>D44*$J$41-E44</f>
        <v>1044073464.2800936</v>
      </c>
      <c r="J44" s="218">
        <f ca="1">IFERROR(I44/$C$3,0)</f>
        <v>45394498.446960591</v>
      </c>
      <c r="K44" s="198">
        <f>D44*$L$41-E44</f>
        <v>1108795614.1533904</v>
      </c>
      <c r="L44" s="198">
        <f ca="1">IFERROR(K44/$C$3,0)</f>
        <v>48208504.963190891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334173222.51929998</v>
      </c>
      <c r="F45" s="187">
        <f>IFERROR(E45/D45,0)</f>
        <v>0.17908941229654615</v>
      </c>
      <c r="G45" s="197">
        <f>D45*$H$41-E45</f>
        <v>1345188479.6083598</v>
      </c>
      <c r="H45" s="197">
        <f ca="1">IFERROR(G45/$C$3,0)</f>
        <v>58486455.635146081</v>
      </c>
      <c r="I45" s="218">
        <f>D45*$J$41-E45</f>
        <v>1438486351.9487851</v>
      </c>
      <c r="J45" s="218">
        <f ca="1">IFERROR(I45/$C$3,0)</f>
        <v>62542884.867338479</v>
      </c>
      <c r="K45" s="198">
        <f>D45*$L$41-E45</f>
        <v>1531784224.2892108</v>
      </c>
      <c r="L45" s="198">
        <f ca="1">IFERROR(K45/$C$3,0)</f>
        <v>66599314.099530905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11304209688.47403</v>
      </c>
      <c r="E46" s="47">
        <f>E43+E44+E45</f>
        <v>1834728207.5288739</v>
      </c>
      <c r="F46" s="188">
        <f>IFERROR(E46/D46,0)</f>
        <v>0.16230486324042581</v>
      </c>
      <c r="G46" s="194">
        <f>G43+G44+G45</f>
        <v>8339060512.0977535</v>
      </c>
      <c r="H46" s="194">
        <f ca="1">IFERROR(G46/$C$3,0)</f>
        <v>362567848.35207623</v>
      </c>
      <c r="I46" s="199">
        <f>I43+I44+I45</f>
        <v>8904270996.5214539</v>
      </c>
      <c r="J46" s="199">
        <f ca="1">IFERROR(I46/$C$3,0)</f>
        <v>387142217.24006319</v>
      </c>
      <c r="K46" s="199">
        <f>K43+K44+K45</f>
        <v>9469481480.9451561</v>
      </c>
      <c r="L46" s="199">
        <f ca="1">IFERROR(K46/$C$3,0)</f>
        <v>411716586.12805027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75056111.449129</v>
      </c>
      <c r="H51" s="119">
        <f>N8</f>
        <v>8722512.5899969991</v>
      </c>
      <c r="I51" s="119">
        <f t="shared" ref="I51:I64" si="1">G51+H51</f>
        <v>83778624.039125994</v>
      </c>
      <c r="J51" s="200">
        <f t="shared" ref="J51:J64" si="2">IFERROR(I51/F51,0)</f>
        <v>0.14805151121875731</v>
      </c>
      <c r="K51" s="197">
        <f t="shared" ref="K51:K64" si="3">F51*$H$41-I51</f>
        <v>425508724.76613587</v>
      </c>
      <c r="L51" s="197">
        <f t="shared" ref="L51:L65" ca="1" si="4">IFERROR(K51/$C$3,0)</f>
        <v>18500379.337658081</v>
      </c>
      <c r="M51" s="193">
        <f t="shared" ref="M51:M64" si="5">F51*$J$41-I51</f>
        <v>453802466.3664282</v>
      </c>
      <c r="N51" s="193">
        <f t="shared" ref="N51:N65" ca="1" si="6">IFERROR(M51/$C$3,0)</f>
        <v>19730542.015931662</v>
      </c>
      <c r="O51" s="198">
        <f t="shared" ref="O51:O64" si="7">F51*$L$41-I51</f>
        <v>482096207.96672052</v>
      </c>
      <c r="P51" s="198">
        <f t="shared" ref="P51:P65" ca="1" si="8">IFERROR(O51/$C$3,0)</f>
        <v>20960704.694205239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99942733.94453001</v>
      </c>
      <c r="H52" s="119">
        <f>N9</f>
        <v>24157545.609963998</v>
      </c>
      <c r="I52" s="119">
        <f t="shared" si="1"/>
        <v>124100279.55449401</v>
      </c>
      <c r="J52" s="200">
        <f t="shared" si="2"/>
        <v>0.1482624309731726</v>
      </c>
      <c r="K52" s="197">
        <f t="shared" si="3"/>
        <v>629227794.63076222</v>
      </c>
      <c r="L52" s="197">
        <f t="shared" ca="1" si="4"/>
        <v>27357730.201337487</v>
      </c>
      <c r="M52" s="193">
        <f t="shared" si="5"/>
        <v>671079354.3077209</v>
      </c>
      <c r="N52" s="193">
        <f t="shared" ca="1" si="6"/>
        <v>29177363.230770472</v>
      </c>
      <c r="O52" s="198">
        <f t="shared" si="7"/>
        <v>712930913.98467958</v>
      </c>
      <c r="P52" s="198">
        <f t="shared" ca="1" si="8"/>
        <v>30996996.260203458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26874206.399999999</v>
      </c>
      <c r="H53" s="119">
        <f>IF(D20="",0,D20)</f>
        <v>0</v>
      </c>
      <c r="I53" s="119">
        <f>G53+H53</f>
        <v>26874206.399999999</v>
      </c>
      <c r="J53" s="200">
        <f>IFERROR(I53/F53,0)</f>
        <v>0.1022015176187412</v>
      </c>
      <c r="K53" s="197">
        <f t="shared" si="3"/>
        <v>209783588.15670967</v>
      </c>
      <c r="L53" s="197">
        <f t="shared" ca="1" si="4"/>
        <v>9121025.5720308553</v>
      </c>
      <c r="M53" s="193">
        <f t="shared" si="5"/>
        <v>222931243.40986019</v>
      </c>
      <c r="N53" s="193">
        <f t="shared" ca="1" si="6"/>
        <v>9692662.7569504436</v>
      </c>
      <c r="O53" s="198">
        <f t="shared" si="7"/>
        <v>236078898.66301075</v>
      </c>
      <c r="P53" s="198">
        <f t="shared" ca="1" si="8"/>
        <v>10264299.941870032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185582188.989925</v>
      </c>
      <c r="H54" s="119">
        <f t="shared" ref="H54:H58" si="9">N10</f>
        <v>9001522.4399519991</v>
      </c>
      <c r="I54" s="119">
        <f t="shared" si="1"/>
        <v>194583711.42987698</v>
      </c>
      <c r="J54" s="200">
        <f t="shared" si="2"/>
        <v>0.25005002858931408</v>
      </c>
      <c r="K54" s="197">
        <f t="shared" si="3"/>
        <v>505777497.38453096</v>
      </c>
      <c r="L54" s="197">
        <f t="shared" ca="1" si="4"/>
        <v>21990325.973240476</v>
      </c>
      <c r="M54" s="193">
        <f t="shared" si="5"/>
        <v>544686453.42977571</v>
      </c>
      <c r="N54" s="193">
        <f t="shared" ca="1" si="6"/>
        <v>23682019.714338075</v>
      </c>
      <c r="O54" s="198">
        <f t="shared" si="7"/>
        <v>583595409.47502065</v>
      </c>
      <c r="P54" s="198">
        <f t="shared" ca="1" si="8"/>
        <v>25373713.455435682</v>
      </c>
    </row>
    <row r="55" spans="2:16" x14ac:dyDescent="0.25">
      <c r="B55" s="50" t="s">
        <v>73</v>
      </c>
      <c r="C55" s="55" t="s">
        <v>183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63091892.199749999</v>
      </c>
      <c r="H55" s="119">
        <f t="shared" si="9"/>
        <v>2448696</v>
      </c>
      <c r="I55" s="119">
        <f t="shared" si="1"/>
        <v>65540588.199749999</v>
      </c>
      <c r="J55" s="200">
        <f t="shared" si="2"/>
        <v>0.11896845817817599</v>
      </c>
      <c r="K55" s="197">
        <f t="shared" si="3"/>
        <v>430275952.44527036</v>
      </c>
      <c r="L55" s="197">
        <f t="shared" ca="1" si="4"/>
        <v>18707650.106316101</v>
      </c>
      <c r="M55" s="193">
        <f t="shared" si="5"/>
        <v>457821315.81443816</v>
      </c>
      <c r="N55" s="193">
        <f t="shared" ca="1" si="6"/>
        <v>19905274.600627746</v>
      </c>
      <c r="O55" s="198">
        <f t="shared" si="7"/>
        <v>485366679.18360597</v>
      </c>
      <c r="P55" s="198">
        <f t="shared" ca="1" si="8"/>
        <v>21102899.094939388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64742435.355255</v>
      </c>
      <c r="H56" s="119">
        <f t="shared" si="9"/>
        <v>23276363.049936999</v>
      </c>
      <c r="I56" s="119">
        <f t="shared" si="1"/>
        <v>88018798.405192003</v>
      </c>
      <c r="J56" s="200">
        <f t="shared" si="2"/>
        <v>0.14050336763839419</v>
      </c>
      <c r="K56" s="197">
        <f t="shared" si="3"/>
        <v>475789172.15213323</v>
      </c>
      <c r="L56" s="197">
        <f t="shared" ca="1" si="4"/>
        <v>20686485.745744921</v>
      </c>
      <c r="M56" s="193">
        <f t="shared" si="5"/>
        <v>507111837.18309569</v>
      </c>
      <c r="N56" s="193">
        <f t="shared" ca="1" si="6"/>
        <v>22048340.747091118</v>
      </c>
      <c r="O56" s="198">
        <f t="shared" si="7"/>
        <v>538434502.21405828</v>
      </c>
      <c r="P56" s="198">
        <f t="shared" ca="1" si="8"/>
        <v>23410195.748437315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165517003.30801201</v>
      </c>
      <c r="H57" s="119">
        <f t="shared" si="9"/>
        <v>15471860.289988</v>
      </c>
      <c r="I57" s="119">
        <f t="shared" si="1"/>
        <v>180988863.59800002</v>
      </c>
      <c r="J57" s="200">
        <f t="shared" si="2"/>
        <v>0.15593194460133766</v>
      </c>
      <c r="K57" s="197">
        <f t="shared" si="3"/>
        <v>863633376.28140092</v>
      </c>
      <c r="L57" s="197">
        <f t="shared" ca="1" si="4"/>
        <v>37549277.229626127</v>
      </c>
      <c r="M57" s="193">
        <f t="shared" si="5"/>
        <v>921667945.16358972</v>
      </c>
      <c r="N57" s="193">
        <f t="shared" ca="1" si="6"/>
        <v>40072519.354938686</v>
      </c>
      <c r="O57" s="198">
        <f t="shared" si="7"/>
        <v>979702514.04577875</v>
      </c>
      <c r="P57" s="198">
        <f t="shared" ca="1" si="8"/>
        <v>42595761.480251253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118082385.888073</v>
      </c>
      <c r="H58" s="119">
        <f t="shared" si="9"/>
        <v>22863540.599968001</v>
      </c>
      <c r="I58" s="119">
        <f>G58+H58</f>
        <v>140945926.48804098</v>
      </c>
      <c r="J58" s="200">
        <f>IFERROR(I58/F58,0)</f>
        <v>0.21160250284307514</v>
      </c>
      <c r="K58" s="197">
        <f t="shared" si="3"/>
        <v>458533437.5784139</v>
      </c>
      <c r="L58" s="197">
        <f t="shared" ca="1" si="4"/>
        <v>19936236.416452777</v>
      </c>
      <c r="M58" s="193">
        <f t="shared" si="5"/>
        <v>491837846.69321686</v>
      </c>
      <c r="N58" s="193">
        <f t="shared" ca="1" si="6"/>
        <v>21384254.204052906</v>
      </c>
      <c r="O58" s="198">
        <f t="shared" si="7"/>
        <v>525142255.80801994</v>
      </c>
      <c r="P58" s="198">
        <f t="shared" ca="1" si="8"/>
        <v>22832271.99165304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82089859.099999994</v>
      </c>
      <c r="H59" s="119">
        <f>IF(D21="",0,D21)</f>
        <v>0</v>
      </c>
      <c r="I59" s="119">
        <f>G59+H59</f>
        <v>82089859.099999994</v>
      </c>
      <c r="J59" s="200">
        <f>IFERROR(I59/F59,0)</f>
        <v>0.18495092161128326</v>
      </c>
      <c r="K59" s="197">
        <f t="shared" si="3"/>
        <v>317372184.91877806</v>
      </c>
      <c r="L59" s="197">
        <f t="shared" ca="1" si="4"/>
        <v>13798790.648642525</v>
      </c>
      <c r="M59" s="193">
        <f t="shared" si="5"/>
        <v>339564520.69759905</v>
      </c>
      <c r="N59" s="193">
        <f t="shared" ca="1" si="6"/>
        <v>14763674.812939089</v>
      </c>
      <c r="O59" s="198">
        <f t="shared" si="7"/>
        <v>361756856.47642004</v>
      </c>
      <c r="P59" s="198">
        <f t="shared" ca="1" si="8"/>
        <v>15728558.977235654</v>
      </c>
    </row>
    <row r="60" spans="2:16" x14ac:dyDescent="0.25">
      <c r="B60" s="53" t="s">
        <v>80</v>
      </c>
      <c r="C60" s="56" t="s">
        <v>81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67877817.412826002</v>
      </c>
      <c r="H60" s="119">
        <f t="shared" ref="H60:H64" si="10">N15</f>
        <v>12641311.029944999</v>
      </c>
      <c r="I60" s="119">
        <f t="shared" si="1"/>
        <v>80519128.442771003</v>
      </c>
      <c r="J60" s="200">
        <f t="shared" si="2"/>
        <v>0.12766760058435769</v>
      </c>
      <c r="K60" s="197">
        <f t="shared" si="3"/>
        <v>487105039.84110326</v>
      </c>
      <c r="L60" s="197">
        <f t="shared" ca="1" si="4"/>
        <v>21178479.993091445</v>
      </c>
      <c r="M60" s="193">
        <f t="shared" si="5"/>
        <v>518639715.85687405</v>
      </c>
      <c r="N60" s="193">
        <f t="shared" ca="1" si="6"/>
        <v>22549552.863342348</v>
      </c>
      <c r="O60" s="198">
        <f t="shared" si="7"/>
        <v>550174391.8726449</v>
      </c>
      <c r="P60" s="198">
        <f t="shared" ca="1" si="8"/>
        <v>23920625.733593255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117108677.855774</v>
      </c>
      <c r="H61" s="119">
        <f t="shared" si="10"/>
        <v>12434500</v>
      </c>
      <c r="I61" s="119">
        <f t="shared" si="1"/>
        <v>129543177.855774</v>
      </c>
      <c r="J61" s="200">
        <f t="shared" si="2"/>
        <v>0.16865402771058111</v>
      </c>
      <c r="K61" s="197">
        <f t="shared" si="3"/>
        <v>561746924.44921815</v>
      </c>
      <c r="L61" s="197">
        <f t="shared" ca="1" si="4"/>
        <v>24423779.323879052</v>
      </c>
      <c r="M61" s="193">
        <f t="shared" si="5"/>
        <v>600151930.13282883</v>
      </c>
      <c r="N61" s="193">
        <f t="shared" ca="1" si="6"/>
        <v>26093562.179688212</v>
      </c>
      <c r="O61" s="198">
        <f t="shared" si="7"/>
        <v>638556935.81643951</v>
      </c>
      <c r="P61" s="198">
        <f t="shared" ca="1" si="8"/>
        <v>27763345.035497371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75428053.957158998</v>
      </c>
      <c r="H62" s="119">
        <f t="shared" si="10"/>
        <v>10674453.783195</v>
      </c>
      <c r="I62" s="119">
        <f t="shared" si="1"/>
        <v>86102507.740354002</v>
      </c>
      <c r="J62" s="200">
        <f t="shared" si="2"/>
        <v>0.16290922924763288</v>
      </c>
      <c r="K62" s="197">
        <f t="shared" si="3"/>
        <v>389575004.97149616</v>
      </c>
      <c r="L62" s="197">
        <f t="shared" ca="1" si="4"/>
        <v>16938043.694412876</v>
      </c>
      <c r="M62" s="193">
        <f t="shared" si="5"/>
        <v>416001533.45548785</v>
      </c>
      <c r="N62" s="193">
        <f t="shared" ca="1" si="6"/>
        <v>18087023.193716861</v>
      </c>
      <c r="O62" s="198">
        <f t="shared" si="7"/>
        <v>442428061.93947953</v>
      </c>
      <c r="P62" s="198">
        <f t="shared" ca="1" si="8"/>
        <v>19236002.69302085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117239719.577011</v>
      </c>
      <c r="H63" s="119">
        <f t="shared" si="10"/>
        <v>27839630.479740001</v>
      </c>
      <c r="I63" s="119">
        <f t="shared" si="1"/>
        <v>145079350.05675101</v>
      </c>
      <c r="J63" s="200">
        <f t="shared" si="2"/>
        <v>0.14078794902104172</v>
      </c>
      <c r="K63" s="197">
        <f t="shared" si="3"/>
        <v>782353828.41480362</v>
      </c>
      <c r="L63" s="197">
        <f t="shared" ca="1" si="4"/>
        <v>34015383.844121896</v>
      </c>
      <c r="M63" s="193">
        <f t="shared" si="5"/>
        <v>833877893.88544548</v>
      </c>
      <c r="N63" s="193">
        <f t="shared" ca="1" si="6"/>
        <v>36255560.603715017</v>
      </c>
      <c r="O63" s="198">
        <f t="shared" si="7"/>
        <v>885401959.35608745</v>
      </c>
      <c r="P63" s="198">
        <f t="shared" ca="1" si="8"/>
        <v>38495737.363308147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56274516.259581</v>
      </c>
      <c r="H64" s="119">
        <f t="shared" si="10"/>
        <v>16115447.439863</v>
      </c>
      <c r="I64" s="119">
        <f t="shared" si="1"/>
        <v>72389963.699443996</v>
      </c>
      <c r="J64" s="200">
        <f t="shared" si="2"/>
        <v>0.12302396712080048</v>
      </c>
      <c r="K64" s="197">
        <f t="shared" si="3"/>
        <v>457189506.49863654</v>
      </c>
      <c r="L64" s="197">
        <f t="shared" ca="1" si="4"/>
        <v>19877804.630375501</v>
      </c>
      <c r="M64" s="193">
        <f t="shared" si="5"/>
        <v>486610588.17630762</v>
      </c>
      <c r="N64" s="193">
        <f t="shared" ca="1" si="6"/>
        <v>21156982.094622072</v>
      </c>
      <c r="O64" s="198">
        <f t="shared" si="7"/>
        <v>516031669.85397881</v>
      </c>
      <c r="P64" s="198">
        <f t="shared" ca="1" si="8"/>
        <v>22436159.558868643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1314907601.6970251</v>
      </c>
      <c r="H65" s="144">
        <f>SUM(H51:H64)</f>
        <v>185647383.312549</v>
      </c>
      <c r="I65" s="144">
        <f>SUM(I51:I64)</f>
        <v>1500554985.0095742</v>
      </c>
      <c r="J65" s="203">
        <f>IFERROR(I65/F65,0)</f>
        <v>0.15898653125472934</v>
      </c>
      <c r="K65" s="194">
        <f>SUM(K51:K64)</f>
        <v>6993872032.4893932</v>
      </c>
      <c r="L65" s="194">
        <f t="shared" ca="1" si="4"/>
        <v>304081392.71693015</v>
      </c>
      <c r="M65" s="194">
        <f>SUM(M51:M64)</f>
        <v>7465784644.572669</v>
      </c>
      <c r="N65" s="194">
        <f t="shared" ca="1" si="6"/>
        <v>324599332.37272471</v>
      </c>
      <c r="O65" s="199">
        <f>SUM(O51:O64)</f>
        <v>7937697256.6559467</v>
      </c>
      <c r="P65" s="199">
        <f t="shared" ca="1" si="8"/>
        <v>345117272.02851945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35302328.919822998</v>
      </c>
      <c r="F69" s="200">
        <f t="shared" ref="F69:F74" si="12">IFERROR(E69/D69,0)</f>
        <v>0.1184238653350554</v>
      </c>
      <c r="G69" s="197">
        <f>D69*$H$41-E69</f>
        <v>232988998.4908154</v>
      </c>
      <c r="H69" s="197">
        <f t="shared" ref="H69:H74" ca="1" si="13">IFERROR(G69/$C$3,0)</f>
        <v>10129956.45612241</v>
      </c>
      <c r="I69" s="218">
        <f>D69*$J$41-E69</f>
        <v>247894072.23585087</v>
      </c>
      <c r="J69" s="218">
        <f t="shared" ref="J69:J74" ca="1" si="14">IFERROR(I69/$C$3,0)</f>
        <v>10778003.140689168</v>
      </c>
      <c r="K69" s="198">
        <f>D69*$L$41-E69</f>
        <v>262799145.98088634</v>
      </c>
      <c r="L69" s="198">
        <f t="shared" ref="L69:L74" ca="1" si="15">IFERROR(K69/$C$3,0)</f>
        <v>11426049.825255929</v>
      </c>
    </row>
    <row r="70" spans="2:16" x14ac:dyDescent="0.25">
      <c r="B70" s="53" t="s">
        <v>94</v>
      </c>
      <c r="C70" s="56" t="s">
        <v>95</v>
      </c>
      <c r="D70" s="122">
        <f>TARGETS!K23</f>
        <v>441402383.90070933</v>
      </c>
      <c r="E70" s="119">
        <f>IFERROR(C33,0)</f>
        <v>108989484.288491</v>
      </c>
      <c r="F70" s="200">
        <f t="shared" si="12"/>
        <v>0.2469163925335924</v>
      </c>
      <c r="G70" s="197">
        <f>D70*$H$41-E70</f>
        <v>288272661.22214741</v>
      </c>
      <c r="H70" s="197">
        <f t="shared" ca="1" si="13"/>
        <v>12533593.966180323</v>
      </c>
      <c r="I70" s="218">
        <f>D70*$J$41-E70</f>
        <v>310342780.41718286</v>
      </c>
      <c r="J70" s="218">
        <f t="shared" ca="1" si="14"/>
        <v>13493164.365964472</v>
      </c>
      <c r="K70" s="198">
        <f>D70*$L$41-E70</f>
        <v>332412899.61221832</v>
      </c>
      <c r="L70" s="198">
        <f t="shared" ca="1" si="15"/>
        <v>14452734.765748622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189881409.31098598</v>
      </c>
      <c r="F71" s="200">
        <f t="shared" si="12"/>
        <v>0.16856567490447771</v>
      </c>
      <c r="G71" s="197">
        <f>D71*$H$41-E71</f>
        <v>823926819.89539695</v>
      </c>
      <c r="H71" s="197">
        <f t="shared" ca="1" si="13"/>
        <v>35822905.212843344</v>
      </c>
      <c r="I71" s="218">
        <f>D71*$J$41-E71</f>
        <v>880249499.29575157</v>
      </c>
      <c r="J71" s="218">
        <f t="shared" ca="1" si="14"/>
        <v>38271717.360684849</v>
      </c>
      <c r="K71" s="198">
        <f>D71*$L$41-E71</f>
        <v>936572178.6961062</v>
      </c>
      <c r="L71" s="198">
        <f t="shared" ca="1" si="15"/>
        <v>40720529.508526355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334173222.51929998</v>
      </c>
      <c r="F74" s="188">
        <f t="shared" si="12"/>
        <v>0.17908941229654615</v>
      </c>
      <c r="G74" s="194">
        <f>SUM(G69:G73)</f>
        <v>1345188479.6083598</v>
      </c>
      <c r="H74" s="194">
        <f t="shared" ca="1" si="13"/>
        <v>58486455.635146081</v>
      </c>
      <c r="I74" s="199">
        <f>SUM(I69:I73)</f>
        <v>1438486351.9487853</v>
      </c>
      <c r="J74" s="199">
        <f t="shared" ca="1" si="14"/>
        <v>62542884.867338493</v>
      </c>
      <c r="K74" s="199">
        <f>SUM(K69:K73)</f>
        <v>1531784224.2892108</v>
      </c>
      <c r="L74" s="199">
        <f t="shared" ca="1" si="15"/>
        <v>66599314.099530905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63996396.039980002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20454022.299999997</v>
      </c>
    </row>
    <row r="82" spans="2:4" x14ac:dyDescent="0.25">
      <c r="B82" s="53" t="s">
        <v>174</v>
      </c>
      <c r="C82" s="56" t="s">
        <v>175</v>
      </c>
      <c r="D82" s="141">
        <f>IF(E20="",0,E20)</f>
        <v>2882882.8</v>
      </c>
    </row>
    <row r="83" spans="2:4" x14ac:dyDescent="0.25">
      <c r="B83" s="50" t="s">
        <v>71</v>
      </c>
      <c r="C83" s="55" t="s">
        <v>72</v>
      </c>
      <c r="D83" s="140">
        <f>IF(E15="",0,E15)</f>
        <v>66233333.459964998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9664864.7599999998</v>
      </c>
    </row>
    <row r="86" spans="2:4" x14ac:dyDescent="0.25">
      <c r="B86" s="53" t="s">
        <v>76</v>
      </c>
      <c r="C86" s="56" t="s">
        <v>77</v>
      </c>
      <c r="D86" s="141">
        <f>IF(E17="",0,E17)</f>
        <v>239411619.89997399</v>
      </c>
    </row>
    <row r="87" spans="2:4" x14ac:dyDescent="0.25">
      <c r="B87" s="50" t="s">
        <v>78</v>
      </c>
      <c r="C87" s="55" t="s">
        <v>79</v>
      </c>
      <c r="D87" s="140">
        <f>IF(E23="",0,E23)</f>
        <v>86204505.229828998</v>
      </c>
    </row>
    <row r="88" spans="2:4" x14ac:dyDescent="0.25">
      <c r="B88" s="53" t="s">
        <v>174</v>
      </c>
      <c r="C88" s="56" t="s">
        <v>176</v>
      </c>
      <c r="D88" s="141">
        <f>IF(E21="",0,E21)</f>
        <v>3783783.68</v>
      </c>
    </row>
    <row r="89" spans="2:4" x14ac:dyDescent="0.25">
      <c r="B89" s="53" t="s">
        <v>80</v>
      </c>
      <c r="C89" s="56" t="s">
        <v>81</v>
      </c>
      <c r="D89" s="141">
        <f>IF(E11="",0,E11)</f>
        <v>14940540.84</v>
      </c>
    </row>
    <row r="90" spans="2:4" x14ac:dyDescent="0.25">
      <c r="B90" s="50" t="s">
        <v>82</v>
      </c>
      <c r="C90" s="55" t="s">
        <v>83</v>
      </c>
      <c r="D90" s="140">
        <f>IF(E24="",0,E24)</f>
        <v>85028739.059912995</v>
      </c>
    </row>
    <row r="91" spans="2:4" x14ac:dyDescent="0.25">
      <c r="B91" s="53" t="s">
        <v>84</v>
      </c>
      <c r="C91" s="56" t="s">
        <v>85</v>
      </c>
      <c r="D91" s="141">
        <f>IF(E10="",0,E10)</f>
        <v>36350629.609999999</v>
      </c>
    </row>
    <row r="92" spans="2:4" x14ac:dyDescent="0.25">
      <c r="B92" s="50" t="s">
        <v>86</v>
      </c>
      <c r="C92" s="55" t="s">
        <v>87</v>
      </c>
      <c r="D92" s="140">
        <f>IF(E27="",0,E27)</f>
        <v>2770810.8769999999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23329730.18</v>
      </c>
    </row>
    <row r="94" spans="2:4" x14ac:dyDescent="0.25">
      <c r="B94" s="57" t="s">
        <v>152</v>
      </c>
      <c r="C94" s="58"/>
      <c r="D94" s="125">
        <f>SUM(D80:D93)</f>
        <v>655051858.73666096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35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52" t="s">
        <v>163</v>
      </c>
      <c r="C41" s="253"/>
      <c r="D41" s="254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15.75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15.75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165</v>
      </c>
      <c r="C41" s="253"/>
      <c r="D41" s="254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177</v>
      </c>
      <c r="C41" s="253"/>
      <c r="D41" s="254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52" t="s">
        <v>179</v>
      </c>
      <c r="C41" s="253"/>
      <c r="D41" s="254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49" t="s">
        <v>146</v>
      </c>
      <c r="C46" s="250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55" t="s">
        <v>147</v>
      </c>
      <c r="C48" s="256"/>
      <c r="D48" s="256"/>
      <c r="E48" s="256"/>
      <c r="F48" s="256"/>
      <c r="G48" s="256"/>
      <c r="H48" s="256"/>
      <c r="I48" s="256"/>
      <c r="J48" s="256"/>
      <c r="K48" s="261" t="s">
        <v>188</v>
      </c>
      <c r="L48" s="262"/>
      <c r="M48" s="262"/>
      <c r="N48" s="262"/>
      <c r="O48" s="262"/>
      <c r="P48" s="263"/>
    </row>
    <row r="49" spans="2:16" ht="33.950000000000003" customHeight="1" x14ac:dyDescent="0.25">
      <c r="B49" s="251" t="s">
        <v>41</v>
      </c>
      <c r="C49" s="251" t="s">
        <v>42</v>
      </c>
      <c r="D49" s="246" t="s">
        <v>138</v>
      </c>
      <c r="E49" s="247"/>
      <c r="F49" s="248"/>
      <c r="G49" s="117" t="s">
        <v>139</v>
      </c>
      <c r="H49" s="117"/>
      <c r="I49" s="117"/>
      <c r="J49" s="246" t="s">
        <v>140</v>
      </c>
      <c r="K49" s="264" t="str">
        <f>"SELISIH"&amp;CHAR(10)&amp;TEXT($H$41,"0%")</f>
        <v>SELISIH
90%</v>
      </c>
      <c r="L49" s="264" t="str">
        <f>"PER HARI"&amp;CHAR(10)&amp;TEXT($H$41,"0%")</f>
        <v>PER HARI
90%</v>
      </c>
      <c r="M49" s="266" t="str">
        <f>"SELISIH"&amp;CHAR(10)&amp;TEXT($J$41,"0%")</f>
        <v>SELISIH
95%</v>
      </c>
      <c r="N49" s="266" t="str">
        <f>"PER HARI"&amp;CHAR(10)&amp;TEXT($J$41,"0%")</f>
        <v>PER HARI
95%</v>
      </c>
      <c r="O49" s="268" t="str">
        <f>"SELISIH"&amp;CHAR(10)&amp;TEXT($L$41,"0%")</f>
        <v>SELISIH
100%</v>
      </c>
      <c r="P49" s="268" t="str">
        <f>"PER HARI"&amp;CHAR(10)&amp;TEXT($L$41,"0%")</f>
        <v>PER HARI
100%</v>
      </c>
    </row>
    <row r="50" spans="2:16" ht="51" customHeight="1" x14ac:dyDescent="0.25">
      <c r="B50" s="251"/>
      <c r="C50" s="251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46"/>
      <c r="K50" s="265"/>
      <c r="L50" s="265"/>
      <c r="M50" s="267"/>
      <c r="N50" s="267"/>
      <c r="O50" s="269"/>
      <c r="P50" s="269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3" t="s">
        <v>145</v>
      </c>
      <c r="C67" s="274"/>
      <c r="D67" s="274"/>
      <c r="E67" s="274"/>
      <c r="F67" s="274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1" t="s">
        <v>41</v>
      </c>
      <c r="C78" s="251" t="s">
        <v>42</v>
      </c>
      <c r="D78" s="126" t="s">
        <v>139</v>
      </c>
    </row>
    <row r="79" spans="2:16" ht="15.75" x14ac:dyDescent="0.25">
      <c r="B79" s="251"/>
      <c r="C79" s="251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B67:F67"/>
    <mergeCell ref="D49:F49"/>
    <mergeCell ref="J49:J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2">
    <dataValidation type="list" allowBlank="1" showInputMessage="1" showErrorMessage="1" promptTitle="Target %" prompt="Pilih % target: 70% - 100%" sqref="H41">
      <formula1>$S$41:$S$47</formula1>
    </dataValidation>
    <dataValidation type="list" allowBlank="1" showInputMessage="1" showErrorMessage="1" promptTitle="Target %" prompt="Pilih % target: 70% - 100%" sqref="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2026-07-31T05:40:55Z</cp:lastPrinted>
  <dcterms:created xsi:type="dcterms:W3CDTF">2026-03-24T08:59:20Z</dcterms:created>
  <dcterms:modified xsi:type="dcterms:W3CDTF">2026-08-05T00:47:28Z</dcterms:modified>
  <dc:language>en-US</dc:language>
</cp:coreProperties>
</file>