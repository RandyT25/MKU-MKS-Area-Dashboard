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1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72" i="10"/>
  <c r="I72" i="10"/>
  <c r="K72" i="10"/>
  <c r="G73" i="10"/>
  <c r="I73" i="10"/>
  <c r="K73" i="10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H62" i="10" s="1"/>
  <c r="M17" i="10"/>
  <c r="G62" i="10" s="1"/>
  <c r="N16" i="10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M8" i="10"/>
  <c r="G51" i="10" s="1"/>
  <c r="N7" i="10"/>
  <c r="M7" i="10"/>
  <c r="H63" i="10"/>
  <c r="H61" i="10"/>
  <c r="H59" i="10"/>
  <c r="G59" i="10"/>
  <c r="H57" i="10"/>
  <c r="H53" i="10"/>
  <c r="G53" i="10"/>
  <c r="H51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58" i="10" l="1"/>
  <c r="I52" i="10"/>
  <c r="I57" i="10"/>
  <c r="I60" i="10"/>
  <c r="I62" i="10"/>
  <c r="G74" i="6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1"/>
  <c r="K46" i="11"/>
  <c r="K74" i="11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J72" i="10"/>
  <c r="H73" i="10"/>
  <c r="J73" i="10"/>
  <c r="H72" i="10"/>
  <c r="L72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F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F59" i="10"/>
  <c r="F58" i="10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I70" i="10" l="1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J53" i="10"/>
  <c r="K53" i="10"/>
  <c r="L53" i="10" s="1"/>
  <c r="O53" i="10"/>
  <c r="P53" i="10" s="1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J53" i="11" s="1"/>
  <c r="F70" i="11"/>
  <c r="F58" i="11"/>
  <c r="J58" i="11" s="1"/>
  <c r="F56" i="10"/>
  <c r="F64" i="10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G71" i="10" l="1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I74" i="10"/>
  <c r="J74" i="10" s="1"/>
  <c r="J69" i="10"/>
  <c r="G74" i="10"/>
  <c r="H74" i="10" s="1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K46" i="10"/>
  <c r="L46" i="10" s="1"/>
  <c r="L43" i="10"/>
  <c r="H43" i="13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K74" i="10" l="1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<sst xmlns="http://schemas.openxmlformats.org/spreadsheetml/2006/main" count="1843" uniqueCount="193">
  <si>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</si>
  <si>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</si>
  <si>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</si>
  <si>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</si>
  <si>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</si>
  <si>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</si>
  <si>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</si>
  <si>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</si>
  <si>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</si>
  <si>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</si>
  <si>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</si>
  <si>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</si>
  <si>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</si>
  <si>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</si>
  <si>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</si>
  <si>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</si>
  <si>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</si>
  <si>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</si>
  <si>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</si>
  <si>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</si>
  <si>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</si>
  <si>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</si>
  <si>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</si>
  <si>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</si>
  <si>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</si>
  <si>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</si>
  <si>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</si>
  <si>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</si>
  <si>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</si>
  <si>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</si>
  <si>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</si>
  <si>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</si>
  <si>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</si>
  <si>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</si>
  <si>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</si>
  <si>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</si>
  <si>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</si>
  <si>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</si>
  <si>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</si>
  <si>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</si>
  <si>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</si>
  <si>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</si>
  <si>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</si>
  <si>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</si>
  <si>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</si>
  <si>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</si>
  <si>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</si>
  <si>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</si>
  <si>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</si>
  <si>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</si>
  <si>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</si>
  <si>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</si>
  <si>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</si>
  <si>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</si>
  <si>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</si>
  <si>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</si>
  <si>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</si>
  <si>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</si>
  <si>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</si>
  <si>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</si>
  <si>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</si>
  <si>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</si>
  <si>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</si>
  <si>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</si>
  <si>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</si>
  <si>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</si>
  <si>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</si>
  <si>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</si>
  <si>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</si>
  <si>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</si>
  <si>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</si>
  <si>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</si>
  <si>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</si>
  <si>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</si>
  <si>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</si>
  <si>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</si>
  <si>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</si>
  <si>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</si>
  <si>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</si>
  <si>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</si>
  <si>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</si>
  <si>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</si>
  <si>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</si>
  <si>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</si>
  <si>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</si>
  <si>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</si>
  <si>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</si>
  <si>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</si>
  <si>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</si>
  <si>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</si>
  <si>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</si>
  <si>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</si>
  <si>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</si>
  <si>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</si>
  <si>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</si>
  <si>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</si>
  <si>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</si>
  <si>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</si>
  <si>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</si>
  <si>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</si>
  <si>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</si>
  <si>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</si>
  <si>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</si>
  <si>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</si>
  <si>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</si>
  <si>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</si>
  <si>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</si>
  <si>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</si>
  <si>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</si>
  <si>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</si>
  <si>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</si>
  <si>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</si>
  <si>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</si>
  <si>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</si>
  <si>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</si>
  <si>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</si>
  <si>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</si>
  <si>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</si>
  <si>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</si>
  <si>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</si>
  <si>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</si>
  <si>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</si>
  <si>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</si>
  <si>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</si>
  <si>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</si>
  <si>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</si>
  <si>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</si>
  <si>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</si>
  <si>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</si>
  <si>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</si>
  <si>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</si>
  <si>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</si>
  <si>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</si>
  <si>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</si>
  <si>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</si>
  <si>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</si>
  <si>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</si>
  <si>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</si>
  <si>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</si>
  <si>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</si>
  <si>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</si>
  <si>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</si>
  <si>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</si>
  <si>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</si>
  <si>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</si>
  <si>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</si>
  <si>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</si>
  <si>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</si>
  <si>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</si>
  <si>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</si>
  <si>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</si>
  <si>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</si>
  <si>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</si>
  <si>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</si>
  <si>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</si>
  <si>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</si>
  <si>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</si>
  <si>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</si>
  <si>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</si>
  <si>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</si>
  <si>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</si>
  <si>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</si>
  <si>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</si>
  <si>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</si>
  <si>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</si>
  <si>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</si>
  <si>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</si>
  <si>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</si>
  <si>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</si>
  <si>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</si>
  <si>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</si>
  <si>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</si>
  <si>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</si>
  <si>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</si>
  <si>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</si>
  <si>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</si>
  <si>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</si>
  <si>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</si>
  <si>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</si>
  <si>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</si>
  <si>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</si>
  <si>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</si>
  <si>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</si>
  <si>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</si>
  <si>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</si>
  <si>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</si>
  <si>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</si>
  <si>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</si>
  <si>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</si>
  <si>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</si>
  <si>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</si>
  <si>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</si>
  <si>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DATA PENCAPAIAN — GLOBAL — 4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</si>
</sst>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61" t="s">
        <v>180</v>
      </c>
      <c r="C41" s="262"/>
      <c r="D41" s="263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  <c r="Q48"/>
      <c r="R48"/>
    </row>
    <row r="49" spans="2:18" s="148" customFormat="1" ht="33.950000000000003" customHeight="1" x14ac:dyDescent="0.25">
      <c r="B49" s="269" t="s">
        <v>41</v>
      </c>
      <c r="C49" s="269" t="s">
        <v>42</v>
      </c>
      <c r="D49" s="266" t="s">
        <v>138</v>
      </c>
      <c r="E49" s="267"/>
      <c r="F49" s="268"/>
      <c r="G49" s="149" t="s">
        <v>139</v>
      </c>
      <c r="H49" s="149"/>
      <c r="I49" s="149"/>
      <c r="J49" s="26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59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9"/>
      <c r="C50" s="269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66"/>
      <c r="K50" s="256"/>
      <c r="L50" s="256"/>
      <c r="M50" s="258"/>
      <c r="N50" s="202"/>
      <c r="O50" s="196"/>
      <c r="P50" s="260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64" t="s">
        <v>145</v>
      </c>
      <c r="C67" s="265"/>
      <c r="D67" s="265"/>
      <c r="E67" s="265"/>
      <c r="F67" s="265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41:D41"/>
    <mergeCell ref="B48:J48"/>
    <mergeCell ref="B67:F67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24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2" t="s">
        <v>181</v>
      </c>
      <c r="C41" s="273"/>
      <c r="D41" s="274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-2130577.2078497014</v>
      </c>
      <c r="I43" s="218">
        <f>D43*$J$41-E43</f>
        <v>290830113.6116066</v>
      </c>
      <c r="J43" s="218">
        <f ca="1">IFERROR(I43/$C$3,0)</f>
        <v>12117921.400483608</v>
      </c>
      <c r="K43" s="198">
        <f>D43*$L$41-E43</f>
        <v>632794080.21160698</v>
      </c>
      <c r="L43" s="198">
        <f ca="1">IFERROR(K43/$C$3,0)</f>
        <v>26366420.008816957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17002535.303943943</v>
      </c>
      <c r="I44" s="218">
        <f>D44*$J$41-E44</f>
        <v>481824088.50567269</v>
      </c>
      <c r="J44" s="218">
        <f ca="1">IFERROR(I44/$C$3,0)</f>
        <v>20076003.687736362</v>
      </c>
      <c r="K44" s="198">
        <f>D44*$L$41-E44</f>
        <v>555587329.71669078</v>
      </c>
      <c r="L44" s="198">
        <f ca="1">IFERROR(K44/$C$3,0)</f>
        <v>23149472.071528781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-2855223.2333630323</v>
      </c>
      <c r="I45" s="218">
        <f>D45*$J$41-E45</f>
        <v>20623578.569499731</v>
      </c>
      <c r="J45" s="218">
        <f ca="1">IFERROR(I45/$C$3,0)</f>
        <v>859315.77372915542</v>
      </c>
      <c r="K45" s="198">
        <f>D45*$L$41-E45</f>
        <v>109772514.73971272</v>
      </c>
      <c r="L45" s="198">
        <f ca="1">IFERROR(K45/$C$3,0)</f>
        <v>4573854.7808213634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12016734.862731209</v>
      </c>
      <c r="I46" s="199">
        <f>I43+I44+I45</f>
        <v>793277780.68677902</v>
      </c>
      <c r="J46" s="199">
        <f ca="1">IFERROR(I46/$C$3,0)</f>
        <v>33053240.861949127</v>
      </c>
      <c r="K46" s="199">
        <f>K43+K44+K45</f>
        <v>1298153924.6680105</v>
      </c>
      <c r="L46" s="199">
        <f ca="1">IFERROR(K46/$C$3,0)</f>
        <v>54089746.861167103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4310363.9751874106</v>
      </c>
      <c r="M51" s="193">
        <f t="shared" ref="M51:M64" si="5">F51*$J$41-I51</f>
        <v>127696429.36553055</v>
      </c>
      <c r="N51" s="193">
        <f t="shared" ref="N51:N65" ca="1" si="6">IFERROR(M51/$C$3,0)</f>
        <v>5320684.5568971066</v>
      </c>
      <c r="O51" s="198">
        <f t="shared" ref="O51:O64" si="7">F51*$L$41-I51</f>
        <v>151944123.3265633</v>
      </c>
      <c r="P51" s="198">
        <f t="shared" ref="P51:P65" ca="1" si="8">IFERROR(O51/$C$3,0)</f>
        <v>6331005.1386068044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2553196.6453029164</v>
      </c>
      <c r="M52" s="193">
        <f t="shared" si="5"/>
        <v>98613177.237269998</v>
      </c>
      <c r="N52" s="193">
        <f t="shared" ca="1" si="6"/>
        <v>4108882.3848862499</v>
      </c>
      <c r="O52" s="198">
        <f t="shared" si="7"/>
        <v>135949634.98727</v>
      </c>
      <c r="P52" s="198">
        <f t="shared" ca="1" si="8"/>
        <v>5664568.1244695829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823253.97500000021</v>
      </c>
      <c r="M53" s="193">
        <f t="shared" si="5"/>
        <v>31831758.799999982</v>
      </c>
      <c r="N53" s="193">
        <f t="shared" ca="1" si="6"/>
        <v>1326323.2833333325</v>
      </c>
      <c r="O53" s="198">
        <f t="shared" si="7"/>
        <v>43905422.199999988</v>
      </c>
      <c r="P53" s="198">
        <f t="shared" ca="1" si="8"/>
        <v>1829392.5916666661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-4421172.3903233558</v>
      </c>
      <c r="M54" s="193">
        <f t="shared" si="5"/>
        <v>-73228422.42689395</v>
      </c>
      <c r="N54" s="193">
        <f t="shared" ca="1" si="6"/>
        <v>-3051184.2677872479</v>
      </c>
      <c r="O54" s="198">
        <f t="shared" si="7"/>
        <v>-40348707.486027122</v>
      </c>
      <c r="P54" s="198">
        <f t="shared" ca="1" si="8"/>
        <v>-1681196.14525113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3416713.2371822395</v>
      </c>
      <c r="M55" s="193">
        <f t="shared" si="5"/>
        <v>106397747.65194988</v>
      </c>
      <c r="N55" s="193">
        <f t="shared" ca="1" si="6"/>
        <v>4433239.4854979115</v>
      </c>
      <c r="O55" s="198">
        <f t="shared" si="7"/>
        <v>130794377.61152613</v>
      </c>
      <c r="P55" s="198">
        <f t="shared" ca="1" si="8"/>
        <v>5449765.7338135885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1048820.0767782629</v>
      </c>
      <c r="M56" s="193">
        <f t="shared" si="5"/>
        <v>52929593.148810923</v>
      </c>
      <c r="N56" s="193">
        <f t="shared" ca="1" si="6"/>
        <v>2205399.7145337886</v>
      </c>
      <c r="O56" s="198">
        <f t="shared" si="7"/>
        <v>80687504.454943657</v>
      </c>
      <c r="P56" s="198">
        <f t="shared" ca="1" si="8"/>
        <v>3361979.352289319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-5436909.4917773008</v>
      </c>
      <c r="M57" s="193">
        <f t="shared" si="5"/>
        <v>-77801481.735697389</v>
      </c>
      <c r="N57" s="193">
        <f t="shared" ca="1" si="6"/>
        <v>-3241728.4056540579</v>
      </c>
      <c r="O57" s="198">
        <f t="shared" si="7"/>
        <v>-25117135.668739557</v>
      </c>
      <c r="P57" s="198">
        <f t="shared" ca="1" si="8"/>
        <v>-1046547.3195308149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2246149.2473037518</v>
      </c>
      <c r="M58" s="193">
        <f t="shared" si="5"/>
        <v>82361005.085290074</v>
      </c>
      <c r="N58" s="193">
        <f t="shared" ca="1" si="6"/>
        <v>3431708.5452204198</v>
      </c>
      <c r="O58" s="198">
        <f t="shared" si="7"/>
        <v>110814428.23529005</v>
      </c>
      <c r="P58" s="198">
        <f t="shared" ca="1" si="8"/>
        <v>4617267.8431370854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2633282.2404177091</v>
      </c>
      <c r="M59" s="193">
        <f t="shared" si="5"/>
        <v>83405456.970024943</v>
      </c>
      <c r="N59" s="193">
        <f t="shared" ca="1" si="6"/>
        <v>3475227.3737510392</v>
      </c>
      <c r="O59" s="198">
        <f t="shared" si="7"/>
        <v>103612140.17002499</v>
      </c>
      <c r="P59" s="198">
        <f t="shared" ca="1" si="8"/>
        <v>4317172.5070843743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890157.40564503521</v>
      </c>
      <c r="M60" s="193">
        <f t="shared" si="5"/>
        <v>48487862.696380615</v>
      </c>
      <c r="N60" s="193">
        <f t="shared" ca="1" si="6"/>
        <v>2020327.6123491924</v>
      </c>
      <c r="O60" s="198">
        <f t="shared" si="7"/>
        <v>75611947.657280385</v>
      </c>
      <c r="P60" s="198">
        <f t="shared" ca="1" si="8"/>
        <v>3150497.8190533496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4508293.2393673239</v>
      </c>
      <c r="M61" s="193">
        <f t="shared" si="5"/>
        <v>142717597.57534701</v>
      </c>
      <c r="N61" s="193">
        <f t="shared" ca="1" si="6"/>
        <v>5946566.5656394586</v>
      </c>
      <c r="O61" s="198">
        <f t="shared" si="7"/>
        <v>177236157.40587825</v>
      </c>
      <c r="P61" s="198">
        <f t="shared" ca="1" si="8"/>
        <v>7384839.8919115933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3055983.7659246451</v>
      </c>
      <c r="M62" s="193">
        <f t="shared" si="5"/>
        <v>95858969.272182167</v>
      </c>
      <c r="N62" s="193">
        <f t="shared" ca="1" si="6"/>
        <v>3994123.7196742571</v>
      </c>
      <c r="O62" s="198">
        <f t="shared" si="7"/>
        <v>118374328.16217285</v>
      </c>
      <c r="P62" s="198">
        <f t="shared" ca="1" si="8"/>
        <v>4932263.6734238686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-2362921.0723448447</v>
      </c>
      <c r="M63" s="193">
        <f t="shared" si="5"/>
        <v>-11052211.386640549</v>
      </c>
      <c r="N63" s="193">
        <f t="shared" ca="1" si="6"/>
        <v>-460508.80777668953</v>
      </c>
      <c r="O63" s="198">
        <f t="shared" si="7"/>
        <v>34605682.96299541</v>
      </c>
      <c r="P63" s="198">
        <f t="shared" ca="1" si="8"/>
        <v>1441903.4567914754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1606747.2424304907</v>
      </c>
      <c r="M64" s="193">
        <f t="shared" si="5"/>
        <v>64436719.86372602</v>
      </c>
      <c r="N64" s="193">
        <f t="shared" ca="1" si="6"/>
        <v>2684863.3276552507</v>
      </c>
      <c r="O64" s="198">
        <f t="shared" si="7"/>
        <v>90311505.909120381</v>
      </c>
      <c r="P64" s="198">
        <f t="shared" ca="1" si="8"/>
        <v>3762979.412880016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14871958.096094286</v>
      </c>
      <c r="M65" s="194">
        <f>SUM(M51:M64)</f>
        <v>772654202.11728036</v>
      </c>
      <c r="N65" s="194">
        <f t="shared" ca="1" si="6"/>
        <v>32193925.088220015</v>
      </c>
      <c r="O65" s="199">
        <f>SUM(O51:O64)</f>
        <v>1188381409.9282987</v>
      </c>
      <c r="P65" s="199">
        <f t="shared" ca="1" si="8"/>
        <v>49515892.08034578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-1715393.3211122255</v>
      </c>
      <c r="I69" s="218">
        <f>D69*$J$41-E69</f>
        <v>-27266208.811482966</v>
      </c>
      <c r="J69" s="218">
        <f t="shared" ref="J69:J74" ca="1" si="14">IFERROR(I69/$C$3,0)</f>
        <v>-1136092.0338117902</v>
      </c>
      <c r="K69" s="198">
        <f>D69*$L$41-E69</f>
        <v>-13362977.916272461</v>
      </c>
      <c r="L69" s="198">
        <f t="shared" ref="L69:L74" ca="1" si="15">IFERROR(K69/$C$3,0)</f>
        <v>-556790.7465113526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-2512139.0856889412</v>
      </c>
      <c r="I70" s="218">
        <f>D70*$J$41-E70</f>
        <v>-39410410.397208512</v>
      </c>
      <c r="J70" s="218">
        <f t="shared" ca="1" si="14"/>
        <v>-1642100.4332170214</v>
      </c>
      <c r="K70" s="198">
        <f>D70*$L$41-E70</f>
        <v>-18529482.737882435</v>
      </c>
      <c r="L70" s="198">
        <f t="shared" ca="1" si="15"/>
        <v>-772061.78074510151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1372309.1734381367</v>
      </c>
      <c r="I71" s="218">
        <f>D71*$J$41-E71</f>
        <v>87300197.778191447</v>
      </c>
      <c r="J71" s="218">
        <f t="shared" ca="1" si="14"/>
        <v>3637508.2407579771</v>
      </c>
      <c r="K71" s="198">
        <f>D71*$L$41-E71</f>
        <v>141664975.39386773</v>
      </c>
      <c r="L71" s="198">
        <f t="shared" ca="1" si="15"/>
        <v>5902707.3080778224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-2855223.23336303</v>
      </c>
      <c r="I74" s="199">
        <f>SUM(I69:I73)</f>
        <v>20623578.569499969</v>
      </c>
      <c r="J74" s="199">
        <f t="shared" ca="1" si="14"/>
        <v>859315.77372916543</v>
      </c>
      <c r="K74" s="199">
        <f>SUM(K69:K73)</f>
        <v>109772514.73971283</v>
      </c>
      <c r="L74" s="199">
        <f t="shared" ca="1" si="15"/>
        <v>4573854.7808213681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1" t="s">
        <v>182</v>
      </c>
      <c r="C41" s="262"/>
      <c r="D41" s="263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H11" sqref="H11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0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5">
      <c r="B10" s="74" t="s">
        <v>113</v>
      </c>
      <c r="C10" s="233">
        <v>393617269.45962203</v>
      </c>
      <c r="D10" s="233">
        <v>52106885.865496002</v>
      </c>
      <c r="E10" s="233">
        <v>178626089.13999999</v>
      </c>
      <c r="F10" s="233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5">
      <c r="B11" s="74" t="s">
        <v>114</v>
      </c>
      <c r="C11" s="233">
        <v>324688224.63140702</v>
      </c>
      <c r="D11" s="233">
        <v>130969678.577117</v>
      </c>
      <c r="E11" s="233">
        <v>123485070.23999999</v>
      </c>
      <c r="F11" s="233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5">
      <c r="B12" s="74" t="s">
        <v>184</v>
      </c>
      <c r="C12" s="233">
        <v>341819821.47863901</v>
      </c>
      <c r="D12" s="233">
        <v>43800016.100000001</v>
      </c>
      <c r="E12" s="233" t="s">
        <v>167</v>
      </c>
      <c r="F12" s="233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5">
      <c r="B13" s="74" t="s">
        <v>70</v>
      </c>
      <c r="C13" s="233">
        <v>335783257.01891601</v>
      </c>
      <c r="D13" s="233">
        <v>116240171.81246901</v>
      </c>
      <c r="E13" s="233">
        <v>62660260.079999998</v>
      </c>
      <c r="F13" s="233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5">
      <c r="B14" s="74" t="s">
        <v>115</v>
      </c>
      <c r="C14" s="233">
        <v>309974778.642878</v>
      </c>
      <c r="D14" s="233">
        <v>38873783.709844001</v>
      </c>
      <c r="E14" s="233">
        <v>61782485.780000001</v>
      </c>
      <c r="F14" s="233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5">
      <c r="B15" s="84" t="s">
        <v>116</v>
      </c>
      <c r="C15" s="233">
        <v>1054671906.6945471</v>
      </c>
      <c r="D15" s="233">
        <v>29495978.518279999</v>
      </c>
      <c r="E15" s="233">
        <v>410218259.94994998</v>
      </c>
      <c r="F15" s="233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5">
      <c r="B16" s="74" t="s">
        <v>119</v>
      </c>
      <c r="C16" s="233">
        <v>1554416407.7220271</v>
      </c>
      <c r="D16" s="233">
        <v>10384914.213416999</v>
      </c>
      <c r="E16" s="233">
        <v>8032432.3600000003</v>
      </c>
      <c r="F16" s="233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5">
      <c r="B17" s="74" t="s">
        <v>121</v>
      </c>
      <c r="C17" s="233">
        <v>1425026257.5066569</v>
      </c>
      <c r="D17" s="233">
        <v>87442239.299614996</v>
      </c>
      <c r="E17" s="233">
        <v>1305012954.6799581</v>
      </c>
      <c r="F17" s="233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5">
      <c r="B18" s="74" t="s">
        <v>123</v>
      </c>
      <c r="C18" s="233">
        <v>269119168.26818502</v>
      </c>
      <c r="D18" s="233">
        <v>21889933.159789</v>
      </c>
      <c r="E18" s="233">
        <v>7372973.1399999997</v>
      </c>
      <c r="F18" s="233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5">
      <c r="B19" s="74" t="s">
        <v>124</v>
      </c>
      <c r="C19" s="233">
        <v>72833049.799989</v>
      </c>
      <c r="D19" s="233">
        <v>128966591.851889</v>
      </c>
      <c r="E19" s="233">
        <v>85016217.859999999</v>
      </c>
      <c r="F19" s="233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5">
      <c r="B20" s="74" t="s">
        <v>171</v>
      </c>
      <c r="C20" s="233">
        <v>195476199.69999999</v>
      </c>
      <c r="D20" s="233" t="s">
        <v>167</v>
      </c>
      <c r="E20" s="233">
        <v>11387387.08</v>
      </c>
      <c r="F20" s="233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233">
        <v>288524887.39999998</v>
      </c>
      <c r="D21" s="233" t="s">
        <v>167</v>
      </c>
      <c r="E21" s="233">
        <v>15855585.16</v>
      </c>
      <c r="F21" s="233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233">
        <v>448510399.46910501</v>
      </c>
      <c r="D22" s="233">
        <v>63011769.152930997</v>
      </c>
      <c r="E22" s="233">
        <v>503698656.98984998</v>
      </c>
      <c r="F22" s="233">
        <v>1015220825.611886</v>
      </c>
      <c r="H22" s="116"/>
      <c r="I22" s="116"/>
      <c r="J22" s="116"/>
    </row>
    <row r="23" spans="2:14" x14ac:dyDescent="0.25">
      <c r="B23" s="74" t="s">
        <v>126</v>
      </c>
      <c r="C23" s="233">
        <v>537624961.29726696</v>
      </c>
      <c r="D23" s="233">
        <v>72473352.539875999</v>
      </c>
      <c r="E23" s="233">
        <v>310958467.80928099</v>
      </c>
      <c r="F23" s="233">
        <v>921056781.64642406</v>
      </c>
      <c r="H23" s="116"/>
      <c r="I23" s="116"/>
      <c r="J23" s="116"/>
    </row>
    <row r="24" spans="2:14" x14ac:dyDescent="0.25">
      <c r="B24" s="74" t="s">
        <v>127</v>
      </c>
      <c r="C24" s="233">
        <v>687182241.108935</v>
      </c>
      <c r="D24" s="233">
        <v>61286832.419910997</v>
      </c>
      <c r="E24" s="233">
        <v>792137124.23901403</v>
      </c>
      <c r="F24" s="233">
        <v>1540606197.7678599</v>
      </c>
      <c r="H24" s="116"/>
      <c r="I24" s="116"/>
      <c r="J24" s="116"/>
    </row>
    <row r="25" spans="2:14" x14ac:dyDescent="0.25">
      <c r="B25" s="74" t="s">
        <v>185</v>
      </c>
      <c r="C25" s="233">
        <v>267316450.13510299</v>
      </c>
      <c r="D25" s="233">
        <v>6945068.9099909998</v>
      </c>
      <c r="E25" s="233">
        <v>65202431.659999996</v>
      </c>
      <c r="F25" s="233">
        <v>339463950.70509398</v>
      </c>
      <c r="H25" s="116"/>
      <c r="I25" s="116"/>
      <c r="J25" s="116"/>
    </row>
    <row r="26" spans="2:14" x14ac:dyDescent="0.25">
      <c r="B26" s="74" t="s">
        <v>186</v>
      </c>
      <c r="C26" s="233">
        <v>138084633.55645701</v>
      </c>
      <c r="D26" s="233">
        <v>103844000.433377</v>
      </c>
      <c r="E26" s="233" t="s">
        <v>167</v>
      </c>
      <c r="F26" s="233">
        <v>241928633.98983401</v>
      </c>
      <c r="H26" s="116"/>
      <c r="I26" s="116"/>
      <c r="J26" s="116"/>
    </row>
    <row r="27" spans="2:14" x14ac:dyDescent="0.25">
      <c r="B27" s="74" t="s">
        <v>128</v>
      </c>
      <c r="C27" s="233">
        <v>887123024.85446894</v>
      </c>
      <c r="D27" s="233">
        <v>267781372.49532399</v>
      </c>
      <c r="E27" s="233">
        <v>17830594.9778</v>
      </c>
      <c r="F27" s="233">
        <v>1172734992.3275931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233">
        <v>603527981.52019799</v>
      </c>
      <c r="G33" s="116"/>
      <c r="H33" s="116"/>
      <c r="I33" s="116"/>
    </row>
    <row r="34" spans="2:19" x14ac:dyDescent="0.25">
      <c r="B34" s="84" t="s">
        <v>134</v>
      </c>
      <c r="C34" s="233">
        <v>132378030.09105299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61" t="s">
        <v>191</v>
      </c>
      <c r="C41" s="262"/>
      <c r="D41" s="263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124442745.86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410218259.94994998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40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40">
        <f>IF(E23="",0,E23)</f>
        <v>310958467.80928099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40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40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40">
        <f>IF(E27="",0,E27)</f>
        <v>17830594.9778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92389191</v>
      </c>
    </row>
    <row r="94" spans="2:4" x14ac:dyDescent="0.25">
      <c r="B94" s="57" t="s">
        <v>152</v>
      </c>
      <c r="C94" s="58"/>
      <c r="D94" s="125">
        <f>SUM(D80:D93)</f>
        <v>3951244558.7858524</v>
      </c>
    </row>
  </sheetData>
  <mergeCells count="17">
    <mergeCell ref="B41:D41"/>
    <mergeCell ref="B48:J48"/>
    <mergeCell ref="B46:C46"/>
    <mergeCell ref="B49:B50"/>
    <mergeCell ref="C49:C50"/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abSelected="1" topLeftCell="A74" zoomScaleNormal="100" workbookViewId="0">
      <selection activeCell="G91" sqref="G91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24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59438084.998331003</v>
      </c>
      <c r="N8" s="11">
        <f>D22</f>
        <v>5497747.7499970002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56838279.192717999</v>
      </c>
      <c r="N9" s="11">
        <f>D13+D14</f>
        <v>20876126.579974998</v>
      </c>
    </row>
    <row r="10" spans="2:14" x14ac:dyDescent="0.25">
      <c r="B10" s="74" t="s">
        <v>113</v>
      </c>
      <c r="C10" s="233">
        <v>55684347.095192999</v>
      </c>
      <c r="D10" s="233">
        <v>8828918.9629950002</v>
      </c>
      <c r="E10" s="233">
        <v>27726125.27</v>
      </c>
      <c r="F10" s="233">
        <v>92239391.328188002</v>
      </c>
      <c r="H10" s="116"/>
      <c r="I10" s="116"/>
      <c r="J10" s="116"/>
      <c r="M10" s="11">
        <f>C15</f>
        <v>137193740.97995201</v>
      </c>
      <c r="N10" s="11">
        <f>D15</f>
        <v>6576373.8799559996</v>
      </c>
    </row>
    <row r="11" spans="2:14" x14ac:dyDescent="0.25">
      <c r="B11" s="74" t="s">
        <v>114</v>
      </c>
      <c r="C11" s="233">
        <v>58052437.817851</v>
      </c>
      <c r="D11" s="233">
        <v>12097518.228946</v>
      </c>
      <c r="E11" s="233">
        <v>11967567.84</v>
      </c>
      <c r="F11" s="233">
        <v>82117523.886796996</v>
      </c>
      <c r="H11" s="116"/>
      <c r="I11" s="116"/>
      <c r="J11" s="116"/>
      <c r="M11" s="11">
        <f>C12</f>
        <v>63091892.199749999</v>
      </c>
      <c r="N11" s="11">
        <f>D12</f>
        <v>0</v>
      </c>
    </row>
    <row r="12" spans="2:14" x14ac:dyDescent="0.25">
      <c r="B12" s="74" t="s">
        <v>184</v>
      </c>
      <c r="C12" s="233">
        <v>63091892.199749999</v>
      </c>
      <c r="D12" s="233">
        <v>0</v>
      </c>
      <c r="E12" s="233">
        <v>0</v>
      </c>
      <c r="F12" s="233">
        <v>63091892.199749999</v>
      </c>
      <c r="H12" s="116"/>
      <c r="I12" s="116"/>
      <c r="J12" s="116"/>
      <c r="M12" s="11">
        <f>C25+C26</f>
        <v>41355516.016506001</v>
      </c>
      <c r="N12" s="11">
        <f>D25+D26</f>
        <v>8674324.2299470007</v>
      </c>
    </row>
    <row r="13" spans="2:14" x14ac:dyDescent="0.25">
      <c r="B13" s="74" t="s">
        <v>70</v>
      </c>
      <c r="C13" s="233">
        <v>22984918.889825001</v>
      </c>
      <c r="D13" s="233">
        <v>17241847.229979999</v>
      </c>
      <c r="E13" s="233">
        <v>7135135.04</v>
      </c>
      <c r="F13" s="233">
        <v>47361901.159805</v>
      </c>
      <c r="H13" s="116"/>
      <c r="I13" s="116"/>
      <c r="J13" s="116"/>
      <c r="M13" s="11">
        <f>C17</f>
        <v>123785075.697051</v>
      </c>
      <c r="N13" s="11">
        <f>D17</f>
        <v>13612238.669988001</v>
      </c>
    </row>
    <row r="14" spans="2:14" x14ac:dyDescent="0.25">
      <c r="B14" s="74" t="s">
        <v>115</v>
      </c>
      <c r="C14" s="233">
        <v>33853360.302892998</v>
      </c>
      <c r="D14" s="233">
        <v>3634279.3499949998</v>
      </c>
      <c r="E14" s="233">
        <v>7585585.5199999996</v>
      </c>
      <c r="F14" s="233">
        <v>45073225.172888003</v>
      </c>
      <c r="H14" s="116"/>
      <c r="I14" s="116"/>
      <c r="J14" s="116"/>
      <c r="M14" s="11">
        <f>C23</f>
        <v>90910905.938901007</v>
      </c>
      <c r="N14" s="11">
        <f>D23</f>
        <v>18945162.179972</v>
      </c>
    </row>
    <row r="15" spans="2:14" x14ac:dyDescent="0.25">
      <c r="B15" s="84" t="s">
        <v>116</v>
      </c>
      <c r="C15" s="233">
        <v>137193740.97995201</v>
      </c>
      <c r="D15" s="233">
        <v>6576373.8799559996</v>
      </c>
      <c r="E15" s="233">
        <v>61631531.709964998</v>
      </c>
      <c r="F15" s="233">
        <v>205401646.56987301</v>
      </c>
      <c r="H15" s="116"/>
      <c r="I15" s="116"/>
      <c r="J15" s="116"/>
      <c r="M15" s="11">
        <f>C11</f>
        <v>58052437.817851</v>
      </c>
      <c r="N15" s="11">
        <f>D11</f>
        <v>12097518.228946</v>
      </c>
    </row>
    <row r="16" spans="2:14" x14ac:dyDescent="0.25">
      <c r="B16" s="74" t="s">
        <v>119</v>
      </c>
      <c r="C16" s="233">
        <v>37120463.429962002</v>
      </c>
      <c r="D16" s="233">
        <v>0</v>
      </c>
      <c r="E16" s="233">
        <v>1135135.1200000001</v>
      </c>
      <c r="F16" s="233">
        <v>38255598.549961999</v>
      </c>
      <c r="H16" s="116"/>
      <c r="I16" s="116"/>
      <c r="J16" s="116"/>
      <c r="M16" s="11">
        <f>C24</f>
        <v>81578394.930037007</v>
      </c>
      <c r="N16" s="11">
        <f>D24</f>
        <v>10228500</v>
      </c>
    </row>
    <row r="17" spans="2:14" x14ac:dyDescent="0.25">
      <c r="B17" s="74" t="s">
        <v>121</v>
      </c>
      <c r="C17" s="233">
        <v>123785075.697051</v>
      </c>
      <c r="D17" s="233">
        <v>13612238.669988001</v>
      </c>
      <c r="E17" s="233">
        <v>180218918.32998401</v>
      </c>
      <c r="F17" s="233">
        <v>317616232.69702297</v>
      </c>
      <c r="H17" s="116"/>
      <c r="I17" s="116"/>
      <c r="J17" s="116"/>
      <c r="M17" s="11">
        <f>C10</f>
        <v>55684347.095192999</v>
      </c>
      <c r="N17" s="11">
        <f>D10</f>
        <v>8828918.9629950002</v>
      </c>
    </row>
    <row r="18" spans="2:14" x14ac:dyDescent="0.25">
      <c r="B18" s="74" t="s">
        <v>123</v>
      </c>
      <c r="C18" s="233">
        <v>27997299.289677002</v>
      </c>
      <c r="D18" s="233">
        <v>0</v>
      </c>
      <c r="E18" s="233">
        <v>7167567.7000000002</v>
      </c>
      <c r="F18" s="233">
        <v>35164866.989676997</v>
      </c>
      <c r="H18" s="116"/>
      <c r="I18" s="116"/>
      <c r="J18" s="116"/>
      <c r="M18" s="11">
        <f>C27</f>
        <v>104689007.35709199</v>
      </c>
      <c r="N18" s="11">
        <f>D27</f>
        <v>22450441.279792</v>
      </c>
    </row>
    <row r="19" spans="2:14" x14ac:dyDescent="0.25">
      <c r="B19" s="74" t="s">
        <v>124</v>
      </c>
      <c r="C19" s="233">
        <v>3711180</v>
      </c>
      <c r="D19" s="233">
        <v>12293164.749872999</v>
      </c>
      <c r="E19" s="233">
        <v>4983783.88</v>
      </c>
      <c r="F19" s="233">
        <v>20988128.629873</v>
      </c>
      <c r="H19" s="116"/>
      <c r="I19" s="116"/>
      <c r="J19" s="116"/>
      <c r="M19" s="11">
        <f>C18+C19</f>
        <v>31708479.289677002</v>
      </c>
      <c r="N19" s="11">
        <f>D18+D19</f>
        <v>12293164.749872999</v>
      </c>
    </row>
    <row r="20" spans="2:14" x14ac:dyDescent="0.25">
      <c r="B20" s="74" t="s">
        <v>171</v>
      </c>
      <c r="C20" s="233">
        <v>26874206.399999999</v>
      </c>
      <c r="D20" s="233">
        <v>0</v>
      </c>
      <c r="E20" s="233">
        <v>0</v>
      </c>
      <c r="F20" s="233">
        <v>26874206.399999999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33">
        <v>42072960</v>
      </c>
      <c r="D21" s="233">
        <v>0</v>
      </c>
      <c r="E21" s="233">
        <v>1729729.68</v>
      </c>
      <c r="F21" s="233">
        <v>43802689.68</v>
      </c>
      <c r="H21" s="116"/>
      <c r="I21" s="116"/>
      <c r="J21" s="116"/>
      <c r="M21" s="14">
        <f>IFERROR(C34,0)+IFERROR(C35,0)+M20</f>
        <v>113221438.77188601</v>
      </c>
      <c r="N21" s="10" t="s">
        <v>122</v>
      </c>
    </row>
    <row r="22" spans="2:14" x14ac:dyDescent="0.25">
      <c r="B22" s="74" t="s">
        <v>125</v>
      </c>
      <c r="C22" s="233">
        <v>59438084.998331003</v>
      </c>
      <c r="D22" s="233">
        <v>5497747.7499970002</v>
      </c>
      <c r="E22" s="233">
        <v>54536936.759980001</v>
      </c>
      <c r="F22" s="233">
        <v>119472769.50830799</v>
      </c>
      <c r="H22" s="116"/>
      <c r="I22" s="116"/>
      <c r="J22" s="116"/>
    </row>
    <row r="23" spans="2:14" x14ac:dyDescent="0.25">
      <c r="B23" s="74" t="s">
        <v>126</v>
      </c>
      <c r="C23" s="233">
        <v>90910905.938901007</v>
      </c>
      <c r="D23" s="233">
        <v>18945162.179972</v>
      </c>
      <c r="E23" s="233">
        <v>52105405.389939003</v>
      </c>
      <c r="F23" s="233">
        <v>161961473.50881201</v>
      </c>
      <c r="H23" s="116"/>
      <c r="I23" s="116"/>
      <c r="J23" s="116"/>
    </row>
    <row r="24" spans="2:14" x14ac:dyDescent="0.25">
      <c r="B24" s="74" t="s">
        <v>127</v>
      </c>
      <c r="C24" s="233">
        <v>81578394.930037007</v>
      </c>
      <c r="D24" s="233">
        <v>10228500</v>
      </c>
      <c r="E24" s="233">
        <v>60198198.809913002</v>
      </c>
      <c r="F24" s="233">
        <v>152005093.73995</v>
      </c>
      <c r="H24" s="116"/>
      <c r="I24" s="116"/>
      <c r="J24" s="116"/>
    </row>
    <row r="25" spans="2:14" x14ac:dyDescent="0.25">
      <c r="B25" s="74" t="s">
        <v>185</v>
      </c>
      <c r="C25" s="233">
        <v>24439017.774994001</v>
      </c>
      <c r="D25" s="233">
        <v>546000</v>
      </c>
      <c r="E25" s="233">
        <v>8691891.8000000007</v>
      </c>
      <c r="F25" s="233">
        <v>33676909.574993998</v>
      </c>
      <c r="H25" s="116"/>
      <c r="I25" s="116"/>
      <c r="J25" s="116"/>
    </row>
    <row r="26" spans="2:14" x14ac:dyDescent="0.25">
      <c r="B26" s="74" t="s">
        <v>186</v>
      </c>
      <c r="C26" s="233">
        <v>16916498.241512001</v>
      </c>
      <c r="D26" s="233">
        <v>8128324.2299469998</v>
      </c>
      <c r="E26" s="233">
        <v>0</v>
      </c>
      <c r="F26" s="233">
        <v>25044822.471459001</v>
      </c>
      <c r="H26" s="116"/>
      <c r="I26" s="116"/>
      <c r="J26" s="116"/>
    </row>
    <row r="27" spans="2:14" x14ac:dyDescent="0.25">
      <c r="B27" s="74" t="s">
        <v>128</v>
      </c>
      <c r="C27" s="233">
        <v>104689007.35709199</v>
      </c>
      <c r="D27" s="233">
        <v>22450441.279792</v>
      </c>
      <c r="E27" s="233">
        <v>2187027.077</v>
      </c>
      <c r="F27" s="233">
        <v>129326475.713884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33">
        <v>31805369.489838999</v>
      </c>
      <c r="G32" s="116"/>
      <c r="H32" s="116"/>
      <c r="I32" s="116"/>
    </row>
    <row r="33" spans="2:19" x14ac:dyDescent="0.25">
      <c r="B33" s="84" t="s">
        <v>133</v>
      </c>
      <c r="C33" s="233">
        <v>99018673.208560005</v>
      </c>
      <c r="G33" s="116"/>
      <c r="H33" s="116"/>
      <c r="I33" s="116"/>
    </row>
    <row r="34" spans="2:19" x14ac:dyDescent="0.25">
      <c r="B34" s="84" t="s">
        <v>134</v>
      </c>
      <c r="C34" s="233">
        <v>35743459.730708003</v>
      </c>
      <c r="G34" s="116"/>
      <c r="H34" s="116"/>
      <c r="I34" s="116"/>
    </row>
    <row r="35" spans="2:19" x14ac:dyDescent="0.25">
      <c r="B35" s="84" t="s">
        <v>135</v>
      </c>
      <c r="C35" s="233">
        <v>77477979.041178003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61" t="s">
        <v>192</v>
      </c>
      <c r="C41" s="262"/>
      <c r="D41" s="263"/>
      <c r="E41" s="67" t="s">
        <v>138</v>
      </c>
      <c r="F41" s="185">
        <f ca="1">IF(MONTH(TODAY())=8,DAY(TODAY())/DAY(EOMONTH(TODAY(),0)),IF(MONTH(TODAY())&gt;8,1,0))</f>
        <v>0.12903225806451613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973273327.91305912</v>
      </c>
      <c r="F43" s="187">
        <f>IFERROR(E43/D43,0)</f>
        <v>0.11951082088597201</v>
      </c>
      <c r="G43" s="197">
        <f>D43*$H$41-E43</f>
        <v>6356154991.8665628</v>
      </c>
      <c r="H43" s="197">
        <f ca="1">IFERROR(G43/$C$3,0)</f>
        <v>264839791.32777345</v>
      </c>
      <c r="I43" s="218">
        <f>D43*$J$41-E43</f>
        <v>6763345454.0765419</v>
      </c>
      <c r="J43" s="218">
        <f ca="1">IFERROR(I43/$C$3,0)</f>
        <v>281806060.58652258</v>
      </c>
      <c r="K43" s="198">
        <f>D43*$L$41-E43</f>
        <v>7170535916.286521</v>
      </c>
      <c r="L43" s="198">
        <f ca="1">IFERROR(K43/$C$3,0)</f>
        <v>298772329.84527171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140080516.51144099</v>
      </c>
      <c r="F44" s="187">
        <f>IFERROR(E44/D44,0)</f>
        <v>0.10821682900341613</v>
      </c>
      <c r="G44" s="197">
        <f>D44*$H$41-E44</f>
        <v>1024918181.2079046</v>
      </c>
      <c r="H44" s="197">
        <f ca="1">IFERROR(G44/$C$3,0)</f>
        <v>42704924.216996022</v>
      </c>
      <c r="I44" s="218">
        <f>D44*$J$41-E44</f>
        <v>1089640331.0812016</v>
      </c>
      <c r="J44" s="218">
        <f ca="1">IFERROR(I44/$C$3,0)</f>
        <v>45401680.461716734</v>
      </c>
      <c r="K44" s="198">
        <f>D44*$L$41-E44</f>
        <v>1154362480.9544985</v>
      </c>
      <c r="L44" s="198">
        <f ca="1">IFERROR(K44/$C$3,0)</f>
        <v>48098436.706437439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244045481.470285</v>
      </c>
      <c r="F45" s="187">
        <f>IFERROR(E45/D45,0)</f>
        <v>0.13078834240710827</v>
      </c>
      <c r="G45" s="197">
        <f>D45*$H$41-E45</f>
        <v>1435316220.6573749</v>
      </c>
      <c r="H45" s="197">
        <f ca="1">IFERROR(G45/$C$3,0)</f>
        <v>59804842.527390622</v>
      </c>
      <c r="I45" s="218">
        <f>D45*$J$41-E45</f>
        <v>1528614092.9978001</v>
      </c>
      <c r="J45" s="218">
        <f ca="1">IFERROR(I45/$C$3,0)</f>
        <v>63692253.874908336</v>
      </c>
      <c r="K45" s="198">
        <f>D45*$L$41-E45</f>
        <v>1621911965.3382258</v>
      </c>
      <c r="L45" s="198">
        <f ca="1">IFERROR(K45/$C$3,0)</f>
        <v>67579665.222426072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11304209688.47403</v>
      </c>
      <c r="E46" s="47">
        <f>E43+E44+E45</f>
        <v>1357399325.8947849</v>
      </c>
      <c r="F46" s="188">
        <f>IFERROR(E46/D46,0)</f>
        <v>0.12007910002579067</v>
      </c>
      <c r="G46" s="194">
        <f>G43+G44+G45</f>
        <v>8816389393.731842</v>
      </c>
      <c r="H46" s="194">
        <f ca="1">IFERROR(G46/$C$3,0)</f>
        <v>367349558.07216007</v>
      </c>
      <c r="I46" s="199">
        <f>I43+I44+I45</f>
        <v>9381599878.1555443</v>
      </c>
      <c r="J46" s="199">
        <f ca="1">IFERROR(I46/$C$3,0)</f>
        <v>390899994.92314768</v>
      </c>
      <c r="K46" s="199">
        <f>K43+K44+K45</f>
        <v>9946810362.5792446</v>
      </c>
      <c r="L46" s="199">
        <f ca="1">IFERROR(K46/$C$3,0)</f>
        <v>414450431.77413517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59438084.998331003</v>
      </c>
      <c r="H51" s="119">
        <f>N8</f>
        <v>5497747.7499970002</v>
      </c>
      <c r="I51" s="119">
        <f t="shared" ref="I51:I64" si="1">G51+H51</f>
        <v>64935832.748328</v>
      </c>
      <c r="J51" s="200">
        <f t="shared" ref="J51:J64" si="2">IFERROR(I51/F51,0)</f>
        <v>0.11475299673277764</v>
      </c>
      <c r="K51" s="197">
        <f t="shared" ref="K51:K64" si="3">F51*$H$41-I51</f>
        <v>444351516.05693388</v>
      </c>
      <c r="L51" s="197">
        <f t="shared" ref="L51:L65" ca="1" si="4">IFERROR(K51/$C$3,0)</f>
        <v>18514646.502372246</v>
      </c>
      <c r="M51" s="193">
        <f t="shared" ref="M51:M64" si="5">F51*$J$41-I51</f>
        <v>472645257.6572262</v>
      </c>
      <c r="N51" s="193">
        <f t="shared" ref="N51:N65" ca="1" si="6">IFERROR(M51/$C$3,0)</f>
        <v>19693552.402384426</v>
      </c>
      <c r="O51" s="198">
        <f t="shared" ref="O51:O64" si="7">F51*$L$41-I51</f>
        <v>500938999.25751853</v>
      </c>
      <c r="P51" s="198">
        <f t="shared" ref="P51:P65" ca="1" si="8">IFERROR(O51/$C$3,0)</f>
        <v>20872458.302396607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56838279.192717999</v>
      </c>
      <c r="H52" s="119">
        <f>N9</f>
        <v>20876126.579974998</v>
      </c>
      <c r="I52" s="119">
        <f t="shared" si="1"/>
        <v>77714405.772692993</v>
      </c>
      <c r="J52" s="200">
        <f t="shared" si="2"/>
        <v>9.2845292233491777E-2</v>
      </c>
      <c r="K52" s="197">
        <f t="shared" si="3"/>
        <v>675613668.4125632</v>
      </c>
      <c r="L52" s="197">
        <f t="shared" ca="1" si="4"/>
        <v>28150569.517190132</v>
      </c>
      <c r="M52" s="193">
        <f t="shared" si="5"/>
        <v>717465228.08952188</v>
      </c>
      <c r="N52" s="193">
        <f t="shared" ca="1" si="6"/>
        <v>29894384.503730077</v>
      </c>
      <c r="O52" s="198">
        <f t="shared" si="7"/>
        <v>759316787.76648057</v>
      </c>
      <c r="P52" s="198">
        <f t="shared" ca="1" si="8"/>
        <v>31638199.490270022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26874206.399999999</v>
      </c>
      <c r="H53" s="119">
        <f>IF(D20="",0,D20)</f>
        <v>0</v>
      </c>
      <c r="I53" s="119">
        <f>G53+H53</f>
        <v>26874206.399999999</v>
      </c>
      <c r="J53" s="200">
        <f>IFERROR(I53/F53,0)</f>
        <v>0.1022015176187412</v>
      </c>
      <c r="K53" s="197">
        <f t="shared" si="3"/>
        <v>209783588.15670967</v>
      </c>
      <c r="L53" s="197">
        <f t="shared" ca="1" si="4"/>
        <v>8740982.8398629036</v>
      </c>
      <c r="M53" s="193">
        <f t="shared" si="5"/>
        <v>222931243.40986019</v>
      </c>
      <c r="N53" s="193">
        <f t="shared" ca="1" si="6"/>
        <v>9288801.8087441754</v>
      </c>
      <c r="O53" s="198">
        <f t="shared" si="7"/>
        <v>236078898.66301075</v>
      </c>
      <c r="P53" s="198">
        <f t="shared" ca="1" si="8"/>
        <v>9836620.7776254471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137193740.97995201</v>
      </c>
      <c r="H54" s="119">
        <f t="shared" ref="H54:H58" si="9">N10</f>
        <v>6576373.8799559996</v>
      </c>
      <c r="I54" s="119">
        <f t="shared" si="1"/>
        <v>143770114.85990801</v>
      </c>
      <c r="J54" s="200">
        <f t="shared" si="2"/>
        <v>0.18475195619837037</v>
      </c>
      <c r="K54" s="197">
        <f t="shared" si="3"/>
        <v>556591093.95449996</v>
      </c>
      <c r="L54" s="197">
        <f t="shared" ca="1" si="4"/>
        <v>23191295.581437498</v>
      </c>
      <c r="M54" s="193">
        <f t="shared" si="5"/>
        <v>595500049.99974477</v>
      </c>
      <c r="N54" s="193">
        <f t="shared" ca="1" si="6"/>
        <v>24812502.0833227</v>
      </c>
      <c r="O54" s="198">
        <f t="shared" si="7"/>
        <v>634409006.04498971</v>
      </c>
      <c r="P54" s="198">
        <f t="shared" ca="1" si="8"/>
        <v>26433708.585207906</v>
      </c>
    </row>
    <row r="55" spans="2:16" x14ac:dyDescent="0.25">
      <c r="B55" s="50" t="s">
        <v>73</v>
      </c>
      <c r="C55" s="55" t="s">
        <v>183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63091892.199749999</v>
      </c>
      <c r="H55" s="119">
        <f t="shared" si="9"/>
        <v>0</v>
      </c>
      <c r="I55" s="119">
        <f t="shared" si="1"/>
        <v>63091892.199749999</v>
      </c>
      <c r="J55" s="200">
        <f t="shared" si="2"/>
        <v>0.11452361574284095</v>
      </c>
      <c r="K55" s="197">
        <f t="shared" si="3"/>
        <v>432724648.44527036</v>
      </c>
      <c r="L55" s="197">
        <f t="shared" ca="1" si="4"/>
        <v>18030193.685219597</v>
      </c>
      <c r="M55" s="193">
        <f t="shared" si="5"/>
        <v>460270011.81443816</v>
      </c>
      <c r="N55" s="193">
        <f t="shared" ca="1" si="6"/>
        <v>19177917.158934925</v>
      </c>
      <c r="O55" s="198">
        <f t="shared" si="7"/>
        <v>487815375.18360597</v>
      </c>
      <c r="P55" s="198">
        <f t="shared" ca="1" si="8"/>
        <v>20325640.632650249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41355516.016506001</v>
      </c>
      <c r="H56" s="119">
        <f t="shared" si="9"/>
        <v>8674324.2299470007</v>
      </c>
      <c r="I56" s="119">
        <f t="shared" si="1"/>
        <v>50029840.246453002</v>
      </c>
      <c r="J56" s="200">
        <f t="shared" si="2"/>
        <v>7.986204270453745E-2</v>
      </c>
      <c r="K56" s="197">
        <f t="shared" si="3"/>
        <v>513778130.31087226</v>
      </c>
      <c r="L56" s="197">
        <f t="shared" ca="1" si="4"/>
        <v>21407422.096286345</v>
      </c>
      <c r="M56" s="193">
        <f t="shared" si="5"/>
        <v>545100795.34183466</v>
      </c>
      <c r="N56" s="193">
        <f t="shared" ca="1" si="6"/>
        <v>22712533.139243111</v>
      </c>
      <c r="O56" s="198">
        <f t="shared" si="7"/>
        <v>576423460.37279725</v>
      </c>
      <c r="P56" s="198">
        <f t="shared" ca="1" si="8"/>
        <v>24017644.182199884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123785075.697051</v>
      </c>
      <c r="H57" s="119">
        <f t="shared" si="9"/>
        <v>13612238.669988001</v>
      </c>
      <c r="I57" s="119">
        <f t="shared" si="1"/>
        <v>137397314.367039</v>
      </c>
      <c r="J57" s="200">
        <f t="shared" si="2"/>
        <v>0.11837540711808994</v>
      </c>
      <c r="K57" s="197">
        <f t="shared" si="3"/>
        <v>907224925.512362</v>
      </c>
      <c r="L57" s="197">
        <f t="shared" ca="1" si="4"/>
        <v>37801038.563015081</v>
      </c>
      <c r="M57" s="193">
        <f t="shared" si="5"/>
        <v>965259494.3945508</v>
      </c>
      <c r="N57" s="193">
        <f t="shared" ca="1" si="6"/>
        <v>40219145.599772952</v>
      </c>
      <c r="O57" s="198">
        <f t="shared" si="7"/>
        <v>1023294063.2767398</v>
      </c>
      <c r="P57" s="198">
        <f t="shared" ca="1" si="8"/>
        <v>42637252.636530824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90910905.938901007</v>
      </c>
      <c r="H58" s="119">
        <f t="shared" si="9"/>
        <v>18945162.179972</v>
      </c>
      <c r="I58" s="119">
        <f>G58+H58</f>
        <v>109856068.118873</v>
      </c>
      <c r="J58" s="200">
        <f>IFERROR(I58/F58,0)</f>
        <v>0.16492721390160395</v>
      </c>
      <c r="K58" s="197">
        <f t="shared" si="3"/>
        <v>489623295.94758189</v>
      </c>
      <c r="L58" s="197">
        <f t="shared" ca="1" si="4"/>
        <v>20400970.664482579</v>
      </c>
      <c r="M58" s="193">
        <f t="shared" si="5"/>
        <v>522927705.06238484</v>
      </c>
      <c r="N58" s="193">
        <f t="shared" ca="1" si="6"/>
        <v>21788654.37759937</v>
      </c>
      <c r="O58" s="198">
        <f t="shared" si="7"/>
        <v>556232114.17718792</v>
      </c>
      <c r="P58" s="198">
        <f t="shared" ca="1" si="8"/>
        <v>23176338.090716165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42072960</v>
      </c>
      <c r="H59" s="119">
        <f>IF(D21="",0,D21)</f>
        <v>0</v>
      </c>
      <c r="I59" s="119">
        <f>G59+H59</f>
        <v>42072960</v>
      </c>
      <c r="J59" s="200">
        <f>IFERROR(I59/F59,0)</f>
        <v>9.47916443300931E-2</v>
      </c>
      <c r="K59" s="197">
        <f t="shared" si="3"/>
        <v>357389084.01877803</v>
      </c>
      <c r="L59" s="197">
        <f t="shared" ca="1" si="4"/>
        <v>14891211.834115751</v>
      </c>
      <c r="M59" s="193">
        <f t="shared" si="5"/>
        <v>379581419.79759902</v>
      </c>
      <c r="N59" s="193">
        <f t="shared" ca="1" si="6"/>
        <v>15815892.491566626</v>
      </c>
      <c r="O59" s="198">
        <f t="shared" si="7"/>
        <v>401773755.57642001</v>
      </c>
      <c r="P59" s="198">
        <f t="shared" ca="1" si="8"/>
        <v>16740573.1490175</v>
      </c>
    </row>
    <row r="60" spans="2:16" x14ac:dyDescent="0.25">
      <c r="B60" s="53" t="s">
        <v>80</v>
      </c>
      <c r="C60" s="56" t="s">
        <v>81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58052437.817851</v>
      </c>
      <c r="H60" s="119">
        <f t="shared" ref="H60:H64" si="10">N15</f>
        <v>12097518.228946</v>
      </c>
      <c r="I60" s="119">
        <f t="shared" si="1"/>
        <v>70149956.046797007</v>
      </c>
      <c r="J60" s="200">
        <f t="shared" si="2"/>
        <v>0.11122669535547844</v>
      </c>
      <c r="K60" s="197">
        <f t="shared" si="3"/>
        <v>497474212.23707724</v>
      </c>
      <c r="L60" s="197">
        <f t="shared" ca="1" si="4"/>
        <v>20728092.176544886</v>
      </c>
      <c r="M60" s="193">
        <f t="shared" si="5"/>
        <v>529008888.25284803</v>
      </c>
      <c r="N60" s="193">
        <f t="shared" ca="1" si="6"/>
        <v>22042037.010535333</v>
      </c>
      <c r="O60" s="198">
        <f t="shared" si="7"/>
        <v>560543564.26861882</v>
      </c>
      <c r="P60" s="198">
        <f t="shared" ca="1" si="8"/>
        <v>23355981.844525784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81578394.930037007</v>
      </c>
      <c r="H61" s="119">
        <f t="shared" si="10"/>
        <v>10228500</v>
      </c>
      <c r="I61" s="119">
        <f t="shared" si="1"/>
        <v>91806894.930037007</v>
      </c>
      <c r="J61" s="200">
        <f t="shared" si="2"/>
        <v>0.11952464697748445</v>
      </c>
      <c r="K61" s="197">
        <f t="shared" si="3"/>
        <v>599483207.37495518</v>
      </c>
      <c r="L61" s="197">
        <f t="shared" ca="1" si="4"/>
        <v>24978466.973956466</v>
      </c>
      <c r="M61" s="193">
        <f t="shared" si="5"/>
        <v>637888213.05856586</v>
      </c>
      <c r="N61" s="193">
        <f t="shared" ca="1" si="6"/>
        <v>26578675.544106912</v>
      </c>
      <c r="O61" s="198">
        <f t="shared" si="7"/>
        <v>676293218.74217653</v>
      </c>
      <c r="P61" s="198">
        <f t="shared" ca="1" si="8"/>
        <v>28178884.114257354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55684347.095192999</v>
      </c>
      <c r="H62" s="119">
        <f t="shared" si="10"/>
        <v>8828918.9629950002</v>
      </c>
      <c r="I62" s="119">
        <f t="shared" si="1"/>
        <v>64513266.058187999</v>
      </c>
      <c r="J62" s="200">
        <f t="shared" si="2"/>
        <v>0.12206156040750493</v>
      </c>
      <c r="K62" s="197">
        <f t="shared" si="3"/>
        <v>411164246.65366215</v>
      </c>
      <c r="L62" s="197">
        <f t="shared" ca="1" si="4"/>
        <v>17131843.610569257</v>
      </c>
      <c r="M62" s="193">
        <f t="shared" si="5"/>
        <v>437590775.13765383</v>
      </c>
      <c r="N62" s="193">
        <f t="shared" ca="1" si="6"/>
        <v>18232948.964068908</v>
      </c>
      <c r="O62" s="198">
        <f t="shared" si="7"/>
        <v>464017303.62164551</v>
      </c>
      <c r="P62" s="198">
        <f t="shared" ca="1" si="8"/>
        <v>19334054.317568563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104689007.35709199</v>
      </c>
      <c r="H63" s="119">
        <f t="shared" si="10"/>
        <v>22450441.279792</v>
      </c>
      <c r="I63" s="119">
        <f t="shared" si="1"/>
        <v>127139448.63688399</v>
      </c>
      <c r="J63" s="200">
        <f t="shared" si="2"/>
        <v>0.12337870417982372</v>
      </c>
      <c r="K63" s="197">
        <f t="shared" si="3"/>
        <v>800293729.83467066</v>
      </c>
      <c r="L63" s="197">
        <f t="shared" ca="1" si="4"/>
        <v>33345572.076444611</v>
      </c>
      <c r="M63" s="193">
        <f t="shared" si="5"/>
        <v>851817795.30531251</v>
      </c>
      <c r="N63" s="193">
        <f t="shared" ca="1" si="6"/>
        <v>35492408.137721352</v>
      </c>
      <c r="O63" s="198">
        <f t="shared" si="7"/>
        <v>903341860.77595448</v>
      </c>
      <c r="P63" s="198">
        <f t="shared" ca="1" si="8"/>
        <v>37639244.198998101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31708479.289677002</v>
      </c>
      <c r="H64" s="119">
        <f t="shared" si="10"/>
        <v>12293164.749872999</v>
      </c>
      <c r="I64" s="119">
        <f t="shared" si="1"/>
        <v>44001644.039549999</v>
      </c>
      <c r="J64" s="200">
        <f t="shared" si="2"/>
        <v>7.477910656314285E-2</v>
      </c>
      <c r="K64" s="197">
        <f t="shared" si="3"/>
        <v>485577826.15853053</v>
      </c>
      <c r="L64" s="197">
        <f t="shared" ca="1" si="4"/>
        <v>20232409.423272107</v>
      </c>
      <c r="M64" s="193">
        <f t="shared" si="5"/>
        <v>514998907.83620161</v>
      </c>
      <c r="N64" s="193">
        <f t="shared" ca="1" si="6"/>
        <v>21458287.826508399</v>
      </c>
      <c r="O64" s="198">
        <f t="shared" si="7"/>
        <v>544419989.51387286</v>
      </c>
      <c r="P64" s="198">
        <f t="shared" ca="1" si="8"/>
        <v>22684166.229744703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973273327.91305912</v>
      </c>
      <c r="H65" s="144">
        <f>SUM(H51:H64)</f>
        <v>140080516.51144099</v>
      </c>
      <c r="I65" s="144">
        <f>SUM(I51:I64)</f>
        <v>1113353844.4245</v>
      </c>
      <c r="J65" s="203">
        <f>IFERROR(I65/F65,0)</f>
        <v>0.11796186581129478</v>
      </c>
      <c r="K65" s="194">
        <f>SUM(K51:K64)</f>
        <v>7381073173.0744667</v>
      </c>
      <c r="L65" s="194">
        <f t="shared" ca="1" si="4"/>
        <v>307544715.54476947</v>
      </c>
      <c r="M65" s="194">
        <f>SUM(M51:M64)</f>
        <v>7852985785.1577415</v>
      </c>
      <c r="N65" s="194">
        <f t="shared" ca="1" si="6"/>
        <v>327207741.04823923</v>
      </c>
      <c r="O65" s="199">
        <f>SUM(O51:O64)</f>
        <v>8324898397.2410192</v>
      </c>
      <c r="P65" s="199">
        <f t="shared" ca="1" si="8"/>
        <v>346870766.55170912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31805369.489838999</v>
      </c>
      <c r="F69" s="200">
        <f t="shared" ref="F69:F74" si="12">IFERROR(E69/D69,0)</f>
        <v>0.10669309670618915</v>
      </c>
      <c r="G69" s="197">
        <f>D69*$H$41-E69</f>
        <v>236485957.9207994</v>
      </c>
      <c r="H69" s="197">
        <f t="shared" ref="H69:H74" ca="1" si="13">IFERROR(G69/$C$3,0)</f>
        <v>9853581.5800333079</v>
      </c>
      <c r="I69" s="218">
        <f>D69*$J$41-E69</f>
        <v>251391031.66583487</v>
      </c>
      <c r="J69" s="218">
        <f t="shared" ref="J69:J74" ca="1" si="14">IFERROR(I69/$C$3,0)</f>
        <v>10474626.319409786</v>
      </c>
      <c r="K69" s="198">
        <f>D69*$L$41-E69</f>
        <v>266296105.41087034</v>
      </c>
      <c r="L69" s="198">
        <f t="shared" ref="L69:L74" ca="1" si="15">IFERROR(K69/$C$3,0)</f>
        <v>11095671.058786264</v>
      </c>
    </row>
    <row r="70" spans="2:16" x14ac:dyDescent="0.25">
      <c r="B70" s="53" t="s">
        <v>94</v>
      </c>
      <c r="C70" s="56" t="s">
        <v>95</v>
      </c>
      <c r="D70" s="122">
        <f>TARGETS!K23</f>
        <v>441402383.90070933</v>
      </c>
      <c r="E70" s="119">
        <f>IFERROR(C33,0)</f>
        <v>99018673.208560005</v>
      </c>
      <c r="F70" s="200">
        <f t="shared" si="12"/>
        <v>0.22432745454051201</v>
      </c>
      <c r="G70" s="197">
        <f>D70*$H$41-E70</f>
        <v>298243472.30207843</v>
      </c>
      <c r="H70" s="197">
        <f t="shared" ca="1" si="13"/>
        <v>12426811.345919935</v>
      </c>
      <c r="I70" s="218">
        <f>D70*$J$41-E70</f>
        <v>320313591.49711388</v>
      </c>
      <c r="J70" s="218">
        <f t="shared" ca="1" si="14"/>
        <v>13346399.645713078</v>
      </c>
      <c r="K70" s="198">
        <f>D70*$L$41-E70</f>
        <v>342383710.69214934</v>
      </c>
      <c r="L70" s="198">
        <f t="shared" ca="1" si="15"/>
        <v>14265987.945506223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113221438.77188601</v>
      </c>
      <c r="F71" s="200">
        <f t="shared" si="12"/>
        <v>0.10051141030337164</v>
      </c>
      <c r="G71" s="197">
        <f>D71*$H$41-E71</f>
        <v>900586790.434497</v>
      </c>
      <c r="H71" s="197">
        <f t="shared" ca="1" si="13"/>
        <v>37524449.601437375</v>
      </c>
      <c r="I71" s="218">
        <f>D71*$J$41-E71</f>
        <v>956909469.83485162</v>
      </c>
      <c r="J71" s="218">
        <f t="shared" ca="1" si="14"/>
        <v>39871227.909785487</v>
      </c>
      <c r="K71" s="198">
        <f>D71*$L$41-E71</f>
        <v>1013232149.2352062</v>
      </c>
      <c r="L71" s="198">
        <f t="shared" ca="1" si="15"/>
        <v>42218006.218133591</v>
      </c>
    </row>
    <row r="72" spans="2:16" hidden="1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idden="1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244045481.470285</v>
      </c>
      <c r="F74" s="188">
        <f t="shared" si="12"/>
        <v>0.13078834240710827</v>
      </c>
      <c r="G74" s="194">
        <f>SUM(G69:G73)</f>
        <v>1435316220.6573749</v>
      </c>
      <c r="H74" s="194">
        <f t="shared" ca="1" si="13"/>
        <v>59804842.527390622</v>
      </c>
      <c r="I74" s="199">
        <f>SUM(I69:I73)</f>
        <v>1528614092.9978004</v>
      </c>
      <c r="J74" s="199">
        <f t="shared" ca="1" si="14"/>
        <v>63692253.87490835</v>
      </c>
      <c r="K74" s="199">
        <f>SUM(K69:K73)</f>
        <v>1621911965.3382258</v>
      </c>
      <c r="L74" s="199">
        <f t="shared" ca="1" si="15"/>
        <v>67579665.222426072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54536936.759980001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14720720.559999999</v>
      </c>
    </row>
    <row r="82" spans="2:4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61631531.709964998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8691891.8000000007</v>
      </c>
    </row>
    <row r="86" spans="2:4" x14ac:dyDescent="0.25">
      <c r="B86" s="53" t="s">
        <v>76</v>
      </c>
      <c r="C86" s="56" t="s">
        <v>77</v>
      </c>
      <c r="D86" s="141">
        <f>IF(E17="",0,E17)</f>
        <v>180218918.32998401</v>
      </c>
    </row>
    <row r="87" spans="2:4" x14ac:dyDescent="0.25">
      <c r="B87" s="50" t="s">
        <v>78</v>
      </c>
      <c r="C87" s="55" t="s">
        <v>79</v>
      </c>
      <c r="D87" s="140">
        <f>IF(E23="",0,E23)</f>
        <v>52105405.389939003</v>
      </c>
    </row>
    <row r="88" spans="2:4" x14ac:dyDescent="0.25">
      <c r="B88" s="53" t="s">
        <v>174</v>
      </c>
      <c r="C88" s="56" t="s">
        <v>176</v>
      </c>
      <c r="D88" s="141">
        <f>IF(E21="",0,E21)</f>
        <v>1729729.68</v>
      </c>
    </row>
    <row r="89" spans="2:4" x14ac:dyDescent="0.25">
      <c r="B89" s="53" t="s">
        <v>80</v>
      </c>
      <c r="C89" s="56" t="s">
        <v>81</v>
      </c>
      <c r="D89" s="141">
        <f>IF(E11="",0,E11)</f>
        <v>11967567.84</v>
      </c>
    </row>
    <row r="90" spans="2:4" x14ac:dyDescent="0.25">
      <c r="B90" s="50" t="s">
        <v>82</v>
      </c>
      <c r="C90" s="55" t="s">
        <v>83</v>
      </c>
      <c r="D90" s="140">
        <f>IF(E24="",0,E24)</f>
        <v>60198198.809913002</v>
      </c>
    </row>
    <row r="91" spans="2:4" x14ac:dyDescent="0.25">
      <c r="B91" s="53" t="s">
        <v>84</v>
      </c>
      <c r="C91" s="56" t="s">
        <v>85</v>
      </c>
      <c r="D91" s="141">
        <f>IF(E10="",0,E10)</f>
        <v>27726125.27</v>
      </c>
    </row>
    <row r="92" spans="2:4" x14ac:dyDescent="0.25">
      <c r="B92" s="50" t="s">
        <v>86</v>
      </c>
      <c r="C92" s="55" t="s">
        <v>87</v>
      </c>
      <c r="D92" s="140">
        <f>IF(E27="",0,E27)</f>
        <v>2187027.077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12151351.58</v>
      </c>
    </row>
    <row r="94" spans="2:4" x14ac:dyDescent="0.25">
      <c r="B94" s="57" t="s">
        <v>152</v>
      </c>
      <c r="C94" s="58"/>
      <c r="D94" s="125">
        <f>SUM(D80:D93)</f>
        <v>487865404.80678099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61" t="s">
        <v>163</v>
      </c>
      <c r="C41" s="262"/>
      <c r="D41" s="263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1" t="s">
        <v>165</v>
      </c>
      <c r="C41" s="262"/>
      <c r="D41" s="263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1" t="s">
        <v>177</v>
      </c>
      <c r="C41" s="262"/>
      <c r="D41" s="263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1" t="s">
        <v>179</v>
      </c>
      <c r="C41" s="262"/>
      <c r="D41" s="263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2026-07-31T05:40:55Z</cp:lastPrinted>
  <dcterms:created xsi:type="dcterms:W3CDTF">2026-03-24T08:59:20Z</dcterms:created>
  <dcterms:modified xsi:type="dcterms:W3CDTF">2026-08-04T00:46:28Z</dcterms:modified>
  <dc:language>en-US</dc:language>
</cp:coreProperties>
</file>