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-105" yWindow="-105" windowWidth="19425" windowHeight="10305" tabRatio="500" firstSheet="1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9" l="1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84" i="9" l="1"/>
  <c r="D74" i="8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4" i="13" s="1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94" i="12" s="1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D54" i="10"/>
  <c r="F54" i="10" s="1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F52" i="9" s="1"/>
  <c r="E51" i="9"/>
  <c r="E65" i="9" s="1"/>
  <c r="D64" i="9"/>
  <c r="D63" i="9"/>
  <c r="D62" i="9"/>
  <c r="D61" i="9"/>
  <c r="D60" i="9"/>
  <c r="F60" i="9" s="1"/>
  <c r="D59" i="9"/>
  <c r="F59" i="9" s="1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F64" i="8" s="1"/>
  <c r="D63" i="8"/>
  <c r="F63" i="8" s="1"/>
  <c r="D62" i="8"/>
  <c r="F62" i="8" s="1"/>
  <c r="D61" i="8"/>
  <c r="D60" i="8"/>
  <c r="F60" i="8" s="1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G92" i="7" s="1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F64" i="14"/>
  <c r="F63" i="14"/>
  <c r="F62" i="14"/>
  <c r="F61" i="14"/>
  <c r="F60" i="14"/>
  <c r="H59" i="14"/>
  <c r="L59" i="14" s="1"/>
  <c r="G59" i="14"/>
  <c r="K59" i="14" s="1"/>
  <c r="F59" i="14"/>
  <c r="F57" i="14"/>
  <c r="F55" i="14"/>
  <c r="F54" i="14"/>
  <c r="H53" i="14"/>
  <c r="L53" i="14" s="1"/>
  <c r="G53" i="14"/>
  <c r="K53" i="14" s="1"/>
  <c r="F53" i="14"/>
  <c r="F52" i="14"/>
  <c r="F51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0" i="13"/>
  <c r="H59" i="13"/>
  <c r="L59" i="13" s="1"/>
  <c r="G59" i="13"/>
  <c r="F59" i="13"/>
  <c r="F58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1" i="12"/>
  <c r="H59" i="12"/>
  <c r="L59" i="12" s="1"/>
  <c r="G59" i="12"/>
  <c r="F59" i="12"/>
  <c r="F57" i="12"/>
  <c r="F56" i="12"/>
  <c r="F55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M15" i="12"/>
  <c r="G60" i="12" s="1"/>
  <c r="N14" i="12"/>
  <c r="H58" i="12" s="1"/>
  <c r="M14" i="12"/>
  <c r="G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5" i="11"/>
  <c r="F64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H59" i="10"/>
  <c r="L59" i="10" s="1"/>
  <c r="G59" i="10"/>
  <c r="F59" i="10"/>
  <c r="F58" i="10"/>
  <c r="F55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F64" i="9"/>
  <c r="F63" i="9"/>
  <c r="H59" i="9"/>
  <c r="G59" i="9"/>
  <c r="K59" i="9" s="1"/>
  <c r="F58" i="9"/>
  <c r="F56" i="9"/>
  <c r="F55" i="9"/>
  <c r="F54" i="9"/>
  <c r="H53" i="9"/>
  <c r="L53" i="9" s="1"/>
  <c r="G53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M8" i="9"/>
  <c r="G51" i="9" s="1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9" l="1"/>
  <c r="F90" i="7"/>
  <c r="K62" i="8"/>
  <c r="E65" i="11"/>
  <c r="D65" i="14"/>
  <c r="F61" i="7"/>
  <c r="F51" i="9"/>
  <c r="F65" i="9" s="1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E65" i="13"/>
  <c r="F54" i="12"/>
  <c r="F59" i="8"/>
  <c r="D94" i="8"/>
  <c r="L56" i="10"/>
  <c r="L60" i="12"/>
  <c r="L55" i="13"/>
  <c r="F63" i="13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F65" i="8" s="1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F65" i="12" s="1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J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H45" i="10" s="1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I52" i="12"/>
  <c r="K52" i="12"/>
  <c r="G65" i="12"/>
  <c r="E43" i="12" s="1"/>
  <c r="L51" i="8"/>
  <c r="I62" i="8"/>
  <c r="I58" i="9"/>
  <c r="J58" i="9" s="1"/>
  <c r="K61" i="10"/>
  <c r="I61" i="10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M61" i="9"/>
  <c r="N61" i="9" s="1"/>
  <c r="G89" i="9"/>
  <c r="K57" i="12"/>
  <c r="I57" i="12"/>
  <c r="F93" i="7"/>
  <c r="I58" i="8"/>
  <c r="J58" i="8" s="1"/>
  <c r="M56" i="9"/>
  <c r="N56" i="9" s="1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J63" i="11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46" i="9" s="1"/>
  <c r="E91" i="10"/>
  <c r="E94" i="10" s="1"/>
  <c r="F94" i="10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9" i="9" l="1"/>
  <c r="N59" i="9" s="1"/>
  <c r="J62" i="9"/>
  <c r="F44" i="10"/>
  <c r="M57" i="10"/>
  <c r="N57" i="10" s="1"/>
  <c r="J52" i="12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F46" i="9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12" l="1"/>
  <c r="J65" i="12" s="1"/>
  <c r="G70" i="3"/>
  <c r="H70" i="3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<sst xmlns="http://schemas.openxmlformats.org/spreadsheetml/2006/main" count="1878" uniqueCount="186">
  <si>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</si>
  <si>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</si>
  <si>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</si>
  <si>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</si>
  <si>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</si>
  <si>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</si>
  <si>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</si>
  <si>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</si>
  <si>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</si>
  <si>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</si>
  <si>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</si>
  <si>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</si>
  <si>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</si>
  <si>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</si>
  <si>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</si>
  <si>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</si>
  <si>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</si>
  <si>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</si>
  <si>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</si>
  <si>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</si>
  <si>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</si>
  <si>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</si>
  <si>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</si>
  <si>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</si>
  <si>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</si>
  <si>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</si>
  <si>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</si>
  <si>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</si>
  <si>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</si>
  <si>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</si>
  <si>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</si>
  <si>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</si>
  <si>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</si>
  <si>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</si>
  <si>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</si>
  <si>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</si>
  <si>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</si>
  <si>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</si>
  <si>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</si>
  <si>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</si>
  <si>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</si>
  <si>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</si>
  <si>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</si>
  <si>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</si>
  <si>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</si>
  <si>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</si>
  <si>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</si>
  <si>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</si>
  <si>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</si>
  <si>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</si>
  <si>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</si>
  <si>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</si>
  <si>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</si>
  <si>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</si>
  <si>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</si>
  <si>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</si>
  <si>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</si>
  <si>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</si>
  <si>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</si>
  <si>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</si>
  <si>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</si>
  <si>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</si>
  <si>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</si>
  <si>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</si>
  <si>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</si>
  <si>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</si>
  <si>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</si>
  <si>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</si>
  <si>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</si>
  <si>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</si>
  <si>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</si>
  <si>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</si>
  <si>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</si>
  <si>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</si>
  <si>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</si>
  <si>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</si>
  <si>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</si>
  <si>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</si>
  <si>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</si>
  <si>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</si>
  <si>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</si>
  <si>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</si>
  <si>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</si>
  <si>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</si>
  <si>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</si>
  <si>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</si>
  <si>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</si>
  <si>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</si>
  <si>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</si>
  <si>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</si>
  <si>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</si>
  <si>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</si>
  <si>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</si>
  <si>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</si>
  <si>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</si>
  <si>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</si>
  <si>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</si>
  <si>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</si>
  <si>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</si>
  <si>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</si>
  <si>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</si>
  <si>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</si>
  <si>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</si>
  <si>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</si>
  <si>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</si>
  <si>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</si>
  <si>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</si>
  <si>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</si>
  <si>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</si>
  <si>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</si>
  <si>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</si>
  <si>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</si>
  <si>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</si>
  <si>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</si>
  <si>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</si>
  <si>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</si>
  <si>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</si>
  <si>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</si>
  <si>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</si>
  <si>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</si>
  <si>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</si>
  <si>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</si>
  <si>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</si>
  <si>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</si>
  <si>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</si>
  <si>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</si>
  <si>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</si>
  <si>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</si>
  <si>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</si>
  <si>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</si>
  <si>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</si>
  <si>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</si>
  <si>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</si>
  <si>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</si>
  <si>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</si>
  <si>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</si>
  <si>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</si>
  <si>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</si>
  <si>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</si>
  <si>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</si>
  <si>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</si>
  <si>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</si>
  <si>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</si>
  <si>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</si>
  <si>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</si>
  <si>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</si>
  <si>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</si>
  <si>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</si>
  <si>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</si>
  <si>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</si>
  <si>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</si>
  <si>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</si>
  <si>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</si>
  <si>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</si>
  <si>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</si>
  <si>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</si>
  <si>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</si>
  <si>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</si>
  <si>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</si>
  <si>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</si>
  <si>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</si>
  <si>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</si>
  <si>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</si>
  <si>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</si>
  <si>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</si>
  <si>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</si>
  <si>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</si>
  <si>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</si>
  <si>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</si>
  <si>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</si>
  <si>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</si>
  <si>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</si>
  <si>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</si>
  <si>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</si>
  <si>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</si>
  <si>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</si>
  <si>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</si>
  <si>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</si>
  <si>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</si>
  <si>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</si>
  <si>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</si>
  <si>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</si>
  <si>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</si>
  <si>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</si>
  <si>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</si>
  <si>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DATA PENCAPAIAN — GLOBAL —  14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</si>
</sst>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8" width="9.5703125" customWidth="1"/>
    <col min="9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5703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16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182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39549630.013225436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34724208.107293174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6860782.1712320447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81134620.291750655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9496507.7079102062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8496852.1867043748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2744088.8874999993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-2521794.2178766951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8174648.6007203832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5042969.0284339786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-1569820.9792962223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6925901.7647056282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6475758.7606265619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4725746.7285800241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11077259.83786739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7398395.5101358034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2162855.1851872131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5644469.1193200238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74273838.120518669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-835186.11976702884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-1158092.6711176522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8854060.9621167332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6860782.1712320521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5703125" customWidth="1"/>
    <col min="4" max="4" width="17.42578125" customWidth="1"/>
    <col min="5" max="5" width="14.7109375" customWidth="1"/>
    <col min="6" max="6" width="14.5703125" customWidth="1"/>
    <col min="7" max="7" width="16.85546875" customWidth="1"/>
    <col min="8" max="8" width="12.5703125" bestFit="1" customWidth="1"/>
    <col min="9" max="9" width="14.28515625" bestFit="1" customWidth="1"/>
    <col min="10" max="10" width="10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16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186325955.91576701</v>
      </c>
      <c r="N8" s="11">
        <f>D24</f>
        <v>23857800.109981999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276405025.00815398</v>
      </c>
      <c r="N9" s="11">
        <f>D12+D13</f>
        <v>91388770.145603999</v>
      </c>
    </row>
    <row r="10" spans="2:14" x14ac:dyDescent="0.25">
      <c r="B10" s="74" t="s">
        <v>113</v>
      </c>
      <c r="C10" s="206">
        <v>200790030.36261699</v>
      </c>
      <c r="D10" s="206">
        <v>18693197.919698</v>
      </c>
      <c r="E10" s="206">
        <v>77383646.140000001</v>
      </c>
      <c r="F10" s="206">
        <v>296866874.422315</v>
      </c>
      <c r="H10" s="116"/>
      <c r="I10" s="116"/>
      <c r="J10" s="116"/>
      <c r="M10" s="11">
        <f>C14</f>
        <v>413021614.84683597</v>
      </c>
      <c r="N10" s="11">
        <f>D14</f>
        <v>10322752.732346</v>
      </c>
    </row>
    <row r="11" spans="2:14" x14ac:dyDescent="0.25">
      <c r="B11" s="74" t="s">
        <v>114</v>
      </c>
      <c r="C11" s="206">
        <v>148940079.82524201</v>
      </c>
      <c r="D11" s="206">
        <v>46200497.362792999</v>
      </c>
      <c r="E11" s="206">
        <v>41988371.619999997</v>
      </c>
      <c r="F11" s="206">
        <v>237128948.80803499</v>
      </c>
      <c r="H11" s="116"/>
      <c r="I11" s="116"/>
      <c r="J11" s="116"/>
      <c r="M11" s="11">
        <f>C17</f>
        <v>204094595.61916801</v>
      </c>
      <c r="N11" s="11">
        <f>D17</f>
        <v>20186105.800000001</v>
      </c>
    </row>
    <row r="12" spans="2:14" x14ac:dyDescent="0.25">
      <c r="B12" s="74" t="s">
        <v>70</v>
      </c>
      <c r="C12" s="206">
        <v>143527654.62134799</v>
      </c>
      <c r="D12" s="206">
        <v>70150414.595734</v>
      </c>
      <c r="E12" s="206">
        <v>23982873.359999999</v>
      </c>
      <c r="F12" s="206">
        <v>237660942.57708201</v>
      </c>
      <c r="H12" s="116"/>
      <c r="I12" s="116"/>
      <c r="J12" s="116"/>
      <c r="M12" s="11">
        <f>C16</f>
        <v>164990816.89829499</v>
      </c>
      <c r="N12" s="11">
        <f>D16</f>
        <v>64103001.077244997</v>
      </c>
    </row>
    <row r="13" spans="2:14" x14ac:dyDescent="0.25">
      <c r="B13" s="74" t="s">
        <v>115</v>
      </c>
      <c r="C13" s="206">
        <v>132877370.386806</v>
      </c>
      <c r="D13" s="206">
        <v>21238355.549869999</v>
      </c>
      <c r="E13" s="206">
        <v>15908197.92</v>
      </c>
      <c r="F13" s="206">
        <v>170023923.85667601</v>
      </c>
      <c r="H13" s="116"/>
      <c r="I13" s="116"/>
      <c r="J13" s="116"/>
      <c r="M13" s="11">
        <f>C19</f>
        <v>695074841.97285402</v>
      </c>
      <c r="N13" s="11">
        <f>D19</f>
        <v>62784758.439654998</v>
      </c>
    </row>
    <row r="14" spans="2:14" x14ac:dyDescent="0.25">
      <c r="B14" s="74" t="s">
        <v>116</v>
      </c>
      <c r="C14" s="206">
        <v>413021614.84683597</v>
      </c>
      <c r="D14" s="206">
        <v>10322752.732346</v>
      </c>
      <c r="E14" s="206">
        <v>185072634.40000001</v>
      </c>
      <c r="F14" s="206">
        <v>608417001.979182</v>
      </c>
      <c r="H14" s="116"/>
      <c r="I14" s="116"/>
      <c r="J14" s="116"/>
      <c r="M14" s="11">
        <f>C25</f>
        <v>224670183.40199</v>
      </c>
      <c r="N14" s="11">
        <f>D25</f>
        <v>31418755.969946001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148940079.82524201</v>
      </c>
      <c r="N15" s="11">
        <f>D11</f>
        <v>46200497.362792999</v>
      </c>
    </row>
    <row r="16" spans="2:14" x14ac:dyDescent="0.25">
      <c r="B16" s="74" t="s">
        <v>74</v>
      </c>
      <c r="C16" s="206">
        <v>164990816.89829499</v>
      </c>
      <c r="D16" s="206">
        <v>64103001.077244997</v>
      </c>
      <c r="E16" s="206">
        <v>24614053.800000001</v>
      </c>
      <c r="F16" s="206">
        <v>253707871.77553999</v>
      </c>
      <c r="H16" s="116"/>
      <c r="I16" s="116"/>
      <c r="J16" s="116"/>
      <c r="M16" s="11">
        <f>C26</f>
        <v>270932560.050179</v>
      </c>
      <c r="N16" s="11">
        <f>D26</f>
        <v>27249271.159990001</v>
      </c>
    </row>
    <row r="17" spans="2:14" x14ac:dyDescent="0.25">
      <c r="B17" s="74" t="s">
        <v>118</v>
      </c>
      <c r="C17" s="206">
        <v>204094595.61916801</v>
      </c>
      <c r="D17" s="206">
        <v>20186105.800000001</v>
      </c>
      <c r="E17" s="206" t="s">
        <v>168</v>
      </c>
      <c r="F17" s="206">
        <v>224280701.419168</v>
      </c>
      <c r="H17" s="116"/>
      <c r="I17" s="116"/>
      <c r="J17" s="116"/>
      <c r="M17" s="11">
        <f>C10</f>
        <v>200790030.36261699</v>
      </c>
      <c r="N17" s="11">
        <f>D10</f>
        <v>18693197.919698</v>
      </c>
    </row>
    <row r="18" spans="2:14" x14ac:dyDescent="0.25">
      <c r="B18" s="74" t="s">
        <v>119</v>
      </c>
      <c r="C18" s="206">
        <v>827950816.90382099</v>
      </c>
      <c r="D18" s="206">
        <v>3687063.3339979998</v>
      </c>
      <c r="E18" s="206">
        <v>3470270.24</v>
      </c>
      <c r="F18" s="206">
        <v>835108150.47781897</v>
      </c>
      <c r="H18" s="116"/>
      <c r="I18" s="116"/>
      <c r="J18" s="116"/>
      <c r="M18" s="11">
        <f>C27</f>
        <v>431387504.20734203</v>
      </c>
      <c r="N18" s="11">
        <f>D27</f>
        <v>92612517.719753996</v>
      </c>
    </row>
    <row r="19" spans="2:14" x14ac:dyDescent="0.25">
      <c r="B19" s="74" t="s">
        <v>121</v>
      </c>
      <c r="C19" s="206">
        <v>695074841.97285402</v>
      </c>
      <c r="D19" s="206">
        <v>62784758.439654998</v>
      </c>
      <c r="E19" s="206">
        <v>653193638.85997903</v>
      </c>
      <c r="F19" s="206">
        <v>1411053239.2724881</v>
      </c>
      <c r="H19" s="116"/>
      <c r="I19" s="116"/>
      <c r="J19" s="116"/>
      <c r="M19" s="11">
        <f>C20+C21</f>
        <v>125727046.85624599</v>
      </c>
      <c r="N19" s="11">
        <f>D20+D21</f>
        <v>33804537.171730004</v>
      </c>
    </row>
    <row r="20" spans="2:14" x14ac:dyDescent="0.25">
      <c r="B20" s="74" t="s">
        <v>123</v>
      </c>
      <c r="C20" s="206">
        <v>99794378.156250998</v>
      </c>
      <c r="D20" s="206">
        <v>5596960.339989</v>
      </c>
      <c r="E20" s="206">
        <v>3178378.44</v>
      </c>
      <c r="F20" s="206">
        <v>108569716.93624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6">
        <v>25932668.699995</v>
      </c>
      <c r="D21" s="206">
        <v>28207576.831741001</v>
      </c>
      <c r="E21" s="206">
        <v>13481081.380000001</v>
      </c>
      <c r="F21" s="206">
        <v>67621326.911735997</v>
      </c>
      <c r="H21" s="116"/>
      <c r="I21" s="116"/>
      <c r="J21" s="116"/>
      <c r="M21" s="14">
        <f>IFERROR(C34,0)+IFERROR(C35,0)+M20</f>
        <v>278243440.18590701</v>
      </c>
      <c r="N21" s="10" t="s">
        <v>122</v>
      </c>
    </row>
    <row r="22" spans="2:14" x14ac:dyDescent="0.25">
      <c r="B22" s="74" t="s">
        <v>172</v>
      </c>
      <c r="C22" s="206">
        <v>122111619.5</v>
      </c>
      <c r="D22" s="206" t="s">
        <v>168</v>
      </c>
      <c r="E22" s="206">
        <v>3783783.68</v>
      </c>
      <c r="F22" s="206">
        <v>125895403.18000001</v>
      </c>
      <c r="H22" s="116"/>
      <c r="I22" s="116"/>
      <c r="J22" s="116"/>
    </row>
    <row r="23" spans="2:14" x14ac:dyDescent="0.25">
      <c r="B23" s="74" t="s">
        <v>173</v>
      </c>
      <c r="C23" s="206">
        <v>177730696.53999999</v>
      </c>
      <c r="D23" s="206" t="s">
        <v>168</v>
      </c>
      <c r="E23" s="206">
        <v>8126125.9000000004</v>
      </c>
      <c r="F23" s="206">
        <v>185856822.44</v>
      </c>
      <c r="H23" s="116"/>
      <c r="I23" s="116"/>
      <c r="J23" s="116"/>
    </row>
    <row r="24" spans="2:14" x14ac:dyDescent="0.25">
      <c r="B24" s="74" t="s">
        <v>125</v>
      </c>
      <c r="C24" s="206">
        <v>186325955.91576701</v>
      </c>
      <c r="D24" s="206">
        <v>23857800.109981999</v>
      </c>
      <c r="E24" s="206">
        <v>234137486.39995</v>
      </c>
      <c r="F24" s="206">
        <v>444321242.425699</v>
      </c>
      <c r="H24" s="116"/>
      <c r="I24" s="116"/>
      <c r="J24" s="116"/>
    </row>
    <row r="25" spans="2:14" x14ac:dyDescent="0.25">
      <c r="B25" s="74" t="s">
        <v>126</v>
      </c>
      <c r="C25" s="206">
        <v>224670183.40199</v>
      </c>
      <c r="D25" s="206">
        <v>31418755.969946001</v>
      </c>
      <c r="E25" s="206">
        <v>119916131.809737</v>
      </c>
      <c r="F25" s="206">
        <v>376005071.18167299</v>
      </c>
      <c r="H25" s="116"/>
      <c r="I25" s="116"/>
      <c r="J25" s="116"/>
    </row>
    <row r="26" spans="2:14" x14ac:dyDescent="0.25">
      <c r="B26" s="74" t="s">
        <v>127</v>
      </c>
      <c r="C26" s="206">
        <v>270932560.050179</v>
      </c>
      <c r="D26" s="206">
        <v>27249271.159990001</v>
      </c>
      <c r="E26" s="206">
        <v>371077886.28958398</v>
      </c>
      <c r="F26" s="206">
        <v>669259717.499753</v>
      </c>
      <c r="H26" s="116"/>
      <c r="I26" s="116"/>
      <c r="J26" s="116"/>
    </row>
    <row r="27" spans="2:14" x14ac:dyDescent="0.25">
      <c r="B27" s="74" t="s">
        <v>128</v>
      </c>
      <c r="C27" s="206">
        <v>431387504.20734203</v>
      </c>
      <c r="D27" s="206">
        <v>92612517.719753996</v>
      </c>
      <c r="E27" s="206">
        <v>8357729.9079999998</v>
      </c>
      <c r="F27" s="206">
        <v>532357751.835096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116633499.25400899</v>
      </c>
      <c r="G32" s="116"/>
      <c r="H32" s="116"/>
      <c r="I32" s="116"/>
    </row>
    <row r="33" spans="2:14" x14ac:dyDescent="0.25">
      <c r="B33" s="84" t="s">
        <v>133</v>
      </c>
      <c r="C33" s="206">
        <v>291608026.87712699</v>
      </c>
      <c r="G33" s="116"/>
      <c r="H33" s="116"/>
      <c r="I33" s="116"/>
    </row>
    <row r="34" spans="2:14" x14ac:dyDescent="0.25">
      <c r="B34" s="84" t="s">
        <v>134</v>
      </c>
      <c r="C34" s="205">
        <v>62900626.135850005</v>
      </c>
      <c r="G34" s="116"/>
      <c r="H34" s="116"/>
      <c r="I34" s="116"/>
    </row>
    <row r="35" spans="2:14" x14ac:dyDescent="0.25">
      <c r="B35" s="84" t="s">
        <v>135</v>
      </c>
      <c r="C35" s="206">
        <v>214931814.05005699</v>
      </c>
      <c r="G35" s="116"/>
      <c r="H35" s="116"/>
      <c r="I35" s="116"/>
    </row>
    <row r="36" spans="2:14" x14ac:dyDescent="0.25">
      <c r="B36" s="84" t="s">
        <v>136</v>
      </c>
      <c r="C36" s="206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185</v>
      </c>
      <c r="C41" s="226"/>
      <c r="D41" s="227"/>
      <c r="E41" s="67" t="s">
        <v>138</v>
      </c>
      <c r="F41" s="73">
        <f ca="1">IF(MONTH(TODAY())=7,DAY(TODAY())/DAY(EOMONTH(TODAY(),0)),IF(MONTH(TODAY())&gt;7,1,0))</f>
        <v>0.45161290322580644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3642202571.0046902</v>
      </c>
      <c r="F43" s="44">
        <f>IFERROR(E43/D43,0)</f>
        <v>0.45826297795331344</v>
      </c>
      <c r="G43" s="118">
        <f>D43-E43</f>
        <v>4305641235.3429995</v>
      </c>
      <c r="H43" s="118">
        <f ca="1">IFERROR(G43/C3,0)</f>
        <v>269102577.20893747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522621965.60874295</v>
      </c>
      <c r="F44" s="44">
        <f>IFERROR(E44/D44,0)</f>
        <v>0.35247856863854299</v>
      </c>
      <c r="G44" s="118">
        <f>D44-E44</f>
        <v>960083685.48199701</v>
      </c>
      <c r="H44" s="118">
        <f ca="1">IFERROR(G44/C3,0)</f>
        <v>60005230.342624813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686484966.31704307</v>
      </c>
      <c r="F45" s="44">
        <f>IFERROR(E45/D45,0)</f>
        <v>0.37085969444713818</v>
      </c>
      <c r="G45" s="118">
        <f>D45-E45</f>
        <v>1164578863.4701912</v>
      </c>
      <c r="H45" s="118">
        <f ca="1">IFERROR(G45/C3,0)</f>
        <v>72786178.966886953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4851309502.9304762</v>
      </c>
      <c r="F46" s="43">
        <f>IFERROR(E46/D46,0)</f>
        <v>0.43001912753237925</v>
      </c>
      <c r="G46" s="119">
        <f>G43+G44+G45</f>
        <v>6430303784.295188</v>
      </c>
      <c r="H46" s="119">
        <f ca="1">IFERROR(G46/C3,0)</f>
        <v>401893986.51844925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186325955.91576701</v>
      </c>
      <c r="H51" s="122">
        <f>N8</f>
        <v>23857800.109981999</v>
      </c>
      <c r="I51" s="122">
        <f t="shared" ref="I51:I64" si="1">G51+H51</f>
        <v>210183756.02574903</v>
      </c>
      <c r="J51" s="61">
        <f t="shared" ref="J51:J64" si="2">IFERROR(I51/F51,0)</f>
        <v>0.37032487789789542</v>
      </c>
      <c r="K51" s="51">
        <f t="shared" ref="K51:M64" si="3">D51-G51</f>
        <v>304911221.20969641</v>
      </c>
      <c r="L51" s="51">
        <f t="shared" si="3"/>
        <v>52470877.96399945</v>
      </c>
      <c r="M51" s="51">
        <f t="shared" si="3"/>
        <v>357382099.17369586</v>
      </c>
      <c r="N51" s="51">
        <f ca="1">IFERROR(M51/C3,0)</f>
        <v>22336381.198355991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276405025.00815398</v>
      </c>
      <c r="H52" s="122">
        <f>N9</f>
        <v>91388770.145603999</v>
      </c>
      <c r="I52" s="122">
        <f t="shared" si="1"/>
        <v>367793795.15375799</v>
      </c>
      <c r="J52" s="61">
        <f t="shared" si="2"/>
        <v>0.43851681500281753</v>
      </c>
      <c r="K52" s="54">
        <f t="shared" si="3"/>
        <v>381052134.84359568</v>
      </c>
      <c r="L52" s="54">
        <f t="shared" si="3"/>
        <v>89876286.735418305</v>
      </c>
      <c r="M52" s="54">
        <f t="shared" si="3"/>
        <v>470928421.579014</v>
      </c>
      <c r="N52" s="54">
        <f ca="1">IFERROR(M52/C3,0)</f>
        <v>29433026.348688375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C22</f>
        <v>122111619.5</v>
      </c>
      <c r="H53" s="122">
        <f>IF(D22="",0,D22)</f>
        <v>0</v>
      </c>
      <c r="I53" s="122">
        <f>G53+H53</f>
        <v>122111619.5</v>
      </c>
      <c r="J53" s="61">
        <f>IFERROR(I53/F53,0)</f>
        <v>0.49049562394632723</v>
      </c>
      <c r="K53" s="54">
        <f>D53-G53</f>
        <v>126843954.28787571</v>
      </c>
      <c r="L53" s="54">
        <f>E53-H53</f>
        <v>0</v>
      </c>
      <c r="M53" s="54">
        <f>F53-I53</f>
        <v>126843954.28787571</v>
      </c>
      <c r="N53" s="54">
        <f ca="1">IFERROR(M53/C3,0)</f>
        <v>7927747.142992232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413021614.84683597</v>
      </c>
      <c r="H54" s="122">
        <f t="shared" ref="H54:H58" si="4">N10</f>
        <v>10322752.732346</v>
      </c>
      <c r="I54" s="122">
        <f t="shared" si="1"/>
        <v>423344367.57918197</v>
      </c>
      <c r="J54" s="61">
        <f t="shared" si="2"/>
        <v>0.54283956217935991</v>
      </c>
      <c r="K54" s="54">
        <f>D54-G54</f>
        <v>315365662.72706676</v>
      </c>
      <c r="L54" s="54">
        <f t="shared" si="3"/>
        <v>41160113.792247355</v>
      </c>
      <c r="M54" s="54">
        <f t="shared" si="3"/>
        <v>356525776.51931411</v>
      </c>
      <c r="N54" s="54">
        <f ca="1">IFERROR(M54/C3,0)</f>
        <v>22282861.032457132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204094595.61916801</v>
      </c>
      <c r="H55" s="122">
        <f t="shared" si="4"/>
        <v>20186105.800000001</v>
      </c>
      <c r="I55" s="122">
        <f t="shared" si="1"/>
        <v>224280701.41916803</v>
      </c>
      <c r="J55" s="61">
        <f t="shared" si="2"/>
        <v>0.40586571700213192</v>
      </c>
      <c r="K55" s="54">
        <f t="shared" si="3"/>
        <v>278217582.85819733</v>
      </c>
      <c r="L55" s="54">
        <f t="shared" si="3"/>
        <v>50100006.299588963</v>
      </c>
      <c r="M55" s="54">
        <f t="shared" si="3"/>
        <v>328317589.15778637</v>
      </c>
      <c r="N55" s="54">
        <f ca="1">IFERROR(M55/C3,0)</f>
        <v>20519849.322361648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164990816.89829499</v>
      </c>
      <c r="H56" s="122">
        <f t="shared" si="4"/>
        <v>64103001.077244997</v>
      </c>
      <c r="I56" s="122">
        <f t="shared" si="1"/>
        <v>229093817.97553998</v>
      </c>
      <c r="J56" s="61">
        <f t="shared" si="2"/>
        <v>0.36471525617701345</v>
      </c>
      <c r="K56" s="54">
        <f t="shared" si="3"/>
        <v>340201186.10479158</v>
      </c>
      <c r="L56" s="54">
        <f t="shared" si="3"/>
        <v>58849319.732517108</v>
      </c>
      <c r="M56" s="54">
        <f t="shared" si="3"/>
        <v>399050505.8373087</v>
      </c>
      <c r="N56" s="54">
        <f ca="1">IFERROR(M56/C3,0)</f>
        <v>24940656.614831794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695074841.97285402</v>
      </c>
      <c r="H57" s="122">
        <f t="shared" si="4"/>
        <v>62784758.439654998</v>
      </c>
      <c r="I57" s="122">
        <f t="shared" si="1"/>
        <v>757859600.41250896</v>
      </c>
      <c r="J57" s="61">
        <f t="shared" si="2"/>
        <v>0.65198819241116268</v>
      </c>
      <c r="K57" s="54">
        <f t="shared" si="3"/>
        <v>366170561.07586467</v>
      </c>
      <c r="L57" s="54">
        <f t="shared" si="3"/>
        <v>38352239.349003397</v>
      </c>
      <c r="M57" s="54">
        <f t="shared" si="3"/>
        <v>404522800.42486811</v>
      </c>
      <c r="N57" s="54">
        <f ca="1">IFERROR(M57/C3,0)</f>
        <v>25282675.026554257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224670183.40199</v>
      </c>
      <c r="H58" s="122">
        <f t="shared" si="4"/>
        <v>31418755.969946001</v>
      </c>
      <c r="I58" s="122">
        <f>G58+H58</f>
        <v>256088939.37193599</v>
      </c>
      <c r="J58" s="61">
        <f>IFERROR(I58/F58,0)</f>
        <v>0.38349343206060882</v>
      </c>
      <c r="K58" s="54">
        <f t="shared" si="3"/>
        <v>338443987.33209878</v>
      </c>
      <c r="L58" s="54">
        <f t="shared" si="3"/>
        <v>73246278.785624489</v>
      </c>
      <c r="M58" s="54">
        <f t="shared" si="3"/>
        <v>411690266.11772335</v>
      </c>
      <c r="N58" s="54">
        <f ca="1">IFERROR(M58/C3,0)</f>
        <v>25730641.632357709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C23</f>
        <v>177730696.53999999</v>
      </c>
      <c r="H59" s="122">
        <f>IF(D23="",0,D23)</f>
        <v>0</v>
      </c>
      <c r="I59" s="122">
        <f>G59+H59</f>
        <v>177730696.53999999</v>
      </c>
      <c r="J59" s="61">
        <f>IFERROR(I59/F59,0)</f>
        <v>0.41347222009714696</v>
      </c>
      <c r="K59" s="54">
        <f>D59-G59</f>
        <v>252118487.76128498</v>
      </c>
      <c r="L59" s="54">
        <f>E59-H59</f>
        <v>0</v>
      </c>
      <c r="M59" s="54">
        <f>F59-I59</f>
        <v>252118487.76128498</v>
      </c>
      <c r="N59" s="54">
        <f ca="1">IFERROR(M59/C3,0)</f>
        <v>15757405.485080311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148940079.82524201</v>
      </c>
      <c r="H60" s="122">
        <f t="shared" ref="H60:H64" si="5">N15</f>
        <v>46200497.362792999</v>
      </c>
      <c r="I60" s="122">
        <f t="shared" si="1"/>
        <v>195140577.18803501</v>
      </c>
      <c r="J60" s="61">
        <f t="shared" si="2"/>
        <v>0.30857897965884334</v>
      </c>
      <c r="K60" s="54">
        <f t="shared" si="3"/>
        <v>365781031.60160601</v>
      </c>
      <c r="L60" s="54">
        <f t="shared" si="3"/>
        <v>71462934.719373077</v>
      </c>
      <c r="M60" s="54">
        <f t="shared" si="3"/>
        <v>437243966.32097912</v>
      </c>
      <c r="N60" s="54">
        <f ca="1">IFERROR(M60/C3,0)</f>
        <v>27327747.895061195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270932560.050179</v>
      </c>
      <c r="H61" s="122">
        <f t="shared" si="5"/>
        <v>27249271.159990001</v>
      </c>
      <c r="I61" s="122">
        <f t="shared" si="1"/>
        <v>298181831.21016902</v>
      </c>
      <c r="J61" s="61">
        <f t="shared" si="2"/>
        <v>0.38735420158799172</v>
      </c>
      <c r="K61" s="54">
        <f t="shared" si="3"/>
        <v>427912616.18942201</v>
      </c>
      <c r="L61" s="54">
        <f t="shared" si="3"/>
        <v>43696689.466220826</v>
      </c>
      <c r="M61" s="54">
        <f t="shared" si="3"/>
        <v>471609305.65564281</v>
      </c>
      <c r="N61" s="54">
        <f ca="1">IFERROR(M61/C3,0)</f>
        <v>29475581.603477675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200790030.36261699</v>
      </c>
      <c r="H62" s="122">
        <f t="shared" si="5"/>
        <v>18693197.919698</v>
      </c>
      <c r="I62" s="122">
        <f t="shared" si="1"/>
        <v>219483228.28231499</v>
      </c>
      <c r="J62" s="61">
        <f t="shared" si="2"/>
        <v>0.41394622782687646</v>
      </c>
      <c r="K62" s="54">
        <f t="shared" si="3"/>
        <v>281080333.85474908</v>
      </c>
      <c r="L62" s="54">
        <f t="shared" si="3"/>
        <v>29658030.736367792</v>
      </c>
      <c r="M62" s="54">
        <f t="shared" si="3"/>
        <v>310738364.59111691</v>
      </c>
      <c r="N62" s="54">
        <f ca="1">IFERROR(M62/C3,0)</f>
        <v>19421147.786944807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431387504.20734203</v>
      </c>
      <c r="H63" s="122">
        <f t="shared" si="5"/>
        <v>92612517.719753996</v>
      </c>
      <c r="I63" s="122">
        <f t="shared" si="1"/>
        <v>524000021.92709601</v>
      </c>
      <c r="J63" s="61">
        <f t="shared" si="2"/>
        <v>0.50766718441666969</v>
      </c>
      <c r="K63" s="54">
        <f t="shared" si="3"/>
        <v>274667424.78545845</v>
      </c>
      <c r="L63" s="54">
        <f t="shared" si="3"/>
        <v>233504885.89388233</v>
      </c>
      <c r="M63" s="54">
        <f t="shared" si="3"/>
        <v>508172310.67934072</v>
      </c>
      <c r="N63" s="54">
        <f ca="1">IFERROR(M63/C3,0)</f>
        <v>31760769.417458795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125727046.85624599</v>
      </c>
      <c r="H64" s="122">
        <f t="shared" si="5"/>
        <v>33804537.171730004</v>
      </c>
      <c r="I64" s="122">
        <f t="shared" si="1"/>
        <v>159531584.02797601</v>
      </c>
      <c r="J64" s="61">
        <f t="shared" si="2"/>
        <v>0.27034089542730572</v>
      </c>
      <c r="K64" s="54">
        <f t="shared" si="3"/>
        <v>252875050.71129119</v>
      </c>
      <c r="L64" s="54">
        <f t="shared" si="3"/>
        <v>177706022.00775397</v>
      </c>
      <c r="M64" s="54">
        <f t="shared" si="3"/>
        <v>430581072.71904516</v>
      </c>
      <c r="N64" s="54">
        <f ca="1">IFERROR(M64/C3,0)</f>
        <v>26911317.044940323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3642202571.0046902</v>
      </c>
      <c r="H65" s="152">
        <f>SUM(H51:H64)</f>
        <v>522621965.60874295</v>
      </c>
      <c r="I65" s="152">
        <f>SUM(I51:I64)</f>
        <v>4164824536.6134319</v>
      </c>
      <c r="J65" s="153">
        <f>IFERROR(I65/F65,0)</f>
        <v>0.44163116427202348</v>
      </c>
      <c r="K65" s="154">
        <f>SUM(K51:K64)</f>
        <v>4305641235.3429985</v>
      </c>
      <c r="L65" s="154">
        <f>SUM(L51:L64)</f>
        <v>960083685.48199713</v>
      </c>
      <c r="M65" s="154">
        <f>SUM(M51:M64)</f>
        <v>5265724920.824995</v>
      </c>
      <c r="N65" s="154">
        <f ca="1">IFERROR(M65/C3,0)</f>
        <v>329107807.55156219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234137486.39995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IF(E12="",0,E12)+IF(E13="",0,E13)</f>
        <v>39891071.280000001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IF(E22="",0,E22)</f>
        <v>3783783.68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185072634.40000001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IF(E16="",0,E16)</f>
        <v>24614053.800000001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IF(E19="",0,E19)</f>
        <v>653193638.85997903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119916131.809737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IF(E23="",0,E23)</f>
        <v>8126125.9000000004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41988371.619999997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371077886.28958398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77383646.140000001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8357729.9079999998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IF(E20="",0,E20)+IF(E21="",0,E21)</f>
        <v>16659459.82</v>
      </c>
    </row>
    <row r="84" spans="2:9" ht="20.100000000000001" customHeight="1" x14ac:dyDescent="0.25">
      <c r="B84" s="57" t="s">
        <v>152</v>
      </c>
      <c r="C84" s="58"/>
      <c r="D84" s="129">
        <f>SUM(D70:D83)</f>
        <v>1784202019.9072499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116633499.25400899</v>
      </c>
      <c r="F89" s="61">
        <f t="shared" ref="F89:F94" si="7">IFERROR(E89/D89,0)</f>
        <v>0.39788059767513112</v>
      </c>
      <c r="G89" s="125">
        <f>D89-E89</f>
        <v>176503436.63960814</v>
      </c>
      <c r="H89" s="125">
        <f ca="1">IFERROR(G89/C3,0)</f>
        <v>11031464.789975509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291608026.87712699</v>
      </c>
      <c r="F90" s="61">
        <f t="shared" si="7"/>
        <v>0.66815476771545146</v>
      </c>
      <c r="G90" s="126">
        <f>D90-E90</f>
        <v>144829818.01649016</v>
      </c>
      <c r="H90" s="126">
        <f ca="1">IFERROR(G90/C3,0)</f>
        <v>9051863.6260306351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278243440.18590701</v>
      </c>
      <c r="F91" s="61">
        <f t="shared" si="7"/>
        <v>0.24810178970004995</v>
      </c>
      <c r="G91" s="125">
        <f>D91-E91</f>
        <v>843245608.81409299</v>
      </c>
      <c r="H91" s="125">
        <f ca="1">IFERROR(G91/C3,0)</f>
        <v>52702850.550880812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686484966.31704307</v>
      </c>
      <c r="F94" s="43">
        <f t="shared" si="7"/>
        <v>0.37085969444713818</v>
      </c>
      <c r="G94" s="119">
        <f>SUM(G89:G93)</f>
        <v>1164578863.4701912</v>
      </c>
      <c r="H94" s="119">
        <f ca="1">IFERROR(G94/C3,0)</f>
        <v>72786178.966886953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2026-07-14T00:56:04Z</dcterms:modified>
  <dc:language>en-US</dc:language>
</cp:coreProperties>
</file>