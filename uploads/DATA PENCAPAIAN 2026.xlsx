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YULI\TALITHA\"/>
    </mc:Choice>
  </mc:AlternateContent>
  <xr:revisionPtr revIDLastSave="0" documentId="13_ncr:1_{A5384DB1-F19F-4118-9BD4-AE96FB8B0E26}" xr6:coauthVersionLast="47" xr6:coauthVersionMax="47" xr10:uidLastSave="{00000000-0000-0000-0000-000000000000}"/>
  <bookViews>
    <workbookView xWindow="-120" yWindow="-120" windowWidth="20730" windowHeight="11160" tabRatio="500" firstSheet="2" activeTab="9" xr2:uid="{00000000-000D-0000-FFFF-FFFF00000000}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8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1" i="14" l="1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45" i="14"/>
  <c r="K45" i="14" s="1"/>
  <c r="G45" i="14"/>
  <c r="D44" i="14"/>
  <c r="D43" i="14"/>
  <c r="M20" i="14"/>
  <c r="M21" i="14" s="1"/>
  <c r="E46" i="14" s="1"/>
  <c r="O7" i="14"/>
  <c r="O8" i="14"/>
  <c r="J52" i="14" s="1"/>
  <c r="O9" i="14"/>
  <c r="J53" i="14" s="1"/>
  <c r="O10" i="14"/>
  <c r="J55" i="14" s="1"/>
  <c r="O11" i="14"/>
  <c r="J56" i="14" s="1"/>
  <c r="O12" i="14"/>
  <c r="J57" i="14" s="1"/>
  <c r="O13" i="14"/>
  <c r="J58" i="14" s="1"/>
  <c r="O14" i="14"/>
  <c r="J59" i="14" s="1"/>
  <c r="O15" i="14"/>
  <c r="J61" i="14" s="1"/>
  <c r="O16" i="14"/>
  <c r="J62" i="14" s="1"/>
  <c r="O17" i="14"/>
  <c r="O18" i="14"/>
  <c r="J64" i="14" s="1"/>
  <c r="O19" i="14"/>
  <c r="N7" i="14"/>
  <c r="N8" i="14"/>
  <c r="N9" i="14"/>
  <c r="N10" i="14"/>
  <c r="N11" i="14"/>
  <c r="N12" i="14"/>
  <c r="N13" i="14"/>
  <c r="N14" i="14"/>
  <c r="N15" i="14"/>
  <c r="I61" i="14" s="1"/>
  <c r="N16" i="14"/>
  <c r="N17" i="14"/>
  <c r="N18" i="14"/>
  <c r="N19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E66" i="14"/>
  <c r="I60" i="14"/>
  <c r="I54" i="14"/>
  <c r="H60" i="14"/>
  <c r="H54" i="14"/>
  <c r="J54" i="14"/>
  <c r="J60" i="14"/>
  <c r="J63" i="14"/>
  <c r="J65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45" i="13"/>
  <c r="I45" i="13" s="1"/>
  <c r="K45" i="13"/>
  <c r="D44" i="13"/>
  <c r="D43" i="13"/>
  <c r="M20" i="13"/>
  <c r="M21" i="13" s="1"/>
  <c r="E46" i="13" s="1"/>
  <c r="O7" i="13"/>
  <c r="O8" i="13"/>
  <c r="J52" i="13" s="1"/>
  <c r="O9" i="13"/>
  <c r="J53" i="13" s="1"/>
  <c r="O10" i="13"/>
  <c r="O11" i="13"/>
  <c r="J56" i="13" s="1"/>
  <c r="O12" i="13"/>
  <c r="J57" i="13" s="1"/>
  <c r="O13" i="13"/>
  <c r="J58" i="13" s="1"/>
  <c r="O14" i="13"/>
  <c r="O15" i="13"/>
  <c r="O16" i="13"/>
  <c r="J62" i="13" s="1"/>
  <c r="O17" i="13"/>
  <c r="O18" i="13"/>
  <c r="O19" i="13"/>
  <c r="N7" i="13"/>
  <c r="N8" i="13"/>
  <c r="N9" i="13"/>
  <c r="N10" i="13"/>
  <c r="N11" i="13"/>
  <c r="N12" i="13"/>
  <c r="N13" i="13"/>
  <c r="N14" i="13"/>
  <c r="N15" i="13"/>
  <c r="N16" i="13"/>
  <c r="N17" i="13"/>
  <c r="N18" i="13"/>
  <c r="N19" i="13"/>
  <c r="M7" i="13"/>
  <c r="M8" i="13"/>
  <c r="M9" i="13"/>
  <c r="M10" i="13"/>
  <c r="M11" i="13"/>
  <c r="M12" i="13"/>
  <c r="M13" i="13"/>
  <c r="M14" i="13"/>
  <c r="M15" i="13"/>
  <c r="H61" i="13" s="1"/>
  <c r="M16" i="13"/>
  <c r="M17" i="13"/>
  <c r="M18" i="13"/>
  <c r="M19" i="13"/>
  <c r="I60" i="13"/>
  <c r="I54" i="13"/>
  <c r="H60" i="13"/>
  <c r="K60" i="13" s="1"/>
  <c r="H54" i="13"/>
  <c r="J54" i="13"/>
  <c r="J55" i="13"/>
  <c r="J59" i="13"/>
  <c r="J60" i="13"/>
  <c r="J61" i="13"/>
  <c r="J63" i="13"/>
  <c r="J64" i="13"/>
  <c r="J65" i="13"/>
  <c r="F52" i="13"/>
  <c r="F53" i="13"/>
  <c r="F54" i="13"/>
  <c r="F55" i="13"/>
  <c r="F56" i="13"/>
  <c r="F57" i="13"/>
  <c r="F58" i="13"/>
  <c r="F59" i="13"/>
  <c r="F60" i="13"/>
  <c r="F61" i="13"/>
  <c r="F62" i="13"/>
  <c r="F63" i="13"/>
  <c r="F64" i="13"/>
  <c r="F65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45" i="12"/>
  <c r="G45" i="12" s="1"/>
  <c r="D44" i="12"/>
  <c r="D43" i="12"/>
  <c r="M20" i="12"/>
  <c r="M21" i="12" s="1"/>
  <c r="E46" i="12" s="1"/>
  <c r="O7" i="12"/>
  <c r="O8" i="12"/>
  <c r="J52" i="12" s="1"/>
  <c r="O9" i="12"/>
  <c r="O10" i="12"/>
  <c r="J55" i="12" s="1"/>
  <c r="O11" i="12"/>
  <c r="J56" i="12" s="1"/>
  <c r="O12" i="12"/>
  <c r="J57" i="12" s="1"/>
  <c r="O13" i="12"/>
  <c r="J58" i="12" s="1"/>
  <c r="O14" i="12"/>
  <c r="J59" i="12" s="1"/>
  <c r="O15" i="12"/>
  <c r="J61" i="12" s="1"/>
  <c r="O16" i="12"/>
  <c r="J62" i="12" s="1"/>
  <c r="O17" i="12"/>
  <c r="O18" i="12"/>
  <c r="J64" i="12" s="1"/>
  <c r="O19" i="12"/>
  <c r="J65" i="12" s="1"/>
  <c r="N7" i="12"/>
  <c r="N8" i="12"/>
  <c r="N9" i="12"/>
  <c r="I53" i="12" s="1"/>
  <c r="N10" i="12"/>
  <c r="N11" i="12"/>
  <c r="N12" i="12"/>
  <c r="N13" i="12"/>
  <c r="N14" i="12"/>
  <c r="N15" i="12"/>
  <c r="N16" i="12"/>
  <c r="N17" i="12"/>
  <c r="N18" i="12"/>
  <c r="N19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I60" i="12"/>
  <c r="I54" i="12"/>
  <c r="H60" i="12"/>
  <c r="H54" i="12"/>
  <c r="J53" i="12"/>
  <c r="J54" i="12"/>
  <c r="J60" i="12"/>
  <c r="J63" i="12"/>
  <c r="F52" i="12"/>
  <c r="F53" i="12"/>
  <c r="F54" i="12"/>
  <c r="F55" i="12"/>
  <c r="F56" i="12"/>
  <c r="F57" i="12"/>
  <c r="F58" i="12"/>
  <c r="F59" i="12"/>
  <c r="F60" i="12"/>
  <c r="F61" i="12"/>
  <c r="F62" i="12"/>
  <c r="F63" i="12"/>
  <c r="F64" i="12"/>
  <c r="F65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D81" i="11"/>
  <c r="D82" i="11"/>
  <c r="D83" i="11"/>
  <c r="D84" i="11"/>
  <c r="D85" i="11"/>
  <c r="D86" i="11"/>
  <c r="D87" i="11"/>
  <c r="D88" i="11"/>
  <c r="D89" i="11"/>
  <c r="D90" i="11"/>
  <c r="D91" i="11"/>
  <c r="D92" i="11"/>
  <c r="D93" i="11"/>
  <c r="D94" i="11"/>
  <c r="D45" i="11"/>
  <c r="K45" i="11" s="1"/>
  <c r="D44" i="11"/>
  <c r="D43" i="11"/>
  <c r="M20" i="11"/>
  <c r="M21" i="11" s="1"/>
  <c r="E46" i="11" s="1"/>
  <c r="O7" i="11"/>
  <c r="O8" i="11"/>
  <c r="J52" i="11" s="1"/>
  <c r="O9" i="11"/>
  <c r="J53" i="11" s="1"/>
  <c r="O10" i="11"/>
  <c r="J55" i="11" s="1"/>
  <c r="O11" i="11"/>
  <c r="J56" i="11" s="1"/>
  <c r="O12" i="11"/>
  <c r="J57" i="11" s="1"/>
  <c r="O13" i="11"/>
  <c r="J58" i="11" s="1"/>
  <c r="O14" i="11"/>
  <c r="O15" i="11"/>
  <c r="J61" i="11" s="1"/>
  <c r="O16" i="11"/>
  <c r="J62" i="11" s="1"/>
  <c r="O17" i="11"/>
  <c r="J63" i="11" s="1"/>
  <c r="O18" i="11"/>
  <c r="O19" i="11"/>
  <c r="N7" i="11"/>
  <c r="N8" i="11"/>
  <c r="N9" i="11"/>
  <c r="N10" i="11"/>
  <c r="N11" i="11"/>
  <c r="N12" i="11"/>
  <c r="N13" i="11"/>
  <c r="N14" i="11"/>
  <c r="N15" i="11"/>
  <c r="N16" i="11"/>
  <c r="N17" i="11"/>
  <c r="N18" i="11"/>
  <c r="N19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I60" i="11"/>
  <c r="I54" i="11"/>
  <c r="H60" i="11"/>
  <c r="H54" i="11"/>
  <c r="J54" i="11"/>
  <c r="J59" i="11"/>
  <c r="J60" i="11"/>
  <c r="J64" i="11"/>
  <c r="J65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45" i="10"/>
  <c r="I60" i="10"/>
  <c r="I54" i="10"/>
  <c r="H60" i="10"/>
  <c r="H54" i="10"/>
  <c r="J54" i="10"/>
  <c r="J60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F65" i="10"/>
  <c r="M20" i="10"/>
  <c r="M21" i="10" s="1"/>
  <c r="E46" i="10" s="1"/>
  <c r="O7" i="10"/>
  <c r="O8" i="10"/>
  <c r="J52" i="10" s="1"/>
  <c r="O9" i="10"/>
  <c r="J53" i="10" s="1"/>
  <c r="O10" i="10"/>
  <c r="J55" i="10" s="1"/>
  <c r="O11" i="10"/>
  <c r="J56" i="10" s="1"/>
  <c r="O12" i="10"/>
  <c r="J57" i="10" s="1"/>
  <c r="O13" i="10"/>
  <c r="J58" i="10" s="1"/>
  <c r="O14" i="10"/>
  <c r="J59" i="10" s="1"/>
  <c r="O15" i="10"/>
  <c r="J61" i="10" s="1"/>
  <c r="O16" i="10"/>
  <c r="J62" i="10" s="1"/>
  <c r="O17" i="10"/>
  <c r="J63" i="10" s="1"/>
  <c r="O18" i="10"/>
  <c r="J64" i="10" s="1"/>
  <c r="O19" i="10"/>
  <c r="J65" i="10" s="1"/>
  <c r="N7" i="10"/>
  <c r="N8" i="10"/>
  <c r="N9" i="10"/>
  <c r="I53" i="10" s="1"/>
  <c r="N10" i="10"/>
  <c r="N11" i="10"/>
  <c r="I56" i="10" s="1"/>
  <c r="N12" i="10"/>
  <c r="I57" i="10" s="1"/>
  <c r="N13" i="10"/>
  <c r="I58" i="10" s="1"/>
  <c r="N14" i="10"/>
  <c r="N15" i="10"/>
  <c r="I61" i="10" s="1"/>
  <c r="N16" i="10"/>
  <c r="I62" i="10" s="1"/>
  <c r="N17" i="10"/>
  <c r="I63" i="10" s="1"/>
  <c r="N18" i="10"/>
  <c r="N19" i="10"/>
  <c r="I65" i="10" s="1"/>
  <c r="M7" i="10"/>
  <c r="M8" i="10"/>
  <c r="H52" i="10" s="1"/>
  <c r="M9" i="10"/>
  <c r="M10" i="10"/>
  <c r="M11" i="10"/>
  <c r="H56" i="10" s="1"/>
  <c r="K56" i="10" s="1"/>
  <c r="M12" i="10"/>
  <c r="H57" i="10" s="1"/>
  <c r="M13" i="10"/>
  <c r="M14" i="10"/>
  <c r="H59" i="10" s="1"/>
  <c r="M15" i="10"/>
  <c r="H61" i="10" s="1"/>
  <c r="M16" i="10"/>
  <c r="H62" i="10" s="1"/>
  <c r="M17" i="10"/>
  <c r="M18" i="10"/>
  <c r="H64" i="10" s="1"/>
  <c r="M19" i="10"/>
  <c r="E3" i="14"/>
  <c r="J2" i="14" s="1"/>
  <c r="C3" i="14"/>
  <c r="H45" i="14" s="1"/>
  <c r="E3" i="13"/>
  <c r="J2" i="13" s="1"/>
  <c r="C3" i="13"/>
  <c r="E3" i="12"/>
  <c r="J2" i="12" s="1"/>
  <c r="C3" i="12"/>
  <c r="E3" i="11"/>
  <c r="J2" i="11" s="1"/>
  <c r="C3" i="11"/>
  <c r="E3" i="10"/>
  <c r="J2" i="10" s="1"/>
  <c r="C3" i="10"/>
  <c r="E3" i="9"/>
  <c r="J2" i="9" s="1"/>
  <c r="C3" i="9"/>
  <c r="E3" i="8"/>
  <c r="J2" i="8" s="1"/>
  <c r="C3" i="8"/>
  <c r="E3" i="7"/>
  <c r="J2" i="7" s="1"/>
  <c r="C3" i="7"/>
  <c r="E3" i="6"/>
  <c r="J2" i="6" s="1"/>
  <c r="C3" i="6"/>
  <c r="E3" i="5"/>
  <c r="J2" i="5" s="1"/>
  <c r="C3" i="5"/>
  <c r="E3" i="4"/>
  <c r="J2" i="4" s="1"/>
  <c r="C3" i="4"/>
  <c r="E3" i="3"/>
  <c r="J2" i="3" s="1"/>
  <c r="C3" i="3"/>
  <c r="M50" i="14"/>
  <c r="N50" i="14"/>
  <c r="O50" i="14"/>
  <c r="P50" i="14"/>
  <c r="Q50" i="14"/>
  <c r="R50" i="14"/>
  <c r="G69" i="14"/>
  <c r="H69" i="14"/>
  <c r="I69" i="14"/>
  <c r="J69" i="14"/>
  <c r="K69" i="14"/>
  <c r="L69" i="14"/>
  <c r="G42" i="14"/>
  <c r="H42" i="14"/>
  <c r="I42" i="14"/>
  <c r="J42" i="14"/>
  <c r="K42" i="14"/>
  <c r="L42" i="14"/>
  <c r="M50" i="13"/>
  <c r="N50" i="13"/>
  <c r="O50" i="13"/>
  <c r="P50" i="13"/>
  <c r="Q50" i="13"/>
  <c r="R50" i="13"/>
  <c r="G69" i="13"/>
  <c r="H69" i="13"/>
  <c r="I69" i="13"/>
  <c r="J69" i="13"/>
  <c r="K69" i="13"/>
  <c r="L69" i="13"/>
  <c r="G42" i="13"/>
  <c r="H42" i="13"/>
  <c r="I42" i="13"/>
  <c r="J42" i="13"/>
  <c r="K42" i="13"/>
  <c r="L42" i="13"/>
  <c r="M50" i="12"/>
  <c r="N50" i="12"/>
  <c r="O50" i="12"/>
  <c r="P50" i="12"/>
  <c r="Q50" i="12"/>
  <c r="R50" i="12"/>
  <c r="G69" i="12"/>
  <c r="H69" i="12"/>
  <c r="I69" i="12"/>
  <c r="J69" i="12"/>
  <c r="K69" i="12"/>
  <c r="L69" i="12"/>
  <c r="G42" i="12"/>
  <c r="H42" i="12"/>
  <c r="I42" i="12"/>
  <c r="J42" i="12"/>
  <c r="K42" i="12"/>
  <c r="L42" i="12"/>
  <c r="K49" i="8"/>
  <c r="L49" i="8"/>
  <c r="M49" i="8"/>
  <c r="N49" i="8"/>
  <c r="O49" i="8"/>
  <c r="P49" i="8"/>
  <c r="G68" i="8"/>
  <c r="H68" i="8"/>
  <c r="I68" i="8"/>
  <c r="J68" i="8"/>
  <c r="K68" i="8"/>
  <c r="L68" i="8"/>
  <c r="G42" i="8"/>
  <c r="H42" i="8"/>
  <c r="I42" i="8"/>
  <c r="J42" i="8"/>
  <c r="K42" i="8"/>
  <c r="L42" i="8"/>
  <c r="K49" i="7"/>
  <c r="L49" i="7"/>
  <c r="M49" i="7"/>
  <c r="N49" i="7"/>
  <c r="O49" i="7"/>
  <c r="P49" i="7"/>
  <c r="G68" i="7"/>
  <c r="H68" i="7"/>
  <c r="I68" i="7"/>
  <c r="J68" i="7"/>
  <c r="K68" i="7"/>
  <c r="L68" i="7"/>
  <c r="G42" i="7"/>
  <c r="H42" i="7"/>
  <c r="I42" i="7"/>
  <c r="J42" i="7"/>
  <c r="K42" i="7"/>
  <c r="L42" i="7"/>
  <c r="K49" i="6"/>
  <c r="L49" i="6"/>
  <c r="M49" i="6"/>
  <c r="N49" i="6"/>
  <c r="O49" i="6"/>
  <c r="P49" i="6"/>
  <c r="G68" i="6"/>
  <c r="H68" i="6"/>
  <c r="I68" i="6"/>
  <c r="J68" i="6"/>
  <c r="K68" i="6"/>
  <c r="L68" i="6"/>
  <c r="G42" i="6"/>
  <c r="H42" i="6"/>
  <c r="I42" i="6"/>
  <c r="J42" i="6"/>
  <c r="K42" i="6"/>
  <c r="L42" i="6"/>
  <c r="M50" i="11"/>
  <c r="N50" i="11"/>
  <c r="O50" i="11"/>
  <c r="P50" i="11"/>
  <c r="Q50" i="11"/>
  <c r="R50" i="11"/>
  <c r="M50" i="10"/>
  <c r="N50" i="10"/>
  <c r="O50" i="10"/>
  <c r="P50" i="10"/>
  <c r="Q50" i="10"/>
  <c r="R50" i="10"/>
  <c r="G69" i="11"/>
  <c r="H69" i="11"/>
  <c r="I69" i="11"/>
  <c r="J69" i="11"/>
  <c r="K69" i="11"/>
  <c r="L69" i="11"/>
  <c r="G42" i="11"/>
  <c r="H42" i="11"/>
  <c r="I42" i="11"/>
  <c r="J42" i="11"/>
  <c r="K42" i="11"/>
  <c r="L42" i="11"/>
  <c r="G69" i="10"/>
  <c r="H69" i="10"/>
  <c r="I69" i="10"/>
  <c r="J69" i="10"/>
  <c r="K69" i="10"/>
  <c r="L69" i="10"/>
  <c r="G42" i="10"/>
  <c r="H42" i="10"/>
  <c r="I42" i="10"/>
  <c r="J42" i="10"/>
  <c r="K42" i="10"/>
  <c r="L42" i="10"/>
  <c r="P49" i="9"/>
  <c r="O49" i="9"/>
  <c r="N49" i="9"/>
  <c r="M49" i="9"/>
  <c r="L49" i="9"/>
  <c r="K49" i="9"/>
  <c r="L68" i="9"/>
  <c r="K68" i="9"/>
  <c r="J68" i="9"/>
  <c r="I68" i="9"/>
  <c r="H68" i="9"/>
  <c r="G68" i="9"/>
  <c r="L42" i="9"/>
  <c r="K42" i="9"/>
  <c r="J42" i="9"/>
  <c r="I42" i="9"/>
  <c r="H42" i="9"/>
  <c r="G42" i="9"/>
  <c r="I65" i="14"/>
  <c r="H65" i="14"/>
  <c r="K65" i="14" s="1"/>
  <c r="H64" i="14"/>
  <c r="I63" i="14"/>
  <c r="H63" i="14"/>
  <c r="I62" i="14"/>
  <c r="H62" i="14"/>
  <c r="H61" i="14"/>
  <c r="I59" i="14"/>
  <c r="H59" i="14"/>
  <c r="I58" i="14"/>
  <c r="H58" i="14"/>
  <c r="I57" i="14"/>
  <c r="H57" i="14"/>
  <c r="K57" i="14" s="1"/>
  <c r="I56" i="14"/>
  <c r="H56" i="14"/>
  <c r="K56" i="14" s="1"/>
  <c r="I55" i="14"/>
  <c r="H55" i="14"/>
  <c r="I53" i="14"/>
  <c r="H53" i="14"/>
  <c r="I52" i="14"/>
  <c r="H52" i="14"/>
  <c r="I64" i="14"/>
  <c r="I65" i="13"/>
  <c r="H65" i="13"/>
  <c r="H64" i="13"/>
  <c r="I63" i="13"/>
  <c r="H63" i="13"/>
  <c r="K63" i="13" s="1"/>
  <c r="I62" i="13"/>
  <c r="H62" i="13"/>
  <c r="I61" i="13"/>
  <c r="I59" i="13"/>
  <c r="H59" i="13"/>
  <c r="I58" i="13"/>
  <c r="H58" i="13"/>
  <c r="I57" i="13"/>
  <c r="H57" i="13"/>
  <c r="I56" i="13"/>
  <c r="H56" i="13"/>
  <c r="I55" i="13"/>
  <c r="H55" i="13"/>
  <c r="I53" i="13"/>
  <c r="H53" i="13"/>
  <c r="I52" i="13"/>
  <c r="I66" i="13" s="1"/>
  <c r="E44" i="13" s="1"/>
  <c r="H52" i="13"/>
  <c r="I64" i="13"/>
  <c r="I65" i="12"/>
  <c r="H65" i="12"/>
  <c r="I64" i="12"/>
  <c r="H64" i="12"/>
  <c r="I63" i="12"/>
  <c r="H63" i="12"/>
  <c r="K63" i="12" s="1"/>
  <c r="I62" i="12"/>
  <c r="H62" i="12"/>
  <c r="I61" i="12"/>
  <c r="H61" i="12"/>
  <c r="I59" i="12"/>
  <c r="H59" i="12"/>
  <c r="H58" i="12"/>
  <c r="I57" i="12"/>
  <c r="H57" i="12"/>
  <c r="I56" i="12"/>
  <c r="H56" i="12"/>
  <c r="K56" i="12" s="1"/>
  <c r="I55" i="12"/>
  <c r="H55" i="12"/>
  <c r="H53" i="12"/>
  <c r="I52" i="12"/>
  <c r="H52" i="12"/>
  <c r="I58" i="12"/>
  <c r="I65" i="11"/>
  <c r="H65" i="11"/>
  <c r="K65" i="11" s="1"/>
  <c r="I64" i="11"/>
  <c r="H64" i="11"/>
  <c r="I63" i="11"/>
  <c r="H63" i="11"/>
  <c r="I62" i="11"/>
  <c r="H62" i="11"/>
  <c r="I61" i="11"/>
  <c r="H61" i="11"/>
  <c r="I59" i="11"/>
  <c r="H59" i="11"/>
  <c r="I58" i="11"/>
  <c r="H58" i="11"/>
  <c r="K58" i="11" s="1"/>
  <c r="I57" i="11"/>
  <c r="H57" i="11"/>
  <c r="I56" i="11"/>
  <c r="H56" i="11"/>
  <c r="K56" i="11" s="1"/>
  <c r="I55" i="11"/>
  <c r="H55" i="11"/>
  <c r="I53" i="11"/>
  <c r="H53" i="11"/>
  <c r="I52" i="11"/>
  <c r="H52" i="11"/>
  <c r="H65" i="10"/>
  <c r="I64" i="10"/>
  <c r="H63" i="10"/>
  <c r="I59" i="10"/>
  <c r="H58" i="10"/>
  <c r="I55" i="10"/>
  <c r="H55" i="10"/>
  <c r="H53" i="10"/>
  <c r="I52" i="10"/>
  <c r="D93" i="9"/>
  <c r="D90" i="9"/>
  <c r="D88" i="9"/>
  <c r="D87" i="9"/>
  <c r="D86" i="9"/>
  <c r="D85" i="9"/>
  <c r="D83" i="9"/>
  <c r="D82" i="9"/>
  <c r="D81" i="9"/>
  <c r="D80" i="9"/>
  <c r="H59" i="9"/>
  <c r="G59" i="9"/>
  <c r="H53" i="9"/>
  <c r="G53" i="9"/>
  <c r="M20" i="9"/>
  <c r="N19" i="9"/>
  <c r="N18" i="9"/>
  <c r="N17" i="9"/>
  <c r="N16" i="9"/>
  <c r="N15" i="9"/>
  <c r="N14" i="9"/>
  <c r="N13" i="9"/>
  <c r="N12" i="9"/>
  <c r="N11" i="9"/>
  <c r="N10" i="9"/>
  <c r="N9" i="9"/>
  <c r="N8" i="9"/>
  <c r="M19" i="9"/>
  <c r="M18" i="9"/>
  <c r="M17" i="9"/>
  <c r="M16" i="9"/>
  <c r="M15" i="9"/>
  <c r="M14" i="9"/>
  <c r="M13" i="9"/>
  <c r="M12" i="9"/>
  <c r="M11" i="9"/>
  <c r="M10" i="9"/>
  <c r="M9" i="9"/>
  <c r="M8" i="9"/>
  <c r="D92" i="9"/>
  <c r="D91" i="9"/>
  <c r="D89" i="9"/>
  <c r="D84" i="9"/>
  <c r="K55" i="10" l="1"/>
  <c r="K53" i="14"/>
  <c r="K62" i="12"/>
  <c r="K62" i="13"/>
  <c r="K64" i="13"/>
  <c r="F66" i="11"/>
  <c r="F66" i="12"/>
  <c r="K61" i="12"/>
  <c r="K65" i="12"/>
  <c r="K63" i="11"/>
  <c r="H66" i="11"/>
  <c r="E43" i="11" s="1"/>
  <c r="K57" i="11"/>
  <c r="K55" i="13"/>
  <c r="K59" i="13"/>
  <c r="K65" i="13"/>
  <c r="K61" i="10"/>
  <c r="K60" i="11"/>
  <c r="F66" i="14"/>
  <c r="K54" i="11"/>
  <c r="I45" i="11"/>
  <c r="J45" i="11" s="1"/>
  <c r="K60" i="12"/>
  <c r="K54" i="14"/>
  <c r="G45" i="11"/>
  <c r="F66" i="13"/>
  <c r="I45" i="14"/>
  <c r="K62" i="10"/>
  <c r="K60" i="10"/>
  <c r="K59" i="10"/>
  <c r="K63" i="10"/>
  <c r="K54" i="10"/>
  <c r="K58" i="10"/>
  <c r="I66" i="10"/>
  <c r="E44" i="10" s="1"/>
  <c r="J66" i="10"/>
  <c r="E45" i="10" s="1"/>
  <c r="I45" i="10" s="1"/>
  <c r="J45" i="10" s="1"/>
  <c r="H66" i="10"/>
  <c r="E43" i="10" s="1"/>
  <c r="K53" i="10"/>
  <c r="K57" i="10"/>
  <c r="K64" i="10"/>
  <c r="K65" i="10"/>
  <c r="K52" i="10"/>
  <c r="F66" i="10"/>
  <c r="K61" i="14"/>
  <c r="K60" i="14"/>
  <c r="K64" i="14"/>
  <c r="I66" i="14"/>
  <c r="E44" i="14" s="1"/>
  <c r="K63" i="14"/>
  <c r="K62" i="14"/>
  <c r="H66" i="14"/>
  <c r="E43" i="14" s="1"/>
  <c r="K58" i="14"/>
  <c r="J66" i="14"/>
  <c r="E45" i="14" s="1"/>
  <c r="F45" i="14" s="1"/>
  <c r="K56" i="13"/>
  <c r="H66" i="13"/>
  <c r="E43" i="13" s="1"/>
  <c r="K57" i="13"/>
  <c r="K54" i="13"/>
  <c r="K61" i="13"/>
  <c r="K53" i="13"/>
  <c r="K57" i="12"/>
  <c r="H66" i="12"/>
  <c r="E43" i="12" s="1"/>
  <c r="K64" i="12"/>
  <c r="K54" i="12"/>
  <c r="K61" i="11"/>
  <c r="I66" i="11"/>
  <c r="E44" i="11" s="1"/>
  <c r="K62" i="11"/>
  <c r="K53" i="11"/>
  <c r="K59" i="11"/>
  <c r="K64" i="11"/>
  <c r="H45" i="11"/>
  <c r="L45" i="14"/>
  <c r="L45" i="11"/>
  <c r="H45" i="12"/>
  <c r="L45" i="13"/>
  <c r="J45" i="13"/>
  <c r="K58" i="12"/>
  <c r="K58" i="13"/>
  <c r="K59" i="12"/>
  <c r="K55" i="14"/>
  <c r="I66" i="12"/>
  <c r="E44" i="12" s="1"/>
  <c r="J66" i="12"/>
  <c r="E45" i="12" s="1"/>
  <c r="F45" i="12" s="1"/>
  <c r="K53" i="12"/>
  <c r="K59" i="14"/>
  <c r="K55" i="11"/>
  <c r="K55" i="12"/>
  <c r="J66" i="11"/>
  <c r="E45" i="11" s="1"/>
  <c r="F45" i="11" s="1"/>
  <c r="J66" i="13"/>
  <c r="E45" i="13" s="1"/>
  <c r="F45" i="13" s="1"/>
  <c r="K52" i="12"/>
  <c r="G45" i="13"/>
  <c r="H45" i="13" s="1"/>
  <c r="J45" i="14"/>
  <c r="K45" i="12"/>
  <c r="L45" i="12" s="1"/>
  <c r="I45" i="12"/>
  <c r="J45" i="12" s="1"/>
  <c r="K52" i="13"/>
  <c r="K52" i="11"/>
  <c r="K52" i="14"/>
  <c r="D94" i="9"/>
  <c r="D84" i="8"/>
  <c r="D94" i="8" s="1"/>
  <c r="E47" i="14" l="1"/>
  <c r="G45" i="10"/>
  <c r="H45" i="10" s="1"/>
  <c r="E47" i="11"/>
  <c r="K45" i="10"/>
  <c r="L45" i="10" s="1"/>
  <c r="F45" i="10"/>
  <c r="K66" i="10"/>
  <c r="E47" i="10"/>
  <c r="K66" i="14"/>
  <c r="K66" i="13"/>
  <c r="K66" i="12"/>
  <c r="K66" i="11"/>
  <c r="E47" i="12"/>
  <c r="E47" i="13"/>
  <c r="D92" i="7"/>
  <c r="D93" i="7"/>
  <c r="D85" i="7"/>
  <c r="D91" i="7"/>
  <c r="D90" i="7"/>
  <c r="D89" i="7"/>
  <c r="D88" i="7"/>
  <c r="D87" i="7"/>
  <c r="D86" i="7"/>
  <c r="D84" i="7"/>
  <c r="D83" i="7"/>
  <c r="D82" i="7"/>
  <c r="D81" i="7"/>
  <c r="D80" i="7"/>
  <c r="D80" i="6"/>
  <c r="D89" i="6"/>
  <c r="N19" i="7" l="1"/>
  <c r="D74" i="14" l="1"/>
  <c r="D73" i="14"/>
  <c r="D72" i="14"/>
  <c r="D71" i="14"/>
  <c r="D70" i="14"/>
  <c r="D46" i="14"/>
  <c r="D47" i="14" s="1"/>
  <c r="F47" i="14" s="1"/>
  <c r="D65" i="14"/>
  <c r="G65" i="14" s="1"/>
  <c r="D64" i="14"/>
  <c r="G64" i="14" s="1"/>
  <c r="D63" i="14"/>
  <c r="G63" i="14" s="1"/>
  <c r="D62" i="14"/>
  <c r="G62" i="14" s="1"/>
  <c r="D61" i="14"/>
  <c r="G61" i="14" s="1"/>
  <c r="D60" i="14"/>
  <c r="G60" i="14" s="1"/>
  <c r="D59" i="14"/>
  <c r="G59" i="14" s="1"/>
  <c r="D58" i="14"/>
  <c r="G58" i="14" s="1"/>
  <c r="D57" i="14"/>
  <c r="G57" i="14" s="1"/>
  <c r="D56" i="14"/>
  <c r="G56" i="14" s="1"/>
  <c r="D55" i="14"/>
  <c r="G55" i="14" s="1"/>
  <c r="D54" i="14"/>
  <c r="G54" i="14" s="1"/>
  <c r="D53" i="14"/>
  <c r="G53" i="14" s="1"/>
  <c r="D52" i="14"/>
  <c r="F41" i="14"/>
  <c r="D74" i="13"/>
  <c r="D73" i="13"/>
  <c r="D72" i="13"/>
  <c r="D71" i="13"/>
  <c r="D70" i="13"/>
  <c r="D46" i="13"/>
  <c r="D47" i="13" s="1"/>
  <c r="F47" i="13" s="1"/>
  <c r="E65" i="13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D65" i="13"/>
  <c r="D64" i="13"/>
  <c r="D63" i="13"/>
  <c r="G63" i="13" s="1"/>
  <c r="D62" i="13"/>
  <c r="D61" i="13"/>
  <c r="D60" i="13"/>
  <c r="G60" i="13" s="1"/>
  <c r="D59" i="13"/>
  <c r="G59" i="13" s="1"/>
  <c r="D58" i="13"/>
  <c r="D57" i="13"/>
  <c r="D56" i="13"/>
  <c r="D55" i="13"/>
  <c r="G55" i="13" s="1"/>
  <c r="D54" i="13"/>
  <c r="D53" i="13"/>
  <c r="D52" i="13"/>
  <c r="F41" i="13"/>
  <c r="D74" i="12"/>
  <c r="D73" i="12"/>
  <c r="D72" i="12"/>
  <c r="D71" i="12"/>
  <c r="D70" i="12"/>
  <c r="D46" i="12"/>
  <c r="D47" i="12" s="1"/>
  <c r="F47" i="12" s="1"/>
  <c r="E65" i="12"/>
  <c r="E64" i="12"/>
  <c r="E63" i="12"/>
  <c r="E62" i="12"/>
  <c r="E61" i="12"/>
  <c r="E60" i="12"/>
  <c r="E59" i="12"/>
  <c r="E58" i="12"/>
  <c r="E57" i="12"/>
  <c r="E56" i="12"/>
  <c r="E55" i="12"/>
  <c r="E54" i="12"/>
  <c r="E53" i="12"/>
  <c r="E52" i="12"/>
  <c r="D65" i="12"/>
  <c r="D64" i="12"/>
  <c r="D63" i="12"/>
  <c r="G63" i="12" s="1"/>
  <c r="D62" i="12"/>
  <c r="G62" i="12" s="1"/>
  <c r="D61" i="12"/>
  <c r="D60" i="12"/>
  <c r="D59" i="12"/>
  <c r="D58" i="12"/>
  <c r="G58" i="12" s="1"/>
  <c r="D57" i="12"/>
  <c r="D56" i="12"/>
  <c r="D55" i="12"/>
  <c r="G55" i="12" s="1"/>
  <c r="D54" i="12"/>
  <c r="G54" i="12" s="1"/>
  <c r="D53" i="12"/>
  <c r="D52" i="12"/>
  <c r="F41" i="12"/>
  <c r="D74" i="11"/>
  <c r="D73" i="11"/>
  <c r="D72" i="11"/>
  <c r="D71" i="11"/>
  <c r="D70" i="11"/>
  <c r="D46" i="11"/>
  <c r="D47" i="11" s="1"/>
  <c r="F47" i="11" s="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D65" i="11"/>
  <c r="G65" i="11" s="1"/>
  <c r="D64" i="11"/>
  <c r="D63" i="11"/>
  <c r="D62" i="11"/>
  <c r="D61" i="11"/>
  <c r="G61" i="11" s="1"/>
  <c r="D60" i="11"/>
  <c r="D59" i="11"/>
  <c r="D58" i="11"/>
  <c r="G58" i="11" s="1"/>
  <c r="D57" i="11"/>
  <c r="G57" i="11" s="1"/>
  <c r="D56" i="11"/>
  <c r="D55" i="11"/>
  <c r="D54" i="11"/>
  <c r="D53" i="11"/>
  <c r="G53" i="11" s="1"/>
  <c r="D52" i="11"/>
  <c r="F41" i="11"/>
  <c r="D74" i="10"/>
  <c r="D73" i="10"/>
  <c r="D72" i="10"/>
  <c r="D71" i="10"/>
  <c r="D70" i="10"/>
  <c r="D46" i="10"/>
  <c r="D44" i="10"/>
  <c r="D43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66" i="10" s="1"/>
  <c r="D65" i="10"/>
  <c r="D64" i="10"/>
  <c r="D63" i="10"/>
  <c r="G63" i="10" s="1"/>
  <c r="D62" i="10"/>
  <c r="G62" i="10" s="1"/>
  <c r="D61" i="10"/>
  <c r="D60" i="10"/>
  <c r="D59" i="10"/>
  <c r="G59" i="10" s="1"/>
  <c r="D58" i="10"/>
  <c r="G58" i="10" s="1"/>
  <c r="D57" i="10"/>
  <c r="D56" i="10"/>
  <c r="D55" i="10"/>
  <c r="G55" i="10" s="1"/>
  <c r="D54" i="10"/>
  <c r="G54" i="10" s="1"/>
  <c r="D53" i="10"/>
  <c r="D52" i="10"/>
  <c r="F41" i="10"/>
  <c r="D73" i="9"/>
  <c r="D72" i="9"/>
  <c r="D71" i="9"/>
  <c r="D70" i="9"/>
  <c r="D69" i="9"/>
  <c r="D45" i="9"/>
  <c r="D44" i="9"/>
  <c r="D43" i="9"/>
  <c r="E64" i="9"/>
  <c r="F64" i="9" s="1"/>
  <c r="E63" i="9"/>
  <c r="E62" i="9"/>
  <c r="E61" i="9"/>
  <c r="E60" i="9"/>
  <c r="E59" i="9"/>
  <c r="E58" i="9"/>
  <c r="E57" i="9"/>
  <c r="E56" i="9"/>
  <c r="F56" i="9" s="1"/>
  <c r="E55" i="9"/>
  <c r="E54" i="9"/>
  <c r="E53" i="9"/>
  <c r="E52" i="9"/>
  <c r="E51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F41" i="9"/>
  <c r="D73" i="8"/>
  <c r="D72" i="8"/>
  <c r="D71" i="8"/>
  <c r="D70" i="8"/>
  <c r="D6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F53" i="8" s="1"/>
  <c r="E52" i="8"/>
  <c r="E51" i="8"/>
  <c r="D64" i="8"/>
  <c r="D63" i="8"/>
  <c r="F63" i="8" s="1"/>
  <c r="D62" i="8"/>
  <c r="D61" i="8"/>
  <c r="D60" i="8"/>
  <c r="D59" i="8"/>
  <c r="D58" i="8"/>
  <c r="D57" i="8"/>
  <c r="D56" i="8"/>
  <c r="D55" i="8"/>
  <c r="F55" i="8" s="1"/>
  <c r="D54" i="8"/>
  <c r="D53" i="8"/>
  <c r="D52" i="8"/>
  <c r="D51" i="8"/>
  <c r="F41" i="8"/>
  <c r="D73" i="7"/>
  <c r="D72" i="7"/>
  <c r="D71" i="7"/>
  <c r="D70" i="7"/>
  <c r="D69" i="7"/>
  <c r="D45" i="7"/>
  <c r="D44" i="7"/>
  <c r="D43" i="7"/>
  <c r="E64" i="7"/>
  <c r="E63" i="7"/>
  <c r="E62" i="7"/>
  <c r="E61" i="7"/>
  <c r="E60" i="7"/>
  <c r="E59" i="7"/>
  <c r="E58" i="7"/>
  <c r="F58" i="7" s="1"/>
  <c r="E57" i="7"/>
  <c r="E56" i="7"/>
  <c r="E55" i="7"/>
  <c r="E54" i="7"/>
  <c r="E53" i="7"/>
  <c r="E52" i="7"/>
  <c r="E51" i="7"/>
  <c r="D64" i="7"/>
  <c r="D63" i="7"/>
  <c r="D62" i="7"/>
  <c r="D61" i="7"/>
  <c r="D60" i="7"/>
  <c r="F60" i="7" s="1"/>
  <c r="D59" i="7"/>
  <c r="D58" i="7"/>
  <c r="D57" i="7"/>
  <c r="D56" i="7"/>
  <c r="D55" i="7"/>
  <c r="D54" i="7"/>
  <c r="D53" i="7"/>
  <c r="D52" i="7"/>
  <c r="F52" i="7" s="1"/>
  <c r="D51" i="7"/>
  <c r="E74" i="14"/>
  <c r="F74" i="14" s="1"/>
  <c r="E73" i="14"/>
  <c r="F73" i="14" s="1"/>
  <c r="E71" i="14"/>
  <c r="E70" i="14"/>
  <c r="E74" i="13"/>
  <c r="E73" i="13"/>
  <c r="E71" i="13"/>
  <c r="E70" i="13"/>
  <c r="E74" i="12"/>
  <c r="E73" i="12"/>
  <c r="E71" i="12"/>
  <c r="E70" i="12"/>
  <c r="E74" i="11"/>
  <c r="E73" i="11"/>
  <c r="E71" i="11"/>
  <c r="E70" i="11"/>
  <c r="E74" i="10"/>
  <c r="E73" i="10"/>
  <c r="E71" i="10"/>
  <c r="E70" i="10"/>
  <c r="E73" i="9"/>
  <c r="E72" i="9"/>
  <c r="E70" i="9"/>
  <c r="E69" i="9"/>
  <c r="M21" i="9"/>
  <c r="E45" i="9" s="1"/>
  <c r="H64" i="9"/>
  <c r="G64" i="9"/>
  <c r="H63" i="9"/>
  <c r="G63" i="9"/>
  <c r="H62" i="9"/>
  <c r="G62" i="9"/>
  <c r="H61" i="9"/>
  <c r="G61" i="9"/>
  <c r="H60" i="9"/>
  <c r="G60" i="9"/>
  <c r="H58" i="9"/>
  <c r="G58" i="9"/>
  <c r="H57" i="9"/>
  <c r="G57" i="9"/>
  <c r="H56" i="9"/>
  <c r="G56" i="9"/>
  <c r="H55" i="9"/>
  <c r="G55" i="9"/>
  <c r="H54" i="9"/>
  <c r="G54" i="9"/>
  <c r="G52" i="9"/>
  <c r="H51" i="9"/>
  <c r="G51" i="9"/>
  <c r="N7" i="9"/>
  <c r="M7" i="9"/>
  <c r="E73" i="8"/>
  <c r="E72" i="8"/>
  <c r="E70" i="8"/>
  <c r="E69" i="8"/>
  <c r="H59" i="8"/>
  <c r="G59" i="8"/>
  <c r="H53" i="8"/>
  <c r="G53" i="8"/>
  <c r="M20" i="8"/>
  <c r="M21" i="8" s="1"/>
  <c r="E45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M9" i="8"/>
  <c r="G52" i="8" s="1"/>
  <c r="N8" i="8"/>
  <c r="H51" i="8" s="1"/>
  <c r="M8" i="8"/>
  <c r="G51" i="8" s="1"/>
  <c r="N7" i="8"/>
  <c r="M7" i="8"/>
  <c r="E73" i="7"/>
  <c r="E72" i="7"/>
  <c r="E70" i="7"/>
  <c r="E69" i="7"/>
  <c r="H59" i="7"/>
  <c r="G59" i="7"/>
  <c r="H53" i="7"/>
  <c r="G53" i="7"/>
  <c r="M20" i="7"/>
  <c r="M21" i="7" s="1"/>
  <c r="E45" i="7" s="1"/>
  <c r="H64" i="7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N11" i="7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G59" i="6"/>
  <c r="G53" i="6"/>
  <c r="D88" i="6"/>
  <c r="D82" i="6"/>
  <c r="H59" i="6"/>
  <c r="H53" i="6"/>
  <c r="D59" i="6"/>
  <c r="D53" i="6"/>
  <c r="D43" i="6"/>
  <c r="D44" i="6"/>
  <c r="D93" i="6"/>
  <c r="D92" i="6"/>
  <c r="D91" i="6"/>
  <c r="D90" i="6"/>
  <c r="D87" i="6"/>
  <c r="D86" i="6"/>
  <c r="D84" i="6"/>
  <c r="D83" i="6"/>
  <c r="D8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G56" i="10" l="1"/>
  <c r="G60" i="10"/>
  <c r="G64" i="10"/>
  <c r="D47" i="10"/>
  <c r="F47" i="10" s="1"/>
  <c r="F55" i="9"/>
  <c r="G53" i="10"/>
  <c r="G57" i="10"/>
  <c r="G61" i="10"/>
  <c r="G65" i="10"/>
  <c r="G60" i="11"/>
  <c r="G57" i="12"/>
  <c r="G65" i="12"/>
  <c r="L65" i="12" s="1"/>
  <c r="G54" i="13"/>
  <c r="G62" i="13"/>
  <c r="G52" i="10"/>
  <c r="D66" i="10"/>
  <c r="E66" i="11"/>
  <c r="D66" i="13"/>
  <c r="G52" i="13"/>
  <c r="G59" i="11"/>
  <c r="G56" i="12"/>
  <c r="M56" i="12" s="1"/>
  <c r="N56" i="12" s="1"/>
  <c r="G64" i="12"/>
  <c r="M64" i="12" s="1"/>
  <c r="N64" i="12" s="1"/>
  <c r="G53" i="13"/>
  <c r="Q53" i="13" s="1"/>
  <c r="R53" i="13" s="1"/>
  <c r="G61" i="13"/>
  <c r="O61" i="13" s="1"/>
  <c r="P61" i="13" s="1"/>
  <c r="E66" i="12"/>
  <c r="D66" i="14"/>
  <c r="G52" i="14"/>
  <c r="G66" i="14" s="1"/>
  <c r="G52" i="11"/>
  <c r="D66" i="11"/>
  <c r="G54" i="11"/>
  <c r="G62" i="11"/>
  <c r="Q62" i="11" s="1"/>
  <c r="R62" i="11" s="1"/>
  <c r="G59" i="12"/>
  <c r="O59" i="12" s="1"/>
  <c r="P59" i="12" s="1"/>
  <c r="G56" i="13"/>
  <c r="G64" i="13"/>
  <c r="G55" i="11"/>
  <c r="G63" i="11"/>
  <c r="L63" i="11" s="1"/>
  <c r="D66" i="12"/>
  <c r="G52" i="12"/>
  <c r="G60" i="12"/>
  <c r="L60" i="12" s="1"/>
  <c r="G57" i="13"/>
  <c r="Q57" i="13" s="1"/>
  <c r="R57" i="13" s="1"/>
  <c r="G65" i="13"/>
  <c r="G56" i="11"/>
  <c r="G64" i="11"/>
  <c r="G53" i="12"/>
  <c r="G61" i="12"/>
  <c r="O61" i="12" s="1"/>
  <c r="P61" i="12" s="1"/>
  <c r="G58" i="13"/>
  <c r="E66" i="13"/>
  <c r="F51" i="8"/>
  <c r="Q53" i="11"/>
  <c r="R53" i="11" s="1"/>
  <c r="L59" i="13"/>
  <c r="L56" i="10"/>
  <c r="O64" i="10"/>
  <c r="P64" i="10" s="1"/>
  <c r="F70" i="13"/>
  <c r="M63" i="12"/>
  <c r="N63" i="12" s="1"/>
  <c r="M56" i="13"/>
  <c r="N56" i="13" s="1"/>
  <c r="M54" i="12"/>
  <c r="N54" i="12" s="1"/>
  <c r="L62" i="12"/>
  <c r="F74" i="12"/>
  <c r="L60" i="10"/>
  <c r="M55" i="11"/>
  <c r="N55" i="11" s="1"/>
  <c r="Q58" i="12"/>
  <c r="R58" i="12" s="1"/>
  <c r="O65" i="13"/>
  <c r="P65" i="13" s="1"/>
  <c r="O56" i="11"/>
  <c r="P56" i="11" s="1"/>
  <c r="L64" i="11"/>
  <c r="D75" i="14"/>
  <c r="L52" i="13"/>
  <c r="G72" i="7"/>
  <c r="H72" i="7" s="1"/>
  <c r="I72" i="7"/>
  <c r="J72" i="7" s="1"/>
  <c r="K72" i="7"/>
  <c r="L72" i="7" s="1"/>
  <c r="G74" i="10"/>
  <c r="H74" i="10" s="1"/>
  <c r="I74" i="10"/>
  <c r="J74" i="10" s="1"/>
  <c r="K74" i="10"/>
  <c r="L74" i="10" s="1"/>
  <c r="K69" i="8"/>
  <c r="L69" i="8" s="1"/>
  <c r="G69" i="8"/>
  <c r="I69" i="8"/>
  <c r="J69" i="8" s="1"/>
  <c r="G71" i="11"/>
  <c r="I71" i="11"/>
  <c r="J71" i="11" s="1"/>
  <c r="K71" i="11"/>
  <c r="L71" i="11" s="1"/>
  <c r="F70" i="14"/>
  <c r="G70" i="8"/>
  <c r="H70" i="8" s="1"/>
  <c r="I70" i="8"/>
  <c r="J70" i="8" s="1"/>
  <c r="K70" i="8"/>
  <c r="L70" i="8" s="1"/>
  <c r="K73" i="11"/>
  <c r="L73" i="11" s="1"/>
  <c r="G73" i="11"/>
  <c r="H73" i="11" s="1"/>
  <c r="I73" i="11"/>
  <c r="J73" i="11" s="1"/>
  <c r="L65" i="11"/>
  <c r="Q65" i="11"/>
  <c r="R65" i="11" s="1"/>
  <c r="M65" i="11"/>
  <c r="N65" i="11" s="1"/>
  <c r="O65" i="11"/>
  <c r="P65" i="11" s="1"/>
  <c r="I45" i="7"/>
  <c r="J45" i="7" s="1"/>
  <c r="K45" i="7"/>
  <c r="L45" i="7" s="1"/>
  <c r="G45" i="7"/>
  <c r="H45" i="7" s="1"/>
  <c r="F52" i="8"/>
  <c r="G69" i="7"/>
  <c r="I69" i="7"/>
  <c r="K69" i="7"/>
  <c r="I72" i="8"/>
  <c r="J72" i="8" s="1"/>
  <c r="K72" i="8"/>
  <c r="G72" i="8"/>
  <c r="H72" i="8" s="1"/>
  <c r="G74" i="11"/>
  <c r="H74" i="11" s="1"/>
  <c r="I74" i="11"/>
  <c r="J74" i="11" s="1"/>
  <c r="K74" i="11"/>
  <c r="L74" i="11" s="1"/>
  <c r="L62" i="11"/>
  <c r="L54" i="13"/>
  <c r="Q62" i="13"/>
  <c r="R62" i="13" s="1"/>
  <c r="L57" i="11"/>
  <c r="Q57" i="11"/>
  <c r="R57" i="11" s="1"/>
  <c r="M57" i="11"/>
  <c r="N57" i="11" s="1"/>
  <c r="O57" i="11"/>
  <c r="P57" i="11" s="1"/>
  <c r="I73" i="7"/>
  <c r="J73" i="7" s="1"/>
  <c r="K73" i="7"/>
  <c r="L73" i="7" s="1"/>
  <c r="G73" i="7"/>
  <c r="H73" i="7" s="1"/>
  <c r="G45" i="8"/>
  <c r="I45" i="8"/>
  <c r="J45" i="8" s="1"/>
  <c r="K45" i="8"/>
  <c r="L45" i="8" s="1"/>
  <c r="L53" i="11"/>
  <c r="M53" i="11"/>
  <c r="N53" i="11" s="1"/>
  <c r="O53" i="11"/>
  <c r="P53" i="11" s="1"/>
  <c r="D75" i="11"/>
  <c r="G70" i="11"/>
  <c r="H70" i="11" s="1"/>
  <c r="I70" i="11"/>
  <c r="K70" i="11"/>
  <c r="K70" i="7"/>
  <c r="L70" i="7" s="1"/>
  <c r="G70" i="7"/>
  <c r="H70" i="7" s="1"/>
  <c r="I70" i="7"/>
  <c r="J70" i="7" s="1"/>
  <c r="G73" i="8"/>
  <c r="H73" i="8" s="1"/>
  <c r="I73" i="8"/>
  <c r="J73" i="8" s="1"/>
  <c r="K73" i="8"/>
  <c r="L73" i="8" s="1"/>
  <c r="F58" i="9"/>
  <c r="M54" i="10"/>
  <c r="N54" i="10" s="1"/>
  <c r="G73" i="10"/>
  <c r="H73" i="10" s="1"/>
  <c r="I73" i="10"/>
  <c r="J73" i="10" s="1"/>
  <c r="K73" i="10"/>
  <c r="L73" i="10" s="1"/>
  <c r="I71" i="10"/>
  <c r="J71" i="10" s="1"/>
  <c r="G71" i="10"/>
  <c r="H71" i="10" s="1"/>
  <c r="K71" i="10"/>
  <c r="L71" i="10" s="1"/>
  <c r="I46" i="10"/>
  <c r="J46" i="10" s="1"/>
  <c r="G46" i="10"/>
  <c r="H46" i="10" s="1"/>
  <c r="K46" i="10"/>
  <c r="L46" i="10" s="1"/>
  <c r="G70" i="10"/>
  <c r="K70" i="10"/>
  <c r="I70" i="10"/>
  <c r="L59" i="10"/>
  <c r="M59" i="10"/>
  <c r="N59" i="10" s="1"/>
  <c r="Q59" i="10"/>
  <c r="R59" i="10" s="1"/>
  <c r="O59" i="10"/>
  <c r="P59" i="10" s="1"/>
  <c r="L62" i="10"/>
  <c r="M62" i="10"/>
  <c r="N62" i="10" s="1"/>
  <c r="Q62" i="10"/>
  <c r="R62" i="10" s="1"/>
  <c r="O62" i="10"/>
  <c r="P62" i="10" s="1"/>
  <c r="O59" i="13"/>
  <c r="P59" i="13" s="1"/>
  <c r="Q59" i="13"/>
  <c r="R59" i="13" s="1"/>
  <c r="L52" i="14"/>
  <c r="O52" i="14"/>
  <c r="Q52" i="14"/>
  <c r="M52" i="14"/>
  <c r="L60" i="14"/>
  <c r="O60" i="14"/>
  <c r="P60" i="14" s="1"/>
  <c r="Q60" i="14"/>
  <c r="R60" i="14" s="1"/>
  <c r="M60" i="14"/>
  <c r="N60" i="14" s="1"/>
  <c r="O60" i="12"/>
  <c r="P60" i="12" s="1"/>
  <c r="Q60" i="12"/>
  <c r="R60" i="12" s="1"/>
  <c r="M60" i="12"/>
  <c r="N60" i="12" s="1"/>
  <c r="L56" i="14"/>
  <c r="O56" i="14"/>
  <c r="P56" i="14" s="1"/>
  <c r="Q56" i="14"/>
  <c r="R56" i="14" s="1"/>
  <c r="M56" i="14"/>
  <c r="N56" i="14" s="1"/>
  <c r="L58" i="14"/>
  <c r="M58" i="14"/>
  <c r="N58" i="14" s="1"/>
  <c r="O58" i="14"/>
  <c r="P58" i="14" s="1"/>
  <c r="Q58" i="14"/>
  <c r="R58" i="14" s="1"/>
  <c r="L62" i="14"/>
  <c r="M62" i="14"/>
  <c r="N62" i="14" s="1"/>
  <c r="O62" i="14"/>
  <c r="P62" i="14" s="1"/>
  <c r="Q62" i="14"/>
  <c r="R62" i="14" s="1"/>
  <c r="L57" i="12"/>
  <c r="Q57" i="12"/>
  <c r="R57" i="12" s="1"/>
  <c r="O57" i="12"/>
  <c r="P57" i="12" s="1"/>
  <c r="M57" i="12"/>
  <c r="N57" i="12" s="1"/>
  <c r="L60" i="13"/>
  <c r="O60" i="13"/>
  <c r="P60" i="13" s="1"/>
  <c r="Q60" i="13"/>
  <c r="R60" i="13" s="1"/>
  <c r="M60" i="13"/>
  <c r="N60" i="13" s="1"/>
  <c r="L53" i="14"/>
  <c r="Q53" i="14"/>
  <c r="R53" i="14" s="1"/>
  <c r="M53" i="14"/>
  <c r="N53" i="14" s="1"/>
  <c r="O53" i="14"/>
  <c r="P53" i="14" s="1"/>
  <c r="L63" i="14"/>
  <c r="M63" i="14"/>
  <c r="N63" i="14" s="1"/>
  <c r="O63" i="14"/>
  <c r="P63" i="14" s="1"/>
  <c r="Q63" i="14"/>
  <c r="R63" i="14" s="1"/>
  <c r="I74" i="14"/>
  <c r="J74" i="14" s="1"/>
  <c r="K74" i="14"/>
  <c r="L74" i="14" s="1"/>
  <c r="G74" i="14"/>
  <c r="H74" i="14" s="1"/>
  <c r="L53" i="13"/>
  <c r="I70" i="14"/>
  <c r="K70" i="14"/>
  <c r="G70" i="14"/>
  <c r="L61" i="13"/>
  <c r="L54" i="14"/>
  <c r="M54" i="14"/>
  <c r="N54" i="14" s="1"/>
  <c r="O54" i="14"/>
  <c r="P54" i="14" s="1"/>
  <c r="Q54" i="14"/>
  <c r="R54" i="14" s="1"/>
  <c r="L64" i="14"/>
  <c r="O64" i="14"/>
  <c r="P64" i="14" s="1"/>
  <c r="Q64" i="14"/>
  <c r="R64" i="14" s="1"/>
  <c r="M64" i="14"/>
  <c r="N64" i="14" s="1"/>
  <c r="I70" i="12"/>
  <c r="K70" i="12"/>
  <c r="G70" i="12"/>
  <c r="G73" i="13"/>
  <c r="H73" i="13" s="1"/>
  <c r="I73" i="13"/>
  <c r="J73" i="13" s="1"/>
  <c r="K73" i="13"/>
  <c r="L73" i="13" s="1"/>
  <c r="L57" i="14"/>
  <c r="Q57" i="14"/>
  <c r="R57" i="14" s="1"/>
  <c r="M57" i="14"/>
  <c r="N57" i="14" s="1"/>
  <c r="O57" i="14"/>
  <c r="P57" i="14" s="1"/>
  <c r="L55" i="14"/>
  <c r="M55" i="14"/>
  <c r="N55" i="14" s="1"/>
  <c r="O55" i="14"/>
  <c r="P55" i="14" s="1"/>
  <c r="Q55" i="14"/>
  <c r="R55" i="14" s="1"/>
  <c r="L65" i="14"/>
  <c r="Q65" i="14"/>
  <c r="R65" i="14" s="1"/>
  <c r="M65" i="14"/>
  <c r="N65" i="14" s="1"/>
  <c r="O65" i="14"/>
  <c r="P65" i="14" s="1"/>
  <c r="K71" i="12"/>
  <c r="L71" i="12" s="1"/>
  <c r="I71" i="12"/>
  <c r="J71" i="12" s="1"/>
  <c r="G71" i="12"/>
  <c r="H71" i="12" s="1"/>
  <c r="I74" i="13"/>
  <c r="J74" i="13" s="1"/>
  <c r="K74" i="13"/>
  <c r="L74" i="13" s="1"/>
  <c r="G74" i="13"/>
  <c r="H74" i="13" s="1"/>
  <c r="G73" i="12"/>
  <c r="H73" i="12" s="1"/>
  <c r="I73" i="12"/>
  <c r="J73" i="12" s="1"/>
  <c r="K73" i="12"/>
  <c r="L73" i="12" s="1"/>
  <c r="L55" i="13"/>
  <c r="M55" i="13"/>
  <c r="N55" i="13" s="1"/>
  <c r="Q55" i="13"/>
  <c r="R55" i="13" s="1"/>
  <c r="O55" i="13"/>
  <c r="P55" i="13" s="1"/>
  <c r="I74" i="12"/>
  <c r="J74" i="12" s="1"/>
  <c r="K74" i="12"/>
  <c r="L74" i="12" s="1"/>
  <c r="G74" i="12"/>
  <c r="H74" i="12" s="1"/>
  <c r="K46" i="13"/>
  <c r="L46" i="13" s="1"/>
  <c r="I46" i="13"/>
  <c r="J46" i="13" s="1"/>
  <c r="G46" i="13"/>
  <c r="H46" i="13" s="1"/>
  <c r="K71" i="14"/>
  <c r="L71" i="14" s="1"/>
  <c r="G71" i="14"/>
  <c r="H71" i="14" s="1"/>
  <c r="I71" i="14"/>
  <c r="J71" i="14" s="1"/>
  <c r="L61" i="14"/>
  <c r="Q61" i="14"/>
  <c r="R61" i="14" s="1"/>
  <c r="M61" i="14"/>
  <c r="N61" i="14" s="1"/>
  <c r="O61" i="14"/>
  <c r="P61" i="14" s="1"/>
  <c r="I70" i="13"/>
  <c r="K70" i="13"/>
  <c r="G70" i="13"/>
  <c r="L59" i="14"/>
  <c r="M59" i="14"/>
  <c r="N59" i="14" s="1"/>
  <c r="O59" i="14"/>
  <c r="P59" i="14" s="1"/>
  <c r="Q59" i="14"/>
  <c r="R59" i="14" s="1"/>
  <c r="K71" i="13"/>
  <c r="L71" i="13" s="1"/>
  <c r="I71" i="13"/>
  <c r="J71" i="13" s="1"/>
  <c r="G71" i="13"/>
  <c r="H71" i="13" s="1"/>
  <c r="G73" i="14"/>
  <c r="H73" i="14" s="1"/>
  <c r="I73" i="14"/>
  <c r="J73" i="14" s="1"/>
  <c r="K73" i="14"/>
  <c r="L73" i="14" s="1"/>
  <c r="F72" i="7"/>
  <c r="F46" i="10"/>
  <c r="F71" i="11"/>
  <c r="K69" i="9"/>
  <c r="G69" i="9"/>
  <c r="I69" i="9"/>
  <c r="F63" i="9"/>
  <c r="K72" i="9"/>
  <c r="L72" i="9" s="1"/>
  <c r="I72" i="9"/>
  <c r="J72" i="9" s="1"/>
  <c r="G72" i="9"/>
  <c r="H72" i="9" s="1"/>
  <c r="I73" i="9"/>
  <c r="J73" i="9" s="1"/>
  <c r="G73" i="9"/>
  <c r="H73" i="9" s="1"/>
  <c r="K73" i="9"/>
  <c r="L73" i="9" s="1"/>
  <c r="F45" i="9"/>
  <c r="I70" i="9"/>
  <c r="J70" i="9" s="1"/>
  <c r="G70" i="9"/>
  <c r="H70" i="9" s="1"/>
  <c r="K70" i="9"/>
  <c r="L70" i="9" s="1"/>
  <c r="I45" i="9"/>
  <c r="J45" i="9" s="1"/>
  <c r="K45" i="9"/>
  <c r="L45" i="9" s="1"/>
  <c r="G45" i="9"/>
  <c r="H45" i="9" s="1"/>
  <c r="F59" i="7"/>
  <c r="F54" i="8"/>
  <c r="F62" i="8"/>
  <c r="F57" i="9"/>
  <c r="E65" i="9"/>
  <c r="D75" i="10"/>
  <c r="F53" i="9"/>
  <c r="F60" i="9"/>
  <c r="F70" i="12"/>
  <c r="F61" i="9"/>
  <c r="D46" i="9"/>
  <c r="F54" i="9"/>
  <c r="F62" i="9"/>
  <c r="D75" i="12"/>
  <c r="D75" i="13"/>
  <c r="G65" i="3"/>
  <c r="H65" i="3" s="1"/>
  <c r="F52" i="9"/>
  <c r="F55" i="7"/>
  <c r="F63" i="7"/>
  <c r="F64" i="8"/>
  <c r="F59" i="9"/>
  <c r="L51" i="3"/>
  <c r="L59" i="3"/>
  <c r="F60" i="8"/>
  <c r="D74" i="9"/>
  <c r="F70" i="7"/>
  <c r="F61" i="7"/>
  <c r="F51" i="9"/>
  <c r="F71" i="14"/>
  <c r="F56" i="8"/>
  <c r="D65" i="9"/>
  <c r="F53" i="7"/>
  <c r="F59" i="8"/>
  <c r="D74" i="8"/>
  <c r="F61" i="8"/>
  <c r="F58" i="8"/>
  <c r="F73" i="8"/>
  <c r="F45" i="8"/>
  <c r="F57" i="8"/>
  <c r="E65" i="8"/>
  <c r="D46" i="8"/>
  <c r="D65" i="8"/>
  <c r="F62" i="7"/>
  <c r="G65" i="7"/>
  <c r="E43" i="7" s="1"/>
  <c r="I43" i="7" s="1"/>
  <c r="F73" i="9"/>
  <c r="F69" i="8"/>
  <c r="F54" i="7"/>
  <c r="L52" i="3"/>
  <c r="K58" i="3"/>
  <c r="F54" i="3"/>
  <c r="F57" i="7"/>
  <c r="I54" i="9"/>
  <c r="I63" i="9"/>
  <c r="F68" i="3"/>
  <c r="F60" i="3"/>
  <c r="G66" i="3"/>
  <c r="H66" i="3" s="1"/>
  <c r="I62" i="9"/>
  <c r="E65" i="7"/>
  <c r="D74" i="7"/>
  <c r="I55" i="8"/>
  <c r="K55" i="8" s="1"/>
  <c r="L55" i="8" s="1"/>
  <c r="F73" i="12"/>
  <c r="F70" i="8"/>
  <c r="I56" i="9"/>
  <c r="J56" i="9" s="1"/>
  <c r="F73" i="11"/>
  <c r="G44" i="10"/>
  <c r="H44" i="10" s="1"/>
  <c r="F56" i="7"/>
  <c r="F64" i="7"/>
  <c r="D94" i="7"/>
  <c r="H55" i="7"/>
  <c r="E44" i="7"/>
  <c r="I44" i="7" s="1"/>
  <c r="J44" i="7" s="1"/>
  <c r="I54" i="7"/>
  <c r="I52" i="7"/>
  <c r="O52" i="7" s="1"/>
  <c r="P52" i="7" s="1"/>
  <c r="I61" i="7"/>
  <c r="F69" i="7"/>
  <c r="D46" i="7"/>
  <c r="D65" i="7"/>
  <c r="F51" i="7"/>
  <c r="I51" i="9"/>
  <c r="I53" i="7"/>
  <c r="K44" i="13"/>
  <c r="L44" i="13" s="1"/>
  <c r="K50" i="3"/>
  <c r="K49" i="3"/>
  <c r="I62" i="7"/>
  <c r="E44" i="8"/>
  <c r="I44" i="8" s="1"/>
  <c r="J44" i="8" s="1"/>
  <c r="E71" i="9"/>
  <c r="F71" i="9" s="1"/>
  <c r="I55" i="9"/>
  <c r="J55" i="9" s="1"/>
  <c r="I64" i="9"/>
  <c r="K64" i="9" s="1"/>
  <c r="L64" i="9" s="1"/>
  <c r="F74" i="10"/>
  <c r="F66" i="3"/>
  <c r="K57" i="3"/>
  <c r="K53" i="3"/>
  <c r="D95" i="14"/>
  <c r="F72" i="8"/>
  <c r="I59" i="9"/>
  <c r="D95" i="11"/>
  <c r="F74" i="13"/>
  <c r="I63" i="7"/>
  <c r="F71" i="12"/>
  <c r="I56" i="8"/>
  <c r="H52" i="8"/>
  <c r="G44" i="12"/>
  <c r="H44" i="12" s="1"/>
  <c r="D95" i="13"/>
  <c r="I53" i="6"/>
  <c r="D95" i="10"/>
  <c r="D95" i="12"/>
  <c r="D94" i="6"/>
  <c r="I57" i="8"/>
  <c r="I56" i="7"/>
  <c r="F45" i="7"/>
  <c r="I60" i="8"/>
  <c r="I57" i="9"/>
  <c r="I57" i="7"/>
  <c r="I59" i="7"/>
  <c r="I61" i="9"/>
  <c r="K43" i="12"/>
  <c r="I62" i="8"/>
  <c r="I58" i="9"/>
  <c r="K44" i="11"/>
  <c r="L44" i="11" s="1"/>
  <c r="I46" i="11"/>
  <c r="J46" i="11" s="1"/>
  <c r="E72" i="11"/>
  <c r="E75" i="11" s="1"/>
  <c r="G43" i="14"/>
  <c r="E72" i="14"/>
  <c r="E75" i="14" s="1"/>
  <c r="K46" i="14"/>
  <c r="L46" i="14" s="1"/>
  <c r="I64" i="8"/>
  <c r="I51" i="7"/>
  <c r="I61" i="8"/>
  <c r="I60" i="9"/>
  <c r="F73" i="7"/>
  <c r="I58" i="8"/>
  <c r="F69" i="9"/>
  <c r="E71" i="7"/>
  <c r="E74" i="7" s="1"/>
  <c r="G65" i="8"/>
  <c r="E43" i="8" s="1"/>
  <c r="G43" i="8" s="1"/>
  <c r="H43" i="8" s="1"/>
  <c r="I63" i="8"/>
  <c r="J63" i="8" s="1"/>
  <c r="I53" i="9"/>
  <c r="J53" i="9" s="1"/>
  <c r="I58" i="7"/>
  <c r="K58" i="7" s="1"/>
  <c r="L58" i="7" s="1"/>
  <c r="E71" i="8"/>
  <c r="E74" i="8" s="1"/>
  <c r="F70" i="10"/>
  <c r="I60" i="7"/>
  <c r="O60" i="7" s="1"/>
  <c r="P60" i="7" s="1"/>
  <c r="I64" i="7"/>
  <c r="I54" i="8"/>
  <c r="I51" i="8"/>
  <c r="K51" i="8" s="1"/>
  <c r="I53" i="8"/>
  <c r="K53" i="8" s="1"/>
  <c r="L53" i="8" s="1"/>
  <c r="I59" i="8"/>
  <c r="E44" i="9"/>
  <c r="F44" i="9" s="1"/>
  <c r="H52" i="9"/>
  <c r="K43" i="10"/>
  <c r="F73" i="10"/>
  <c r="G43" i="13"/>
  <c r="F73" i="13"/>
  <c r="F74" i="11"/>
  <c r="G43" i="11"/>
  <c r="G65" i="9"/>
  <c r="E43" i="9" s="1"/>
  <c r="F43" i="9" s="1"/>
  <c r="E72" i="10"/>
  <c r="E75" i="10" s="1"/>
  <c r="F46" i="13"/>
  <c r="F70" i="11"/>
  <c r="E72" i="12"/>
  <c r="G72" i="12" s="1"/>
  <c r="H72" i="12" s="1"/>
  <c r="K46" i="12"/>
  <c r="L46" i="12" s="1"/>
  <c r="F71" i="10"/>
  <c r="F71" i="13"/>
  <c r="F70" i="9"/>
  <c r="F72" i="9"/>
  <c r="E72" i="13"/>
  <c r="G72" i="13" s="1"/>
  <c r="H72" i="13" s="1"/>
  <c r="F53" i="6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K54" i="3"/>
  <c r="I57" i="3"/>
  <c r="G61" i="3"/>
  <c r="I52" i="3"/>
  <c r="K52" i="3"/>
  <c r="K56" i="3"/>
  <c r="I56" i="3"/>
  <c r="I60" i="3"/>
  <c r="K60" i="3"/>
  <c r="H61" i="3"/>
  <c r="L49" i="3"/>
  <c r="I55" i="3"/>
  <c r="K55" i="3"/>
  <c r="I50" i="3"/>
  <c r="F65" i="3"/>
  <c r="F50" i="3"/>
  <c r="K51" i="3"/>
  <c r="L56" i="3"/>
  <c r="F58" i="3"/>
  <c r="K59" i="3"/>
  <c r="D70" i="3"/>
  <c r="I53" i="3"/>
  <c r="E42" i="3"/>
  <c r="F42" i="3" s="1"/>
  <c r="F49" i="3"/>
  <c r="L55" i="3"/>
  <c r="G66" i="10" l="1"/>
  <c r="M61" i="13"/>
  <c r="N61" i="13" s="1"/>
  <c r="G66" i="12"/>
  <c r="Q61" i="13"/>
  <c r="R61" i="13" s="1"/>
  <c r="M53" i="13"/>
  <c r="N53" i="13" s="1"/>
  <c r="O53" i="13"/>
  <c r="P53" i="13" s="1"/>
  <c r="Q56" i="12"/>
  <c r="R56" i="12" s="1"/>
  <c r="O62" i="11"/>
  <c r="P62" i="11" s="1"/>
  <c r="M62" i="11"/>
  <c r="N62" i="11" s="1"/>
  <c r="G66" i="11"/>
  <c r="G66" i="13"/>
  <c r="G47" i="13"/>
  <c r="H47" i="13" s="1"/>
  <c r="F75" i="14"/>
  <c r="L52" i="12"/>
  <c r="O56" i="12"/>
  <c r="P56" i="12" s="1"/>
  <c r="L56" i="12"/>
  <c r="M59" i="13"/>
  <c r="N59" i="13" s="1"/>
  <c r="O62" i="12"/>
  <c r="P62" i="12" s="1"/>
  <c r="L54" i="12"/>
  <c r="M56" i="11"/>
  <c r="N56" i="11" s="1"/>
  <c r="Q60" i="10"/>
  <c r="R60" i="10" s="1"/>
  <c r="Q64" i="10"/>
  <c r="R64" i="10" s="1"/>
  <c r="Q65" i="13"/>
  <c r="R65" i="13" s="1"/>
  <c r="L64" i="10"/>
  <c r="M64" i="10"/>
  <c r="N64" i="10" s="1"/>
  <c r="L65" i="13"/>
  <c r="Q56" i="10"/>
  <c r="R56" i="10" s="1"/>
  <c r="M56" i="10"/>
  <c r="N56" i="10" s="1"/>
  <c r="O56" i="10"/>
  <c r="P56" i="10" s="1"/>
  <c r="O63" i="12"/>
  <c r="P63" i="12" s="1"/>
  <c r="F75" i="11"/>
  <c r="Q61" i="12"/>
  <c r="R61" i="12" s="1"/>
  <c r="Q62" i="12"/>
  <c r="R62" i="12" s="1"/>
  <c r="O62" i="13"/>
  <c r="P62" i="13" s="1"/>
  <c r="L63" i="12"/>
  <c r="M61" i="12"/>
  <c r="N61" i="12" s="1"/>
  <c r="M54" i="13"/>
  <c r="N54" i="13" s="1"/>
  <c r="M52" i="13"/>
  <c r="L57" i="13"/>
  <c r="Q64" i="12"/>
  <c r="R64" i="12" s="1"/>
  <c r="M62" i="12"/>
  <c r="N62" i="12" s="1"/>
  <c r="M65" i="13"/>
  <c r="N65" i="13" s="1"/>
  <c r="Q56" i="13"/>
  <c r="R56" i="13" s="1"/>
  <c r="M57" i="13"/>
  <c r="N57" i="13" s="1"/>
  <c r="O52" i="12"/>
  <c r="P52" i="12" s="1"/>
  <c r="O57" i="13"/>
  <c r="P57" i="13" s="1"/>
  <c r="M52" i="12"/>
  <c r="N52" i="12" s="1"/>
  <c r="Q63" i="12"/>
  <c r="R63" i="12" s="1"/>
  <c r="O64" i="12"/>
  <c r="P64" i="12" s="1"/>
  <c r="O56" i="13"/>
  <c r="P56" i="13" s="1"/>
  <c r="L61" i="12"/>
  <c r="O54" i="12"/>
  <c r="P54" i="12" s="1"/>
  <c r="L59" i="12"/>
  <c r="L64" i="12"/>
  <c r="L56" i="13"/>
  <c r="Q54" i="12"/>
  <c r="R54" i="12" s="1"/>
  <c r="M58" i="12"/>
  <c r="N58" i="12" s="1"/>
  <c r="O54" i="13"/>
  <c r="P54" i="13" s="1"/>
  <c r="Q52" i="12"/>
  <c r="R52" i="12" s="1"/>
  <c r="J64" i="8"/>
  <c r="L58" i="12"/>
  <c r="M65" i="12"/>
  <c r="N65" i="12" s="1"/>
  <c r="O65" i="12"/>
  <c r="P65" i="12" s="1"/>
  <c r="Q54" i="13"/>
  <c r="R54" i="13" s="1"/>
  <c r="J59" i="9"/>
  <c r="M60" i="10"/>
  <c r="N60" i="10" s="1"/>
  <c r="L56" i="11"/>
  <c r="M59" i="12"/>
  <c r="N59" i="12" s="1"/>
  <c r="Q52" i="13"/>
  <c r="R52" i="13" s="1"/>
  <c r="L55" i="11"/>
  <c r="J60" i="9"/>
  <c r="Q63" i="11"/>
  <c r="R63" i="11" s="1"/>
  <c r="M62" i="13"/>
  <c r="N62" i="13" s="1"/>
  <c r="Q59" i="12"/>
  <c r="R59" i="12" s="1"/>
  <c r="O58" i="12"/>
  <c r="P58" i="12" s="1"/>
  <c r="O60" i="10"/>
  <c r="P60" i="10" s="1"/>
  <c r="Q64" i="11"/>
  <c r="R64" i="11" s="1"/>
  <c r="Q55" i="11"/>
  <c r="R55" i="11" s="1"/>
  <c r="O63" i="11"/>
  <c r="P63" i="11" s="1"/>
  <c r="J58" i="9"/>
  <c r="L62" i="13"/>
  <c r="O64" i="11"/>
  <c r="P64" i="11" s="1"/>
  <c r="O55" i="11"/>
  <c r="P55" i="11" s="1"/>
  <c r="M63" i="11"/>
  <c r="N63" i="11" s="1"/>
  <c r="M64" i="11"/>
  <c r="N64" i="11" s="1"/>
  <c r="O54" i="10"/>
  <c r="P54" i="10" s="1"/>
  <c r="O52" i="13"/>
  <c r="P52" i="13" s="1"/>
  <c r="Q56" i="11"/>
  <c r="R56" i="11" s="1"/>
  <c r="J57" i="9"/>
  <c r="Q54" i="10"/>
  <c r="R54" i="10" s="1"/>
  <c r="Q65" i="12"/>
  <c r="R65" i="12" s="1"/>
  <c r="L54" i="10"/>
  <c r="J60" i="3"/>
  <c r="J54" i="3"/>
  <c r="G44" i="13"/>
  <c r="H44" i="13" s="1"/>
  <c r="M52" i="7"/>
  <c r="N52" i="7" s="1"/>
  <c r="J53" i="7"/>
  <c r="J54" i="8"/>
  <c r="J62" i="7"/>
  <c r="J63" i="9"/>
  <c r="K44" i="12"/>
  <c r="L44" i="12" s="1"/>
  <c r="I44" i="12"/>
  <c r="J44" i="12" s="1"/>
  <c r="I46" i="7"/>
  <c r="J46" i="7" s="1"/>
  <c r="J43" i="7"/>
  <c r="L51" i="8"/>
  <c r="H43" i="11"/>
  <c r="M62" i="8"/>
  <c r="N62" i="8" s="1"/>
  <c r="O62" i="8"/>
  <c r="P62" i="8" s="1"/>
  <c r="K62" i="8"/>
  <c r="L62" i="8" s="1"/>
  <c r="L59" i="11"/>
  <c r="M59" i="11"/>
  <c r="N59" i="11" s="1"/>
  <c r="O59" i="11"/>
  <c r="P59" i="11" s="1"/>
  <c r="Q59" i="11"/>
  <c r="R59" i="11" s="1"/>
  <c r="O63" i="8"/>
  <c r="P63" i="8" s="1"/>
  <c r="G71" i="7"/>
  <c r="H71" i="7" s="1"/>
  <c r="O51" i="8"/>
  <c r="G43" i="7"/>
  <c r="G71" i="8"/>
  <c r="H71" i="8" s="1"/>
  <c r="G44" i="7"/>
  <c r="H44" i="7" s="1"/>
  <c r="H71" i="11"/>
  <c r="G46" i="11"/>
  <c r="H46" i="11" s="1"/>
  <c r="M63" i="8"/>
  <c r="N63" i="8" s="1"/>
  <c r="M60" i="7"/>
  <c r="N60" i="7" s="1"/>
  <c r="L72" i="8"/>
  <c r="K62" i="7"/>
  <c r="L62" i="7" s="1"/>
  <c r="M62" i="7"/>
  <c r="N62" i="7" s="1"/>
  <c r="O62" i="7"/>
  <c r="P62" i="7" s="1"/>
  <c r="K61" i="8"/>
  <c r="L61" i="8" s="1"/>
  <c r="M61" i="8"/>
  <c r="N61" i="8" s="1"/>
  <c r="O61" i="8"/>
  <c r="P61" i="8" s="1"/>
  <c r="K53" i="7"/>
  <c r="L53" i="7" s="1"/>
  <c r="M53" i="7"/>
  <c r="O53" i="7"/>
  <c r="P53" i="7" s="1"/>
  <c r="K59" i="6"/>
  <c r="L59" i="6" s="1"/>
  <c r="M59" i="6"/>
  <c r="N59" i="6" s="1"/>
  <c r="O59" i="6"/>
  <c r="P59" i="6" s="1"/>
  <c r="J60" i="8"/>
  <c r="M54" i="8"/>
  <c r="N54" i="8" s="1"/>
  <c r="O54" i="8"/>
  <c r="P54" i="8" s="1"/>
  <c r="K54" i="8"/>
  <c r="L54" i="8" s="1"/>
  <c r="K51" i="7"/>
  <c r="M51" i="7"/>
  <c r="N51" i="7" s="1"/>
  <c r="O51" i="7"/>
  <c r="P51" i="7" s="1"/>
  <c r="K56" i="8"/>
  <c r="L56" i="8" s="1"/>
  <c r="M56" i="8"/>
  <c r="N56" i="8" s="1"/>
  <c r="O56" i="8"/>
  <c r="P56" i="8" s="1"/>
  <c r="K59" i="7"/>
  <c r="L59" i="7" s="1"/>
  <c r="M59" i="7"/>
  <c r="N59" i="7" s="1"/>
  <c r="O59" i="7"/>
  <c r="P59" i="7" s="1"/>
  <c r="L54" i="11"/>
  <c r="M54" i="11"/>
  <c r="N54" i="11" s="1"/>
  <c r="O54" i="11"/>
  <c r="P54" i="11" s="1"/>
  <c r="Q54" i="11"/>
  <c r="R54" i="11" s="1"/>
  <c r="I43" i="12"/>
  <c r="K63" i="8"/>
  <c r="L63" i="8" s="1"/>
  <c r="K60" i="7"/>
  <c r="L60" i="7" s="1"/>
  <c r="K43" i="11"/>
  <c r="G74" i="8"/>
  <c r="H74" i="8" s="1"/>
  <c r="H69" i="8"/>
  <c r="O53" i="8"/>
  <c r="P53" i="8" s="1"/>
  <c r="K54" i="7"/>
  <c r="L54" i="7" s="1"/>
  <c r="M54" i="7"/>
  <c r="N54" i="7" s="1"/>
  <c r="O54" i="7"/>
  <c r="K64" i="8"/>
  <c r="L64" i="8" s="1"/>
  <c r="M64" i="8"/>
  <c r="N64" i="8" s="1"/>
  <c r="O64" i="8"/>
  <c r="P64" i="8" s="1"/>
  <c r="G43" i="12"/>
  <c r="O55" i="8"/>
  <c r="P55" i="8" s="1"/>
  <c r="I43" i="11"/>
  <c r="L70" i="11"/>
  <c r="L69" i="7"/>
  <c r="M53" i="8"/>
  <c r="N53" i="8" s="1"/>
  <c r="K64" i="7"/>
  <c r="L64" i="7" s="1"/>
  <c r="M64" i="7"/>
  <c r="N64" i="7" s="1"/>
  <c r="O64" i="7"/>
  <c r="P64" i="7" s="1"/>
  <c r="K57" i="8"/>
  <c r="L57" i="8" s="1"/>
  <c r="M57" i="8"/>
  <c r="N57" i="8" s="1"/>
  <c r="O57" i="8"/>
  <c r="P57" i="8" s="1"/>
  <c r="O59" i="8"/>
  <c r="P59" i="8" s="1"/>
  <c r="K59" i="8"/>
  <c r="L59" i="8" s="1"/>
  <c r="M59" i="8"/>
  <c r="N59" i="8" s="1"/>
  <c r="K60" i="8"/>
  <c r="L60" i="8" s="1"/>
  <c r="M60" i="8"/>
  <c r="N60" i="8" s="1"/>
  <c r="O60" i="8"/>
  <c r="P60" i="8" s="1"/>
  <c r="M63" i="7"/>
  <c r="N63" i="7" s="1"/>
  <c r="O63" i="7"/>
  <c r="P63" i="7" s="1"/>
  <c r="K63" i="7"/>
  <c r="L63" i="7" s="1"/>
  <c r="L60" i="11"/>
  <c r="O60" i="11"/>
  <c r="P60" i="11" s="1"/>
  <c r="Q60" i="11"/>
  <c r="R60" i="11" s="1"/>
  <c r="M60" i="11"/>
  <c r="N60" i="11" s="1"/>
  <c r="I46" i="14"/>
  <c r="J46" i="14" s="1"/>
  <c r="M55" i="8"/>
  <c r="N55" i="8" s="1"/>
  <c r="J70" i="11"/>
  <c r="J69" i="7"/>
  <c r="K72" i="11"/>
  <c r="L72" i="11" s="1"/>
  <c r="G44" i="8"/>
  <c r="H44" i="8" s="1"/>
  <c r="I44" i="11"/>
  <c r="J44" i="11" s="1"/>
  <c r="K43" i="8"/>
  <c r="K52" i="7"/>
  <c r="L52" i="7" s="1"/>
  <c r="H45" i="8"/>
  <c r="H69" i="7"/>
  <c r="I72" i="11"/>
  <c r="J72" i="11" s="1"/>
  <c r="K44" i="8"/>
  <c r="L44" i="8" s="1"/>
  <c r="O58" i="7"/>
  <c r="P58" i="7" s="1"/>
  <c r="K56" i="7"/>
  <c r="L56" i="7" s="1"/>
  <c r="M56" i="7"/>
  <c r="N56" i="7" s="1"/>
  <c r="O56" i="7"/>
  <c r="P56" i="7" s="1"/>
  <c r="L52" i="11"/>
  <c r="O52" i="11"/>
  <c r="Q52" i="11"/>
  <c r="M52" i="11"/>
  <c r="K57" i="7"/>
  <c r="L57" i="7" s="1"/>
  <c r="M57" i="7"/>
  <c r="N57" i="7" s="1"/>
  <c r="O57" i="7"/>
  <c r="P57" i="7" s="1"/>
  <c r="G44" i="11"/>
  <c r="H44" i="11" s="1"/>
  <c r="I43" i="8"/>
  <c r="K71" i="7"/>
  <c r="L71" i="7" s="1"/>
  <c r="M51" i="8"/>
  <c r="N51" i="8" s="1"/>
  <c r="K43" i="7"/>
  <c r="K71" i="8"/>
  <c r="L71" i="8" s="1"/>
  <c r="G72" i="11"/>
  <c r="H72" i="11" s="1"/>
  <c r="K44" i="7"/>
  <c r="L44" i="7" s="1"/>
  <c r="K46" i="11"/>
  <c r="L46" i="11" s="1"/>
  <c r="M58" i="7"/>
  <c r="N58" i="7" s="1"/>
  <c r="O53" i="6"/>
  <c r="P53" i="6" s="1"/>
  <c r="K53" i="6"/>
  <c r="L53" i="6" s="1"/>
  <c r="M53" i="6"/>
  <c r="N53" i="6" s="1"/>
  <c r="F74" i="8"/>
  <c r="K58" i="8"/>
  <c r="L58" i="8" s="1"/>
  <c r="M58" i="8"/>
  <c r="N58" i="8" s="1"/>
  <c r="O58" i="8"/>
  <c r="P58" i="8" s="1"/>
  <c r="M58" i="11"/>
  <c r="N58" i="11" s="1"/>
  <c r="O58" i="11"/>
  <c r="P58" i="11" s="1"/>
  <c r="Q58" i="11"/>
  <c r="R58" i="11" s="1"/>
  <c r="K61" i="7"/>
  <c r="L61" i="7" s="1"/>
  <c r="M61" i="7"/>
  <c r="N61" i="7" s="1"/>
  <c r="O61" i="7"/>
  <c r="P61" i="7" s="1"/>
  <c r="L61" i="11"/>
  <c r="M61" i="11"/>
  <c r="N61" i="11" s="1"/>
  <c r="O61" i="11"/>
  <c r="P61" i="11" s="1"/>
  <c r="Q61" i="11"/>
  <c r="R61" i="11" s="1"/>
  <c r="I71" i="7"/>
  <c r="J71" i="7" s="1"/>
  <c r="I71" i="8"/>
  <c r="G72" i="10"/>
  <c r="H72" i="10" s="1"/>
  <c r="K72" i="10"/>
  <c r="L72" i="10" s="1"/>
  <c r="I72" i="10"/>
  <c r="J72" i="10" s="1"/>
  <c r="I43" i="10"/>
  <c r="G43" i="10"/>
  <c r="G47" i="10" s="1"/>
  <c r="H47" i="10" s="1"/>
  <c r="K44" i="10"/>
  <c r="L44" i="10" s="1"/>
  <c r="I44" i="10"/>
  <c r="J44" i="10" s="1"/>
  <c r="F75" i="10"/>
  <c r="J70" i="10"/>
  <c r="H70" i="10"/>
  <c r="L70" i="10"/>
  <c r="L65" i="10"/>
  <c r="M65" i="10"/>
  <c r="N65" i="10" s="1"/>
  <c r="Q65" i="10"/>
  <c r="R65" i="10" s="1"/>
  <c r="O65" i="10"/>
  <c r="P65" i="10" s="1"/>
  <c r="L63" i="10"/>
  <c r="M63" i="10"/>
  <c r="N63" i="10" s="1"/>
  <c r="Q63" i="10"/>
  <c r="R63" i="10" s="1"/>
  <c r="O63" i="10"/>
  <c r="P63" i="10" s="1"/>
  <c r="M53" i="10"/>
  <c r="N53" i="10" s="1"/>
  <c r="Q53" i="10"/>
  <c r="R53" i="10" s="1"/>
  <c r="O53" i="10"/>
  <c r="P53" i="10" s="1"/>
  <c r="L52" i="10"/>
  <c r="O52" i="10"/>
  <c r="P52" i="10" s="1"/>
  <c r="M52" i="10"/>
  <c r="N52" i="10" s="1"/>
  <c r="Q52" i="10"/>
  <c r="R52" i="10" s="1"/>
  <c r="L61" i="10"/>
  <c r="M61" i="10"/>
  <c r="N61" i="10" s="1"/>
  <c r="Q61" i="10"/>
  <c r="R61" i="10" s="1"/>
  <c r="O61" i="10"/>
  <c r="P61" i="10" s="1"/>
  <c r="L57" i="10"/>
  <c r="M57" i="10"/>
  <c r="N57" i="10" s="1"/>
  <c r="Q57" i="10"/>
  <c r="R57" i="10" s="1"/>
  <c r="O57" i="10"/>
  <c r="P57" i="10" s="1"/>
  <c r="L55" i="10"/>
  <c r="O55" i="10"/>
  <c r="P55" i="10" s="1"/>
  <c r="M55" i="10"/>
  <c r="N55" i="10" s="1"/>
  <c r="Q55" i="10"/>
  <c r="R55" i="10" s="1"/>
  <c r="L58" i="10"/>
  <c r="O58" i="10"/>
  <c r="M58" i="10"/>
  <c r="Q58" i="10"/>
  <c r="L43" i="10"/>
  <c r="H43" i="13"/>
  <c r="L43" i="12"/>
  <c r="H43" i="14"/>
  <c r="K43" i="13"/>
  <c r="K47" i="13" s="1"/>
  <c r="J70" i="13"/>
  <c r="O64" i="13"/>
  <c r="P64" i="13" s="1"/>
  <c r="Q64" i="13"/>
  <c r="R64" i="13" s="1"/>
  <c r="M64" i="13"/>
  <c r="N64" i="13" s="1"/>
  <c r="L70" i="13"/>
  <c r="G46" i="14"/>
  <c r="H46" i="14" s="1"/>
  <c r="H70" i="14"/>
  <c r="I43" i="13"/>
  <c r="I47" i="13" s="1"/>
  <c r="J47" i="13" s="1"/>
  <c r="G75" i="12"/>
  <c r="H75" i="12" s="1"/>
  <c r="H70" i="12"/>
  <c r="L70" i="14"/>
  <c r="I72" i="13"/>
  <c r="J72" i="13" s="1"/>
  <c r="L55" i="12"/>
  <c r="M55" i="12"/>
  <c r="N55" i="12" s="1"/>
  <c r="O55" i="12"/>
  <c r="P55" i="12" s="1"/>
  <c r="Q55" i="12"/>
  <c r="R55" i="12" s="1"/>
  <c r="L63" i="13"/>
  <c r="M63" i="13"/>
  <c r="N63" i="13" s="1"/>
  <c r="O63" i="13"/>
  <c r="P63" i="13" s="1"/>
  <c r="Q63" i="13"/>
  <c r="R63" i="13" s="1"/>
  <c r="L70" i="12"/>
  <c r="J70" i="14"/>
  <c r="K72" i="13"/>
  <c r="L72" i="13" s="1"/>
  <c r="R52" i="14"/>
  <c r="Q66" i="14"/>
  <c r="R66" i="14" s="1"/>
  <c r="N52" i="13"/>
  <c r="L53" i="12"/>
  <c r="Q53" i="12"/>
  <c r="R53" i="12" s="1"/>
  <c r="O53" i="12"/>
  <c r="P53" i="12" s="1"/>
  <c r="M53" i="12"/>
  <c r="N53" i="12" s="1"/>
  <c r="I72" i="12"/>
  <c r="J72" i="12" s="1"/>
  <c r="K43" i="14"/>
  <c r="K47" i="14" s="1"/>
  <c r="I72" i="14"/>
  <c r="J72" i="14" s="1"/>
  <c r="I44" i="13"/>
  <c r="J44" i="13" s="1"/>
  <c r="P52" i="14"/>
  <c r="O66" i="14"/>
  <c r="P66" i="14" s="1"/>
  <c r="I44" i="14"/>
  <c r="J44" i="14" s="1"/>
  <c r="K44" i="14"/>
  <c r="L44" i="14" s="1"/>
  <c r="G44" i="14"/>
  <c r="H44" i="14" s="1"/>
  <c r="K72" i="14"/>
  <c r="L72" i="14" s="1"/>
  <c r="J70" i="12"/>
  <c r="M66" i="14"/>
  <c r="N66" i="14" s="1"/>
  <c r="N52" i="14"/>
  <c r="G72" i="14"/>
  <c r="H72" i="14" s="1"/>
  <c r="G46" i="12"/>
  <c r="H46" i="12" s="1"/>
  <c r="K72" i="12"/>
  <c r="L72" i="12" s="1"/>
  <c r="I43" i="14"/>
  <c r="I46" i="12"/>
  <c r="J46" i="12" s="1"/>
  <c r="L58" i="13"/>
  <c r="O58" i="13"/>
  <c r="P58" i="13" s="1"/>
  <c r="M58" i="13"/>
  <c r="N58" i="13" s="1"/>
  <c r="Q58" i="13"/>
  <c r="R58" i="13" s="1"/>
  <c r="G75" i="13"/>
  <c r="H75" i="13" s="1"/>
  <c r="H70" i="13"/>
  <c r="J56" i="8"/>
  <c r="J59" i="7"/>
  <c r="J54" i="7"/>
  <c r="I43" i="9"/>
  <c r="J43" i="9" s="1"/>
  <c r="M64" i="9"/>
  <c r="N64" i="9" s="1"/>
  <c r="G43" i="9"/>
  <c r="O64" i="9"/>
  <c r="P64" i="9" s="1"/>
  <c r="G71" i="9"/>
  <c r="H71" i="9" s="1"/>
  <c r="I71" i="9"/>
  <c r="J71" i="9" s="1"/>
  <c r="K43" i="9"/>
  <c r="L43" i="9" s="1"/>
  <c r="O61" i="9"/>
  <c r="P61" i="9" s="1"/>
  <c r="M61" i="9"/>
  <c r="N61" i="9" s="1"/>
  <c r="K61" i="9"/>
  <c r="L61" i="9" s="1"/>
  <c r="M56" i="9"/>
  <c r="N56" i="9" s="1"/>
  <c r="K62" i="9"/>
  <c r="L62" i="9" s="1"/>
  <c r="O62" i="9"/>
  <c r="P62" i="9" s="1"/>
  <c r="M62" i="9"/>
  <c r="N62" i="9" s="1"/>
  <c r="O53" i="9"/>
  <c r="P53" i="9" s="1"/>
  <c r="M53" i="9"/>
  <c r="N53" i="9" s="1"/>
  <c r="K53" i="9"/>
  <c r="L53" i="9" s="1"/>
  <c r="I44" i="9"/>
  <c r="J44" i="9" s="1"/>
  <c r="O54" i="9"/>
  <c r="P54" i="9" s="1"/>
  <c r="M54" i="9"/>
  <c r="N54" i="9" s="1"/>
  <c r="K54" i="9"/>
  <c r="L54" i="9" s="1"/>
  <c r="M55" i="9"/>
  <c r="N55" i="9" s="1"/>
  <c r="K56" i="9"/>
  <c r="L56" i="9" s="1"/>
  <c r="K58" i="9"/>
  <c r="L58" i="9" s="1"/>
  <c r="O56" i="9"/>
  <c r="P56" i="9" s="1"/>
  <c r="K59" i="9"/>
  <c r="L59" i="9" s="1"/>
  <c r="M59" i="9"/>
  <c r="N59" i="9" s="1"/>
  <c r="O59" i="9"/>
  <c r="P59" i="9" s="1"/>
  <c r="O57" i="9"/>
  <c r="P57" i="9" s="1"/>
  <c r="M57" i="9"/>
  <c r="N57" i="9" s="1"/>
  <c r="K57" i="9"/>
  <c r="L57" i="9" s="1"/>
  <c r="O55" i="9"/>
  <c r="P55" i="9" s="1"/>
  <c r="G44" i="9"/>
  <c r="H44" i="9" s="1"/>
  <c r="K63" i="9"/>
  <c r="L63" i="9" s="1"/>
  <c r="O63" i="9"/>
  <c r="P63" i="9" s="1"/>
  <c r="M63" i="9"/>
  <c r="N63" i="9" s="1"/>
  <c r="M58" i="9"/>
  <c r="N58" i="9" s="1"/>
  <c r="J69" i="9"/>
  <c r="J61" i="9"/>
  <c r="L69" i="9"/>
  <c r="K51" i="9"/>
  <c r="O51" i="9"/>
  <c r="M51" i="9"/>
  <c r="M60" i="9"/>
  <c r="N60" i="9" s="1"/>
  <c r="K60" i="9"/>
  <c r="L60" i="9" s="1"/>
  <c r="O60" i="9"/>
  <c r="P60" i="9" s="1"/>
  <c r="K55" i="9"/>
  <c r="L55" i="9" s="1"/>
  <c r="K44" i="9"/>
  <c r="L44" i="9" s="1"/>
  <c r="K71" i="9"/>
  <c r="L71" i="9" s="1"/>
  <c r="O58" i="9"/>
  <c r="P58" i="9" s="1"/>
  <c r="L53" i="10"/>
  <c r="L64" i="13"/>
  <c r="L58" i="11"/>
  <c r="J54" i="9"/>
  <c r="F65" i="8"/>
  <c r="J58" i="8"/>
  <c r="E46" i="9"/>
  <c r="F46" i="9" s="1"/>
  <c r="J61" i="7"/>
  <c r="M58" i="3"/>
  <c r="N58" i="3" s="1"/>
  <c r="F74" i="7"/>
  <c r="F65" i="9"/>
  <c r="J62" i="9"/>
  <c r="F44" i="10"/>
  <c r="J61" i="8"/>
  <c r="J59" i="8"/>
  <c r="J57" i="7"/>
  <c r="J56" i="7"/>
  <c r="F44" i="8"/>
  <c r="I52" i="8"/>
  <c r="J52" i="8" s="1"/>
  <c r="J52" i="7"/>
  <c r="G42" i="3"/>
  <c r="H42" i="3" s="1"/>
  <c r="F65" i="7"/>
  <c r="M53" i="3"/>
  <c r="N53" i="3" s="1"/>
  <c r="J55" i="8"/>
  <c r="H65" i="8"/>
  <c r="M51" i="3"/>
  <c r="N51" i="3" s="1"/>
  <c r="F44" i="14"/>
  <c r="M59" i="3"/>
  <c r="N59" i="3" s="1"/>
  <c r="F44" i="13"/>
  <c r="J64" i="9"/>
  <c r="E70" i="3"/>
  <c r="F70" i="3" s="1"/>
  <c r="J53" i="3"/>
  <c r="J64" i="7"/>
  <c r="I55" i="7"/>
  <c r="J55" i="7" s="1"/>
  <c r="F43" i="7"/>
  <c r="J63" i="7"/>
  <c r="H65" i="7"/>
  <c r="J51" i="9"/>
  <c r="F44" i="12"/>
  <c r="G41" i="3"/>
  <c r="H41" i="3" s="1"/>
  <c r="M50" i="3"/>
  <c r="N50" i="3" s="1"/>
  <c r="G67" i="3"/>
  <c r="H67" i="3" s="1"/>
  <c r="E74" i="9"/>
  <c r="F74" i="9" s="1"/>
  <c r="L66" i="14"/>
  <c r="F72" i="13"/>
  <c r="F46" i="12"/>
  <c r="E46" i="8"/>
  <c r="F46" i="8" s="1"/>
  <c r="F43" i="8"/>
  <c r="F71" i="7"/>
  <c r="F44" i="7"/>
  <c r="J58" i="7"/>
  <c r="F43" i="13"/>
  <c r="F43" i="12"/>
  <c r="E75" i="13"/>
  <c r="F75" i="13" s="1"/>
  <c r="F43" i="11"/>
  <c r="F72" i="11"/>
  <c r="H65" i="9"/>
  <c r="J51" i="7"/>
  <c r="H69" i="9"/>
  <c r="F46" i="14"/>
  <c r="F43" i="14"/>
  <c r="F46" i="11"/>
  <c r="E46" i="7"/>
  <c r="F46" i="7" s="1"/>
  <c r="I52" i="9"/>
  <c r="M52" i="9" s="1"/>
  <c r="N52" i="9" s="1"/>
  <c r="F72" i="10"/>
  <c r="F43" i="10"/>
  <c r="J53" i="8"/>
  <c r="J60" i="7"/>
  <c r="F72" i="14"/>
  <c r="J62" i="8"/>
  <c r="J57" i="8"/>
  <c r="E75" i="12"/>
  <c r="F75" i="12" s="1"/>
  <c r="F72" i="12"/>
  <c r="J51" i="8"/>
  <c r="F71" i="8"/>
  <c r="F44" i="1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K61" i="3"/>
  <c r="F61" i="3"/>
  <c r="M49" i="3"/>
  <c r="M60" i="3"/>
  <c r="N60" i="3" s="1"/>
  <c r="J49" i="3"/>
  <c r="I61" i="3"/>
  <c r="J50" i="3"/>
  <c r="L61" i="3"/>
  <c r="M56" i="3"/>
  <c r="N56" i="3" s="1"/>
  <c r="J58" i="3"/>
  <c r="E44" i="3"/>
  <c r="F44" i="3" s="1"/>
  <c r="I47" i="14" l="1"/>
  <c r="J47" i="14" s="1"/>
  <c r="K47" i="11"/>
  <c r="K47" i="10"/>
  <c r="J43" i="10"/>
  <c r="I47" i="10"/>
  <c r="J47" i="10" s="1"/>
  <c r="K47" i="12"/>
  <c r="J43" i="12"/>
  <c r="I47" i="12"/>
  <c r="J47" i="12" s="1"/>
  <c r="I47" i="11"/>
  <c r="J47" i="11" s="1"/>
  <c r="G47" i="11"/>
  <c r="H47" i="11" s="1"/>
  <c r="H43" i="12"/>
  <c r="G47" i="12"/>
  <c r="H47" i="12" s="1"/>
  <c r="G47" i="14"/>
  <c r="H47" i="14" s="1"/>
  <c r="H43" i="10"/>
  <c r="L47" i="12"/>
  <c r="I75" i="10"/>
  <c r="J75" i="10" s="1"/>
  <c r="I74" i="9"/>
  <c r="J74" i="9" s="1"/>
  <c r="I75" i="11"/>
  <c r="J75" i="11" s="1"/>
  <c r="G46" i="8"/>
  <c r="H46" i="8" s="1"/>
  <c r="K75" i="14"/>
  <c r="L75" i="14" s="1"/>
  <c r="K74" i="7"/>
  <c r="L74" i="7" s="1"/>
  <c r="G75" i="14"/>
  <c r="H75" i="14" s="1"/>
  <c r="L47" i="10"/>
  <c r="I74" i="7"/>
  <c r="J74" i="7" s="1"/>
  <c r="K75" i="12"/>
  <c r="L75" i="12" s="1"/>
  <c r="M55" i="7"/>
  <c r="N55" i="7" s="1"/>
  <c r="G74" i="7"/>
  <c r="H74" i="7" s="1"/>
  <c r="P51" i="8"/>
  <c r="I74" i="8"/>
  <c r="J74" i="8" s="1"/>
  <c r="J71" i="8"/>
  <c r="K46" i="7"/>
  <c r="L46" i="7" s="1"/>
  <c r="L43" i="7"/>
  <c r="M66" i="11"/>
  <c r="N66" i="11" s="1"/>
  <c r="N52" i="11"/>
  <c r="L47" i="11"/>
  <c r="L43" i="11"/>
  <c r="L51" i="7"/>
  <c r="Q66" i="11"/>
  <c r="R66" i="11" s="1"/>
  <c r="R52" i="11"/>
  <c r="N53" i="7"/>
  <c r="O52" i="8"/>
  <c r="P52" i="8" s="1"/>
  <c r="I75" i="12"/>
  <c r="J75" i="12" s="1"/>
  <c r="O66" i="12"/>
  <c r="P66" i="12" s="1"/>
  <c r="O66" i="11"/>
  <c r="P66" i="11" s="1"/>
  <c r="P52" i="11"/>
  <c r="K46" i="8"/>
  <c r="L46" i="8" s="1"/>
  <c r="L43" i="8"/>
  <c r="P54" i="7"/>
  <c r="M52" i="8"/>
  <c r="G75" i="11"/>
  <c r="H75" i="11" s="1"/>
  <c r="I46" i="8"/>
  <c r="J46" i="8" s="1"/>
  <c r="J43" i="8"/>
  <c r="K75" i="11"/>
  <c r="L75" i="11" s="1"/>
  <c r="K52" i="8"/>
  <c r="L66" i="10"/>
  <c r="I75" i="14"/>
  <c r="J75" i="14" s="1"/>
  <c r="K55" i="7"/>
  <c r="L55" i="7" s="1"/>
  <c r="J43" i="11"/>
  <c r="G75" i="10"/>
  <c r="H75" i="10" s="1"/>
  <c r="O55" i="7"/>
  <c r="P55" i="7" s="1"/>
  <c r="K74" i="8"/>
  <c r="L74" i="8" s="1"/>
  <c r="G46" i="7"/>
  <c r="H46" i="7" s="1"/>
  <c r="H43" i="7"/>
  <c r="K75" i="10"/>
  <c r="L75" i="10" s="1"/>
  <c r="Q66" i="10"/>
  <c r="R66" i="10" s="1"/>
  <c r="R58" i="10"/>
  <c r="O66" i="10"/>
  <c r="P66" i="10" s="1"/>
  <c r="P58" i="10"/>
  <c r="M66" i="10"/>
  <c r="N66" i="10" s="1"/>
  <c r="N58" i="10"/>
  <c r="I46" i="9"/>
  <c r="J46" i="9" s="1"/>
  <c r="L43" i="14"/>
  <c r="L47" i="14"/>
  <c r="O66" i="13"/>
  <c r="P66" i="13" s="1"/>
  <c r="Q66" i="12"/>
  <c r="R66" i="12" s="1"/>
  <c r="J43" i="13"/>
  <c r="K75" i="13"/>
  <c r="L75" i="13" s="1"/>
  <c r="M66" i="13"/>
  <c r="N66" i="13" s="1"/>
  <c r="L43" i="13"/>
  <c r="L47" i="13"/>
  <c r="J43" i="14"/>
  <c r="L66" i="13"/>
  <c r="M66" i="12"/>
  <c r="N66" i="12" s="1"/>
  <c r="Q66" i="13"/>
  <c r="R66" i="13" s="1"/>
  <c r="I75" i="13"/>
  <c r="J75" i="13" s="1"/>
  <c r="I65" i="8"/>
  <c r="J65" i="8" s="1"/>
  <c r="L66" i="11"/>
  <c r="O52" i="9"/>
  <c r="P52" i="9" s="1"/>
  <c r="K52" i="9"/>
  <c r="L52" i="9" s="1"/>
  <c r="M65" i="9"/>
  <c r="N65" i="9" s="1"/>
  <c r="N51" i="9"/>
  <c r="P51" i="9"/>
  <c r="L51" i="9"/>
  <c r="K46" i="9"/>
  <c r="L46" i="9" s="1"/>
  <c r="K74" i="9"/>
  <c r="L74" i="9" s="1"/>
  <c r="G74" i="9"/>
  <c r="H74" i="9" s="1"/>
  <c r="L66" i="12"/>
  <c r="G70" i="3"/>
  <c r="H70" i="3" s="1"/>
  <c r="I65" i="7"/>
  <c r="J65" i="7" s="1"/>
  <c r="G44" i="3"/>
  <c r="H44" i="3" s="1"/>
  <c r="J52" i="9"/>
  <c r="I65" i="9"/>
  <c r="J65" i="9" s="1"/>
  <c r="G46" i="9"/>
  <c r="H46" i="9" s="1"/>
  <c r="H43" i="9"/>
  <c r="J61" i="3"/>
  <c r="N49" i="3"/>
  <c r="M61" i="3"/>
  <c r="N61" i="3" s="1"/>
  <c r="M65" i="7" l="1"/>
  <c r="N65" i="7" s="1"/>
  <c r="O65" i="9"/>
  <c r="P65" i="9" s="1"/>
  <c r="M65" i="8"/>
  <c r="N65" i="8" s="1"/>
  <c r="N52" i="8"/>
  <c r="K65" i="7"/>
  <c r="L65" i="7" s="1"/>
  <c r="L52" i="8"/>
  <c r="K65" i="8"/>
  <c r="L65" i="8" s="1"/>
  <c r="O65" i="7"/>
  <c r="P65" i="7" s="1"/>
  <c r="O65" i="8"/>
  <c r="P65" i="8" s="1"/>
  <c r="K65" i="9"/>
  <c r="L65" i="9" s="1"/>
  <c r="E69" i="4"/>
  <c r="F69" i="4" s="1"/>
  <c r="E68" i="4"/>
  <c r="F68" i="4" s="1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E72" i="6"/>
  <c r="D7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69" i="6"/>
  <c r="E69" i="6"/>
  <c r="D70" i="6"/>
  <c r="E70" i="6"/>
  <c r="D71" i="6"/>
  <c r="D73" i="6"/>
  <c r="E7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H53" i="5" s="1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Q11" i="5"/>
  <c r="H52" i="5" s="1"/>
  <c r="Q10" i="5"/>
  <c r="H51" i="5" s="1"/>
  <c r="Q9" i="5"/>
  <c r="H50" i="5" s="1"/>
  <c r="G68" i="4" l="1"/>
  <c r="H68" i="4" s="1"/>
  <c r="G70" i="6"/>
  <c r="H70" i="6" s="1"/>
  <c r="I70" i="6"/>
  <c r="J70" i="6" s="1"/>
  <c r="K70" i="6"/>
  <c r="L70" i="6" s="1"/>
  <c r="G69" i="6"/>
  <c r="I69" i="6"/>
  <c r="K69" i="6"/>
  <c r="G72" i="6"/>
  <c r="H72" i="6" s="1"/>
  <c r="I72" i="6"/>
  <c r="J72" i="6" s="1"/>
  <c r="K72" i="6"/>
  <c r="L72" i="6" s="1"/>
  <c r="G73" i="6"/>
  <c r="H73" i="6" s="1"/>
  <c r="I73" i="6"/>
  <c r="J73" i="6" s="1"/>
  <c r="K73" i="6"/>
  <c r="L73" i="6" s="1"/>
  <c r="D46" i="6"/>
  <c r="G45" i="6"/>
  <c r="H45" i="6" s="1"/>
  <c r="I45" i="6"/>
  <c r="J45" i="6" s="1"/>
  <c r="K45" i="6"/>
  <c r="L45" i="6" s="1"/>
  <c r="I54" i="4"/>
  <c r="J54" i="4" s="1"/>
  <c r="I58" i="4"/>
  <c r="J58" i="4" s="1"/>
  <c r="E67" i="5"/>
  <c r="E70" i="5" s="1"/>
  <c r="E67" i="4"/>
  <c r="F67" i="4" s="1"/>
  <c r="E43" i="5"/>
  <c r="G43" i="5" s="1"/>
  <c r="H43" i="5" s="1"/>
  <c r="E41" i="4"/>
  <c r="F41" i="4" s="1"/>
  <c r="G66" i="4"/>
  <c r="H66" i="4" s="1"/>
  <c r="G50" i="4"/>
  <c r="I50" i="4" s="1"/>
  <c r="J50" i="4" s="1"/>
  <c r="I58" i="6"/>
  <c r="E65" i="6"/>
  <c r="D65" i="6"/>
  <c r="G65" i="6"/>
  <c r="E43" i="6" s="1"/>
  <c r="H65" i="6"/>
  <c r="F58" i="6"/>
  <c r="F52" i="6"/>
  <c r="F73" i="6"/>
  <c r="K58" i="4"/>
  <c r="E41" i="5"/>
  <c r="G41" i="5" s="1"/>
  <c r="E43" i="4"/>
  <c r="I56" i="4"/>
  <c r="J56" i="4" s="1"/>
  <c r="G69" i="4"/>
  <c r="H69" i="4" s="1"/>
  <c r="F69" i="6"/>
  <c r="F70" i="6"/>
  <c r="F62" i="6"/>
  <c r="F61" i="6"/>
  <c r="F56" i="6"/>
  <c r="E71" i="6"/>
  <c r="F71" i="6" s="1"/>
  <c r="I51" i="4"/>
  <c r="J51" i="4" s="1"/>
  <c r="K55" i="4"/>
  <c r="I55" i="4"/>
  <c r="J55" i="4" s="1"/>
  <c r="I59" i="4"/>
  <c r="J59" i="4" s="1"/>
  <c r="K60" i="4"/>
  <c r="I60" i="4"/>
  <c r="J60" i="4" s="1"/>
  <c r="K57" i="4"/>
  <c r="I57" i="4"/>
  <c r="J57" i="4" s="1"/>
  <c r="H65" i="4"/>
  <c r="H61" i="4"/>
  <c r="L49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F51" i="6"/>
  <c r="F72" i="6"/>
  <c r="F64" i="6"/>
  <c r="F57" i="6"/>
  <c r="I61" i="6"/>
  <c r="I64" i="6"/>
  <c r="I51" i="6"/>
  <c r="I63" i="6"/>
  <c r="I62" i="6"/>
  <c r="I55" i="6"/>
  <c r="I54" i="6"/>
  <c r="I60" i="6"/>
  <c r="E44" i="6"/>
  <c r="I56" i="6"/>
  <c r="F45" i="6"/>
  <c r="I57" i="6"/>
  <c r="D74" i="6"/>
  <c r="F63" i="6"/>
  <c r="F54" i="6"/>
  <c r="I52" i="6"/>
  <c r="F60" i="6"/>
  <c r="E42" i="5"/>
  <c r="D70" i="5"/>
  <c r="I57" i="5"/>
  <c r="L57" i="5"/>
  <c r="F58" i="5"/>
  <c r="K59" i="5"/>
  <c r="F69" i="5"/>
  <c r="L52" i="5"/>
  <c r="L60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G41" i="4" l="1"/>
  <c r="K71" i="6"/>
  <c r="L71" i="6" s="1"/>
  <c r="I71" i="6"/>
  <c r="J71" i="6" s="1"/>
  <c r="M56" i="4"/>
  <c r="N56" i="4" s="1"/>
  <c r="M54" i="4"/>
  <c r="N54" i="4" s="1"/>
  <c r="F43" i="5"/>
  <c r="G71" i="6"/>
  <c r="H71" i="6" s="1"/>
  <c r="E70" i="4"/>
  <c r="F70" i="4" s="1"/>
  <c r="K63" i="6"/>
  <c r="L63" i="6" s="1"/>
  <c r="M63" i="6"/>
  <c r="N63" i="6" s="1"/>
  <c r="O63" i="6"/>
  <c r="P63" i="6" s="1"/>
  <c r="K58" i="6"/>
  <c r="L58" i="6" s="1"/>
  <c r="M58" i="6"/>
  <c r="N58" i="6" s="1"/>
  <c r="O58" i="6"/>
  <c r="P58" i="6" s="1"/>
  <c r="M56" i="6"/>
  <c r="N56" i="6" s="1"/>
  <c r="O56" i="6"/>
  <c r="P56" i="6" s="1"/>
  <c r="K56" i="6"/>
  <c r="L56" i="6" s="1"/>
  <c r="M58" i="4"/>
  <c r="N58" i="4" s="1"/>
  <c r="O61" i="6"/>
  <c r="P61" i="6" s="1"/>
  <c r="K61" i="6"/>
  <c r="L61" i="6" s="1"/>
  <c r="M61" i="6"/>
  <c r="N61" i="6" s="1"/>
  <c r="K60" i="6"/>
  <c r="L60" i="6" s="1"/>
  <c r="M60" i="6"/>
  <c r="N60" i="6" s="1"/>
  <c r="O60" i="6"/>
  <c r="P60" i="6" s="1"/>
  <c r="G44" i="6"/>
  <c r="H44" i="6" s="1"/>
  <c r="I44" i="6"/>
  <c r="J44" i="6" s="1"/>
  <c r="K44" i="6"/>
  <c r="L44" i="6" s="1"/>
  <c r="K62" i="6"/>
  <c r="L62" i="6" s="1"/>
  <c r="M62" i="6"/>
  <c r="N62" i="6" s="1"/>
  <c r="O62" i="6"/>
  <c r="P62" i="6" s="1"/>
  <c r="K74" i="6"/>
  <c r="L74" i="6" s="1"/>
  <c r="L69" i="6"/>
  <c r="J69" i="6"/>
  <c r="K54" i="6"/>
  <c r="L54" i="6" s="1"/>
  <c r="M54" i="6"/>
  <c r="N54" i="6" s="1"/>
  <c r="O54" i="6"/>
  <c r="P54" i="6" s="1"/>
  <c r="M64" i="6"/>
  <c r="N64" i="6" s="1"/>
  <c r="O64" i="6"/>
  <c r="P64" i="6" s="1"/>
  <c r="K64" i="6"/>
  <c r="L64" i="6" s="1"/>
  <c r="K52" i="6"/>
  <c r="L52" i="6" s="1"/>
  <c r="M52" i="6"/>
  <c r="N52" i="6" s="1"/>
  <c r="O52" i="6"/>
  <c r="P52" i="6" s="1"/>
  <c r="H69" i="6"/>
  <c r="K51" i="6"/>
  <c r="M51" i="6"/>
  <c r="O51" i="6"/>
  <c r="K57" i="6"/>
  <c r="L57" i="6" s="1"/>
  <c r="M57" i="6"/>
  <c r="N57" i="6" s="1"/>
  <c r="O57" i="6"/>
  <c r="P57" i="6" s="1"/>
  <c r="K55" i="6"/>
  <c r="L55" i="6" s="1"/>
  <c r="M55" i="6"/>
  <c r="N55" i="6" s="1"/>
  <c r="O55" i="6"/>
  <c r="P55" i="6" s="1"/>
  <c r="G43" i="6"/>
  <c r="I43" i="6"/>
  <c r="K43" i="6"/>
  <c r="G67" i="4"/>
  <c r="H67" i="4" s="1"/>
  <c r="M50" i="4"/>
  <c r="N50" i="4" s="1"/>
  <c r="L61" i="4"/>
  <c r="G61" i="4"/>
  <c r="M60" i="4"/>
  <c r="N60" i="4" s="1"/>
  <c r="E44" i="5"/>
  <c r="F44" i="5" s="1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I65" i="6"/>
  <c r="F65" i="6"/>
  <c r="J58" i="6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M52" i="4"/>
  <c r="N52" i="4" s="1"/>
  <c r="I61" i="4"/>
  <c r="J49" i="4"/>
  <c r="M49" i="4"/>
  <c r="F61" i="4"/>
  <c r="M57" i="4"/>
  <c r="N57" i="4" s="1"/>
  <c r="J61" i="6"/>
  <c r="J63" i="6"/>
  <c r="F44" i="6"/>
  <c r="F43" i="6"/>
  <c r="J54" i="6"/>
  <c r="E74" i="6"/>
  <c r="F7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G70" i="4" l="1"/>
  <c r="H70" i="4" s="1"/>
  <c r="I74" i="6"/>
  <c r="J74" i="6" s="1"/>
  <c r="G74" i="6"/>
  <c r="H74" i="6" s="1"/>
  <c r="I46" i="6"/>
  <c r="J46" i="6" s="1"/>
  <c r="J43" i="6"/>
  <c r="O65" i="6"/>
  <c r="P65" i="6" s="1"/>
  <c r="P51" i="6"/>
  <c r="M65" i="6"/>
  <c r="N65" i="6" s="1"/>
  <c r="N51" i="6"/>
  <c r="G46" i="6"/>
  <c r="H46" i="6" s="1"/>
  <c r="H43" i="6"/>
  <c r="K65" i="6"/>
  <c r="L65" i="6" s="1"/>
  <c r="L51" i="6"/>
  <c r="K46" i="6"/>
  <c r="L46" i="6" s="1"/>
  <c r="L43" i="6"/>
  <c r="J65" i="6"/>
  <c r="J61" i="4"/>
  <c r="G44" i="4"/>
  <c r="H44" i="4" s="1"/>
  <c r="N49" i="4"/>
  <c r="M61" i="4"/>
  <c r="N61" i="4" s="1"/>
  <c r="G44" i="5"/>
  <c r="H44" i="5" s="1"/>
  <c r="G70" i="5"/>
  <c r="H70" i="5" s="1"/>
  <c r="M61" i="5"/>
  <c r="N61" i="5" s="1"/>
  <c r="J49" i="5"/>
  <c r="I61" i="5"/>
  <c r="J61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H41" authorId="0" shapeId="0" xr:uid="{00000000-0006-0000-0800-000001000000}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 xr:uid="{00000000-0006-0000-0800-000002000000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C3" authorId="0" shapeId="0" xr:uid="{00000000-0006-0000-0900-000001000000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 xr:uid="{00000000-0006-0000-0900-000002000000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 xr:uid="{00000000-0006-0000-0900-000003000000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 xr:uid="{00000000-0006-0000-0900-000004000000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<sst xmlns="http://schemas.openxmlformats.org/spreadsheetml/2006/main" count="1952" uniqueCount="217">
  <si>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</si>
  <si>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</si>
  <si>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</si>
  <si>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</si>
  <si>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</si>
  <si>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</si>
  <si>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</si>
  <si>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</si>
  <si>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</si>
  <si>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</si>
  <si>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</si>
  <si>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</si>
  <si>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</si>
  <si>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</si>
  <si>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</si>
  <si>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</si>
  <si>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</si>
  <si>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</si>
  <si>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</si>
  <si>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</si>
  <si>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</si>
  <si>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</si>
  <si>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</si>
  <si>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</si>
  <si>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</si>
  <si>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</si>
  <si>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</si>
  <si>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</si>
  <si>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</si>
  <si>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</si>
  <si>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</si>
  <si>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</si>
  <si>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</si>
  <si>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</si>
  <si>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</si>
  <si>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</si>
  <si>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</si>
  <si>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</si>
  <si>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</si>
  <si>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</si>
  <si>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</si>
  <si>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</si>
  <si>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</si>
  <si>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</si>
  <si>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</si>
  <si>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</si>
  <si>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</si>
  <si>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</si>
  <si>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</si>
  <si>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</si>
  <si>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</si>
  <si>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</si>
  <si>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</si>
  <si>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</si>
  <si>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</si>
  <si>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</si>
  <si>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</si>
  <si>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</si>
  <si>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</si>
  <si>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</si>
  <si>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</si>
  <si>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</si>
  <si>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</si>
  <si>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</si>
  <si>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</si>
  <si>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</si>
  <si>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</si>
  <si>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</si>
  <si>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</si>
  <si>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</si>
  <si>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</si>
  <si>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</si>
  <si>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</si>
  <si>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</si>
  <si>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</si>
  <si>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</si>
  <si>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</si>
  <si>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</si>
  <si>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</si>
  <si>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</si>
  <si>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</si>
  <si>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</si>
  <si>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</si>
  <si>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</si>
  <si>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</si>
  <si>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</si>
  <si>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</si>
  <si>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</si>
  <si>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</si>
  <si>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</si>
  <si>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</si>
  <si>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</si>
  <si>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</si>
  <si>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</si>
  <si>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</si>
  <si>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</si>
  <si>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</si>
  <si>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</si>
  <si>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</si>
  <si>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</si>
  <si>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</si>
  <si>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</si>
  <si>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</si>
  <si>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</si>
  <si>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</si>
  <si>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</si>
  <si>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</si>
  <si>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</si>
  <si>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</si>
  <si>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</si>
  <si>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</si>
  <si>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</si>
  <si>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</si>
  <si>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</si>
  <si>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</si>
  <si>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</si>
  <si>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</si>
  <si>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</si>
  <si>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</si>
  <si>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</si>
  <si>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</si>
  <si>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</si>
  <si>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</si>
  <si>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</si>
  <si>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</si>
  <si>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</si>
  <si>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</si>
  <si>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</si>
  <si>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</si>
  <si>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</si>
  <si>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</si>
  <si>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</si>
  <si>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</si>
  <si>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</si>
  <si>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</si>
  <si>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</si>
  <si>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</si>
  <si>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</si>
  <si>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</si>
  <si>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</si>
  <si>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</si>
  <si>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</si>
  <si>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</si>
  <si>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</si>
  <si>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</si>
  <si>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</si>
  <si>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</si>
  <si>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</si>
  <si>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</si>
  <si>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</si>
  <si>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</si>
  <si>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</si>
  <si>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</si>
  <si>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</si>
  <si>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</si>
  <si>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</si>
  <si>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</si>
  <si>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</si>
  <si>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</si>
  <si>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</si>
  <si>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</si>
  <si>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</si>
  <si>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</si>
  <si>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</si>
  <si>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</si>
  <si>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</si>
  <si>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</si>
  <si>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</si>
  <si>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</si>
  <si>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</si>
  <si>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</si>
  <si>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</si>
  <si>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</si>
  <si>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</si>
  <si>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</si>
  <si>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</si>
  <si>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</si>
  <si>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</si>
  <si>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</si>
  <si>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</si>
  <si>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</si>
  <si>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</si>
  <si>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</si>
  <si>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</si>
  <si>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</si>
  <si>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</si>
  <si>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</si>
  <si>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</si>
  <si>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</si>
  <si>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</si>
  <si>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</si>
  <si>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</si>
  <si>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</si>
  <si>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</si>
  <si>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</si>
  <si>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</si>
  <si>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</si>
  <si>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</si>
  <si>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</si>
  <si>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</si>
  <si>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</si>
  <si>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</si>
  <si>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</si>
  <si>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</si>
  <si>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</si>
  <si>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</si>
  <si>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</si>
  <si>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</si>
  <si>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</si>
  <si>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</si>
  <si>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</si>
  <si>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</si>
  <si>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</si>
  <si>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</si>
  <si>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Eka/Wahyu</t>
  </si>
  <si>
    <t>FOOD, BEVERAGES &amp; BAKERY</t>
  </si>
  <si>
    <t>DATA PENCAPAIAN — GLOBAL — 19 AGUSTUS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</si>
</sst>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(* #,##0_);_(* \(#,##0\);_(* &quot;-&quot;_);_(@_)"/>
    <numFmt numFmtId="165" formatCode="#,##0.#0"/>
    <numFmt numFmtId="166" formatCode="_ * #,##0_ ;_ * \-#,##0_ ;_ * &quot;-&quot;??_ ;_ @_ 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3">
    <xf numFmtId="0" fontId="0" fillId="0" borderId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</cellStyleXfs>
  <cellXfs count="294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5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164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164" fontId="12" fillId="2" borderId="0" xfId="0" applyNumberFormat="1" applyFont="1" applyFill="1" applyAlignment="1">
      <alignment horizontal="centerContinuous" vertical="center"/>
    </xf>
    <xf numFmtId="164" fontId="0" fillId="0" borderId="0" xfId="0" applyNumberFormat="1"/>
    <xf numFmtId="164" fontId="29" fillId="15" borderId="1" xfId="0" applyNumberFormat="1" applyFont="1" applyFill="1" applyBorder="1" applyAlignment="1">
      <alignment horizontal="centerContinuous" vertical="center" wrapText="1"/>
    </xf>
    <xf numFmtId="164" fontId="29" fillId="22" borderId="1" xfId="0" applyNumberFormat="1" applyFont="1" applyFill="1" applyBorder="1" applyAlignment="1">
      <alignment horizontal="center" vertical="center" wrapText="1"/>
    </xf>
    <xf numFmtId="164" fontId="26" fillId="24" borderId="1" xfId="0" applyNumberFormat="1" applyFont="1" applyFill="1" applyBorder="1" applyAlignment="1">
      <alignment horizontal="right" vertical="center"/>
    </xf>
    <xf numFmtId="164" fontId="22" fillId="16" borderId="1" xfId="0" applyNumberFormat="1" applyFont="1" applyFill="1" applyBorder="1" applyAlignment="1">
      <alignment horizontal="right" vertical="center"/>
    </xf>
    <xf numFmtId="164" fontId="26" fillId="12" borderId="1" xfId="0" applyNumberFormat="1" applyFont="1" applyFill="1" applyBorder="1" applyAlignment="1">
      <alignment horizontal="right" vertical="center"/>
    </xf>
    <xf numFmtId="164" fontId="26" fillId="10" borderId="1" xfId="0" applyNumberFormat="1" applyFont="1" applyFill="1" applyBorder="1" applyAlignment="1">
      <alignment horizontal="right" vertical="center"/>
    </xf>
    <xf numFmtId="164" fontId="26" fillId="12" borderId="1" xfId="0" applyNumberFormat="1" applyFont="1" applyFill="1" applyBorder="1" applyAlignment="1">
      <alignment horizontal="center" vertical="center"/>
    </xf>
    <xf numFmtId="164" fontId="26" fillId="10" borderId="1" xfId="0" applyNumberFormat="1" applyFont="1" applyFill="1" applyBorder="1" applyAlignment="1">
      <alignment horizontal="center" vertical="center"/>
    </xf>
    <xf numFmtId="164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164" fontId="26" fillId="27" borderId="1" xfId="0" applyNumberFormat="1" applyFont="1" applyFill="1" applyBorder="1" applyAlignment="1">
      <alignment horizontal="center" vertical="center"/>
    </xf>
    <xf numFmtId="164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164" fontId="22" fillId="26" borderId="1" xfId="0" applyNumberFormat="1" applyFont="1" applyFill="1" applyBorder="1" applyAlignment="1">
      <alignment horizontal="center" vertical="center"/>
    </xf>
    <xf numFmtId="164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164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164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164" fontId="36" fillId="22" borderId="1" xfId="0" applyNumberFormat="1" applyFont="1" applyFill="1" applyBorder="1" applyAlignment="1">
      <alignment horizontal="center" vertical="center" wrapText="1"/>
    </xf>
    <xf numFmtId="164" fontId="38" fillId="12" borderId="1" xfId="0" applyNumberFormat="1" applyFont="1" applyFill="1" applyBorder="1" applyAlignment="1">
      <alignment horizontal="center" vertical="center"/>
    </xf>
    <xf numFmtId="164" fontId="38" fillId="24" borderId="1" xfId="0" applyNumberFormat="1" applyFont="1" applyFill="1" applyBorder="1" applyAlignment="1">
      <alignment horizontal="right" vertical="center"/>
    </xf>
    <xf numFmtId="164" fontId="38" fillId="10" borderId="1" xfId="0" applyNumberFormat="1" applyFont="1" applyFill="1" applyBorder="1" applyAlignment="1">
      <alignment horizontal="center" vertical="center"/>
    </xf>
    <xf numFmtId="164" fontId="38" fillId="30" borderId="1" xfId="0" applyNumberFormat="1" applyFont="1" applyFill="1" applyBorder="1" applyAlignment="1">
      <alignment horizontal="center" vertical="center"/>
    </xf>
    <xf numFmtId="164" fontId="33" fillId="26" borderId="1" xfId="0" applyNumberFormat="1" applyFont="1" applyFill="1" applyBorder="1" applyAlignment="1">
      <alignment horizontal="center" vertical="center"/>
    </xf>
    <xf numFmtId="164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164" fontId="38" fillId="27" borderId="1" xfId="0" applyNumberFormat="1" applyFont="1" applyFill="1" applyBorder="1" applyAlignment="1">
      <alignment horizontal="center" vertical="center"/>
    </xf>
    <xf numFmtId="164" fontId="38" fillId="28" borderId="1" xfId="0" applyNumberFormat="1" applyFont="1" applyFill="1" applyBorder="1" applyAlignment="1">
      <alignment horizontal="center" vertical="center"/>
    </xf>
    <xf numFmtId="164" fontId="33" fillId="16" borderId="1" xfId="0" applyNumberFormat="1" applyFont="1" applyFill="1" applyBorder="1" applyAlignment="1">
      <alignment horizontal="center" vertical="center"/>
    </xf>
    <xf numFmtId="164" fontId="38" fillId="12" borderId="1" xfId="0" applyNumberFormat="1" applyFont="1" applyFill="1" applyBorder="1" applyAlignment="1">
      <alignment horizontal="right" vertical="center"/>
    </xf>
    <xf numFmtId="164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164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164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164" fontId="26" fillId="31" borderId="1" xfId="0" applyNumberFormat="1" applyFont="1" applyFill="1" applyBorder="1" applyAlignment="1">
      <alignment horizontal="right" vertical="center"/>
    </xf>
    <xf numFmtId="164" fontId="26" fillId="31" borderId="1" xfId="0" applyNumberFormat="1" applyFont="1" applyFill="1" applyBorder="1" applyAlignment="1">
      <alignment horizontal="center" vertical="center"/>
    </xf>
    <xf numFmtId="165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164" fontId="47" fillId="35" borderId="4" xfId="0" applyNumberFormat="1" applyFont="1" applyFill="1" applyBorder="1" applyAlignment="1">
      <alignment horizontal="center" vertical="center" wrapText="1"/>
    </xf>
    <xf numFmtId="164" fontId="26" fillId="36" borderId="4" xfId="0" applyNumberFormat="1" applyFont="1" applyFill="1" applyBorder="1" applyAlignment="1">
      <alignment horizontal="right" vertical="center"/>
    </xf>
    <xf numFmtId="164" fontId="22" fillId="26" borderId="4" xfId="0" applyNumberFormat="1" applyFont="1" applyFill="1" applyBorder="1" applyAlignment="1">
      <alignment horizontal="right" vertical="center"/>
    </xf>
    <xf numFmtId="164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164" fontId="26" fillId="34" borderId="4" xfId="0" applyNumberFormat="1" applyFont="1" applyFill="1" applyBorder="1" applyAlignment="1">
      <alignment horizontal="right" vertical="center"/>
    </xf>
    <xf numFmtId="164" fontId="0" fillId="32" borderId="4" xfId="0" applyNumberFormat="1" applyFill="1" applyBorder="1" applyAlignment="1">
      <alignment horizontal="right"/>
    </xf>
    <xf numFmtId="164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164" fontId="26" fillId="34" borderId="13" xfId="0" applyNumberFormat="1" applyFont="1" applyFill="1" applyBorder="1" applyAlignment="1">
      <alignment horizontal="right" vertical="center"/>
    </xf>
    <xf numFmtId="164" fontId="26" fillId="36" borderId="13" xfId="0" applyNumberFormat="1" applyFont="1" applyFill="1" applyBorder="1" applyAlignment="1">
      <alignment horizontal="right" vertical="center"/>
    </xf>
    <xf numFmtId="164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164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164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164" fontId="37" fillId="34" borderId="4" xfId="0" applyNumberFormat="1" applyFont="1" applyFill="1" applyBorder="1" applyAlignment="1">
      <alignment horizontal="right" vertical="center"/>
    </xf>
    <xf numFmtId="164" fontId="35" fillId="36" borderId="4" xfId="0" applyNumberFormat="1" applyFont="1" applyFill="1" applyBorder="1" applyAlignment="1">
      <alignment horizontal="right"/>
    </xf>
    <xf numFmtId="164" fontId="35" fillId="32" borderId="4" xfId="0" applyNumberFormat="1" applyFont="1" applyFill="1" applyBorder="1" applyAlignment="1">
      <alignment horizontal="right"/>
    </xf>
    <xf numFmtId="164" fontId="34" fillId="26" borderId="4" xfId="0" applyNumberFormat="1" applyFont="1" applyFill="1" applyBorder="1" applyAlignment="1">
      <alignment horizontal="right" vertical="center"/>
    </xf>
    <xf numFmtId="164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164" fontId="37" fillId="36" borderId="4" xfId="0" applyNumberFormat="1" applyFont="1" applyFill="1" applyBorder="1" applyAlignment="1">
      <alignment horizontal="right" vertical="center"/>
    </xf>
    <xf numFmtId="164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164" fontId="54" fillId="2" borderId="0" xfId="0" applyNumberFormat="1" applyFont="1" applyFill="1" applyAlignment="1">
      <alignment horizontal="centerContinuous" vertical="center"/>
    </xf>
    <xf numFmtId="164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164" fontId="49" fillId="33" borderId="13" xfId="0" applyNumberFormat="1" applyFont="1" applyFill="1" applyBorder="1" applyAlignment="1">
      <alignment horizontal="center" vertical="center" wrapText="1"/>
    </xf>
    <xf numFmtId="164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164" fontId="47" fillId="33" borderId="13" xfId="0" applyNumberFormat="1" applyFont="1" applyFill="1" applyBorder="1" applyAlignment="1">
      <alignment horizontal="center" vertical="center" wrapText="1"/>
    </xf>
    <xf numFmtId="164" fontId="47" fillId="35" borderId="13" xfId="0" applyNumberFormat="1" applyFont="1" applyFill="1" applyBorder="1" applyAlignment="1">
      <alignment horizontal="center" vertical="center" wrapText="1"/>
    </xf>
    <xf numFmtId="166" fontId="0" fillId="0" borderId="4" xfId="2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164" fontId="29" fillId="15" borderId="2" xfId="0" applyNumberFormat="1" applyFont="1" applyFill="1" applyBorder="1" applyAlignment="1">
      <alignment horizontal="center" vertical="center" wrapText="1"/>
    </xf>
    <xf numFmtId="164" fontId="29" fillId="15" borderId="6" xfId="0" applyNumberFormat="1" applyFont="1" applyFill="1" applyBorder="1" applyAlignment="1">
      <alignment horizontal="center" vertical="center" wrapText="1"/>
    </xf>
    <xf numFmtId="164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microsoft.com/office/2017/10/relationships/person" Target="persons/person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19"/>
  <sheetViews>
    <sheetView showGridLines="0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5" t="s">
        <v>0</v>
      </c>
      <c r="C1" s="235"/>
    </row>
    <row r="3" spans="2:3" x14ac:dyDescent="0.25">
      <c r="B3" s="236" t="s">
        <v>1</v>
      </c>
      <c r="C3" s="236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37" t="s">
        <v>14</v>
      </c>
      <c r="C11" s="237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212</v>
      </c>
      <c r="C19" s="2" t="s">
        <v>213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AM29"/>
  <sheetViews>
    <sheetView showGridLines="0" topLeftCell="T3" zoomScale="167" zoomScaleNormal="110" workbookViewId="0">
      <selection activeCell="R5" sqref="R5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4" width="10.140625" customWidth="1"/>
    <col min="5" max="6" width="9.85546875" customWidth="1"/>
    <col min="7" max="7" width="8.85546875" customWidth="1"/>
    <col min="8" max="8" width="9.42578125" customWidth="1"/>
    <col min="9" max="9" width="9.85546875" customWidth="1"/>
    <col min="10" max="10" width="8.85546875" customWidth="1"/>
    <col min="11" max="11" width="8.42578125" customWidth="1"/>
    <col min="12" max="12" width="9.85546875" customWidth="1"/>
    <col min="13" max="13" width="8.42578125" customWidth="1"/>
    <col min="14" max="14" width="9.42578125" customWidth="1"/>
    <col min="15" max="15" width="9.85546875" customWidth="1"/>
    <col min="16" max="17" width="10.85546875" customWidth="1"/>
    <col min="18" max="18" width="9.85546875" customWidth="1"/>
    <col min="19" max="19" width="11.42578125" bestFit="1" customWidth="1"/>
    <col min="20" max="20" width="11.140625" bestFit="1" customWidth="1"/>
    <col min="21" max="21" width="9.85546875" customWidth="1"/>
    <col min="22" max="22" width="12.7109375" bestFit="1" customWidth="1"/>
    <col min="23" max="23" width="11.140625" bestFit="1" customWidth="1"/>
    <col min="24" max="24" width="9.85546875" customWidth="1"/>
    <col min="25" max="25" width="11.28515625" bestFit="1" customWidth="1"/>
    <col min="26" max="26" width="11.140625" bestFit="1" customWidth="1"/>
    <col min="27" max="27" width="9.85546875" customWidth="1"/>
    <col min="28" max="29" width="8.85546875" bestFit="1" customWidth="1"/>
    <col min="30" max="30" width="9.85546875" customWidth="1"/>
    <col min="31" max="32" width="8.85546875" bestFit="1" customWidth="1"/>
    <col min="33" max="33" width="9.85546875" customWidth="1"/>
    <col min="36" max="36" width="9.85546875" customWidth="1"/>
    <col min="39" max="39" width="9.85546875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36" t="s">
        <v>28</v>
      </c>
      <c r="C3" s="236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197</v>
      </c>
      <c r="G4" s="4" t="s">
        <v>45</v>
      </c>
      <c r="H4" s="4" t="s">
        <v>46</v>
      </c>
      <c r="I4" s="4" t="s">
        <v>198</v>
      </c>
      <c r="J4" s="4" t="s">
        <v>47</v>
      </c>
      <c r="K4" s="4" t="s">
        <v>48</v>
      </c>
      <c r="L4" s="4" t="s">
        <v>199</v>
      </c>
      <c r="M4" s="4" t="s">
        <v>49</v>
      </c>
      <c r="N4" s="4" t="s">
        <v>50</v>
      </c>
      <c r="O4" s="4" t="s">
        <v>200</v>
      </c>
      <c r="P4" s="4" t="s">
        <v>51</v>
      </c>
      <c r="Q4" s="4" t="s">
        <v>52</v>
      </c>
      <c r="R4" s="4" t="s">
        <v>201</v>
      </c>
      <c r="S4" s="4" t="s">
        <v>53</v>
      </c>
      <c r="T4" s="4" t="s">
        <v>54</v>
      </c>
      <c r="U4" s="4" t="s">
        <v>202</v>
      </c>
      <c r="V4" s="4" t="s">
        <v>55</v>
      </c>
      <c r="W4" s="4" t="s">
        <v>56</v>
      </c>
      <c r="X4" s="4" t="s">
        <v>203</v>
      </c>
      <c r="Y4" s="4" t="s">
        <v>57</v>
      </c>
      <c r="Z4" s="4" t="s">
        <v>58</v>
      </c>
      <c r="AA4" s="4" t="s">
        <v>204</v>
      </c>
      <c r="AB4" s="4" t="s">
        <v>59</v>
      </c>
      <c r="AC4" s="4" t="s">
        <v>60</v>
      </c>
      <c r="AD4" s="4" t="s">
        <v>205</v>
      </c>
      <c r="AE4" s="4" t="s">
        <v>61</v>
      </c>
      <c r="AF4" s="4" t="s">
        <v>62</v>
      </c>
      <c r="AG4" s="4" t="s">
        <v>206</v>
      </c>
      <c r="AH4" s="4" t="s">
        <v>63</v>
      </c>
      <c r="AI4" s="4" t="s">
        <v>64</v>
      </c>
      <c r="AJ4" s="4" t="s">
        <v>207</v>
      </c>
      <c r="AK4" s="4" t="s">
        <v>65</v>
      </c>
      <c r="AL4" s="4" t="s">
        <v>66</v>
      </c>
      <c r="AM4" s="4" t="s">
        <v>208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173</v>
      </c>
      <c r="C7" s="129" t="s">
        <v>174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/>
      <c r="AC7" s="7"/>
      <c r="AD7" s="7">
        <v>0</v>
      </c>
      <c r="AE7" s="7"/>
      <c r="AF7" s="7"/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182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99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0</v>
      </c>
      <c r="AC11" s="7">
        <v>0</v>
      </c>
      <c r="AD11" s="7">
        <v>0</v>
      </c>
      <c r="AE11" s="7">
        <v>0</v>
      </c>
      <c r="AF11" s="7">
        <v>0</v>
      </c>
      <c r="AG11" s="7">
        <v>0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0</v>
      </c>
      <c r="AC12" s="7">
        <v>0</v>
      </c>
      <c r="AD12" s="7">
        <v>0</v>
      </c>
      <c r="AE12" s="7">
        <v>0</v>
      </c>
      <c r="AF12" s="7">
        <v>0</v>
      </c>
      <c r="AG12" s="7">
        <v>0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173</v>
      </c>
      <c r="C13" s="129" t="s">
        <v>175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/>
      <c r="AC13" s="7"/>
      <c r="AD13" s="7">
        <v>0</v>
      </c>
      <c r="AE13" s="7"/>
      <c r="AF13" s="7"/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81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0</v>
      </c>
      <c r="AC14" s="7">
        <v>0</v>
      </c>
      <c r="AD14" s="7">
        <v>0</v>
      </c>
      <c r="AE14" s="7">
        <v>0</v>
      </c>
      <c r="AF14" s="7">
        <v>0</v>
      </c>
      <c r="AG14" s="7">
        <v>0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0</v>
      </c>
      <c r="AC15" s="7">
        <v>0</v>
      </c>
      <c r="AD15" s="7">
        <v>0</v>
      </c>
      <c r="AE15" s="7">
        <v>0</v>
      </c>
      <c r="AF15" s="7">
        <v>0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0</v>
      </c>
      <c r="AC16" s="7">
        <v>0</v>
      </c>
      <c r="AD16" s="7">
        <v>0</v>
      </c>
      <c r="AE16" s="7">
        <v>0</v>
      </c>
      <c r="AF16" s="7">
        <v>0</v>
      </c>
      <c r="AG16" s="7">
        <v>0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0</v>
      </c>
      <c r="AC17" s="7">
        <v>0</v>
      </c>
      <c r="AD17" s="7">
        <v>0</v>
      </c>
      <c r="AE17" s="7">
        <v>0</v>
      </c>
      <c r="AF17" s="7">
        <v>0</v>
      </c>
      <c r="AG17" s="7">
        <v>0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0</v>
      </c>
      <c r="AC18" s="7">
        <v>0</v>
      </c>
      <c r="AD18" s="7">
        <v>0</v>
      </c>
      <c r="AE18" s="7">
        <v>0</v>
      </c>
      <c r="AF18" s="7">
        <v>0</v>
      </c>
      <c r="AG18" s="7">
        <v>0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0</v>
      </c>
      <c r="M22" s="7">
        <v>0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0</v>
      </c>
      <c r="M23" s="7">
        <v>0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0</v>
      </c>
      <c r="M24" s="7">
        <v>0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38" t="s">
        <v>102</v>
      </c>
      <c r="C29" s="238"/>
      <c r="D29" s="238"/>
      <c r="E29" s="238"/>
      <c r="F29" s="238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70"/>
  <sheetViews>
    <sheetView showGridLines="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168</v>
      </c>
      <c r="C1" s="83"/>
      <c r="D1" s="83"/>
      <c r="E1" s="83"/>
      <c r="F1" s="83"/>
      <c r="G1" s="215" t="s">
        <v>192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193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194</v>
      </c>
      <c r="J3" s="218">
        <v>0</v>
      </c>
    </row>
    <row r="4" spans="2:17" x14ac:dyDescent="0.25">
      <c r="G4" s="216" t="s">
        <v>195</v>
      </c>
      <c r="J4" s="218">
        <v>0</v>
      </c>
    </row>
    <row r="5" spans="2:17" x14ac:dyDescent="0.25">
      <c r="G5" s="216" t="s">
        <v>196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168</v>
      </c>
      <c r="C1" s="83"/>
      <c r="D1" s="83"/>
      <c r="E1" s="83"/>
      <c r="F1" s="83"/>
      <c r="G1" s="215" t="s">
        <v>192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193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194</v>
      </c>
      <c r="J3" s="218">
        <v>0</v>
      </c>
    </row>
    <row r="4" spans="2:17" x14ac:dyDescent="0.25">
      <c r="G4" s="216" t="s">
        <v>195</v>
      </c>
      <c r="J4" s="218">
        <v>0</v>
      </c>
    </row>
    <row r="5" spans="2:17" x14ac:dyDescent="0.25">
      <c r="G5" s="216" t="s">
        <v>196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192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193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194</v>
      </c>
      <c r="J3" s="218">
        <v>0</v>
      </c>
    </row>
    <row r="4" spans="2:17" x14ac:dyDescent="0.25">
      <c r="G4" s="216" t="s">
        <v>195</v>
      </c>
      <c r="J4" s="218">
        <v>0</v>
      </c>
    </row>
    <row r="5" spans="2:17" x14ac:dyDescent="0.25">
      <c r="G5" s="216" t="s">
        <v>196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167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166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166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56" t="s">
        <v>145</v>
      </c>
      <c r="C44" s="257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58" t="s">
        <v>41</v>
      </c>
      <c r="C47" s="258" t="s">
        <v>42</v>
      </c>
      <c r="D47" s="253" t="s">
        <v>137</v>
      </c>
      <c r="E47" s="254"/>
      <c r="F47" s="255"/>
      <c r="G47" s="69" t="s">
        <v>138</v>
      </c>
      <c r="H47" s="69"/>
      <c r="I47" s="69"/>
      <c r="J47" s="258" t="s">
        <v>139</v>
      </c>
      <c r="K47" s="35" t="s">
        <v>147</v>
      </c>
      <c r="L47" s="35"/>
      <c r="M47" s="35"/>
      <c r="N47" s="252" t="s">
        <v>148</v>
      </c>
    </row>
    <row r="48" spans="2:17" ht="15.75" x14ac:dyDescent="0.25">
      <c r="B48" s="258"/>
      <c r="C48" s="258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58"/>
      <c r="K48" s="34" t="s">
        <v>142</v>
      </c>
      <c r="L48" s="34" t="s">
        <v>110</v>
      </c>
      <c r="M48" s="34" t="s">
        <v>145</v>
      </c>
      <c r="N48" s="252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49" t="s">
        <v>144</v>
      </c>
      <c r="C63" s="250"/>
      <c r="D63" s="250"/>
      <c r="E63" s="250"/>
      <c r="F63" s="250"/>
      <c r="G63" s="250"/>
      <c r="H63" s="251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94"/>
  <sheetViews>
    <sheetView showGridLines="0" topLeftCell="A2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193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194</v>
      </c>
      <c r="J3" s="218">
        <v>0</v>
      </c>
    </row>
    <row r="4" spans="2:14" x14ac:dyDescent="0.25">
      <c r="G4" s="221" t="s">
        <v>195</v>
      </c>
      <c r="J4" s="218">
        <v>0</v>
      </c>
    </row>
    <row r="5" spans="2:14" x14ac:dyDescent="0.25">
      <c r="G5" s="221" t="s">
        <v>196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169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166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166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166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166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170</v>
      </c>
      <c r="C22" s="15">
        <v>38884328.600000001</v>
      </c>
      <c r="D22" s="15" t="s">
        <v>166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171</v>
      </c>
      <c r="C23" s="15">
        <v>120550492.72</v>
      </c>
      <c r="D23" s="15" t="s">
        <v>166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166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186</v>
      </c>
    </row>
    <row r="41" spans="2:19" ht="27.95" customHeight="1" x14ac:dyDescent="0.25">
      <c r="B41" s="259" t="s">
        <v>179</v>
      </c>
      <c r="C41" s="260"/>
      <c r="D41" s="261"/>
      <c r="E41" s="66" t="s">
        <v>137</v>
      </c>
      <c r="F41" s="174">
        <v>1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56" t="s">
        <v>145</v>
      </c>
      <c r="C46" s="257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9" t="s">
        <v>187</v>
      </c>
      <c r="L48" s="270"/>
      <c r="M48" s="270"/>
      <c r="N48" s="270"/>
      <c r="O48" s="270"/>
      <c r="P48" s="271"/>
      <c r="Q48"/>
      <c r="R48"/>
    </row>
    <row r="49" spans="2:18" s="139" customFormat="1" ht="33.950000000000003" customHeight="1" x14ac:dyDescent="0.25">
      <c r="B49" s="267" t="s">
        <v>41</v>
      </c>
      <c r="C49" s="267" t="s">
        <v>42</v>
      </c>
      <c r="D49" s="264" t="s">
        <v>137</v>
      </c>
      <c r="E49" s="265"/>
      <c r="F49" s="266"/>
      <c r="G49" s="140" t="s">
        <v>138</v>
      </c>
      <c r="H49" s="140"/>
      <c r="I49" s="140"/>
      <c r="J49" s="264" t="s">
        <v>139</v>
      </c>
      <c r="K49" s="272" t="str">
        <f>"SELISIH"&amp;CHAR(10)&amp;TEXT($H$41,"0%")</f>
        <v>SELISIH
90%</v>
      </c>
      <c r="L49" s="272" t="str">
        <f>"PER HARI"&amp;CHAR(10)&amp;TEXT($H$41,"0%")</f>
        <v>PER HARI
90%</v>
      </c>
      <c r="M49" s="274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76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67"/>
      <c r="C50" s="267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64"/>
      <c r="K50" s="273"/>
      <c r="L50" s="273"/>
      <c r="M50" s="275"/>
      <c r="N50" s="188"/>
      <c r="O50" s="183"/>
      <c r="P50" s="277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173</v>
      </c>
      <c r="C53" s="154" t="s">
        <v>174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>M10</f>
        <v>537997275.46389103</v>
      </c>
      <c r="H54" s="144">
        <f t="shared" ref="H54:H58" si="9">N10</f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>M11</f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>M12</f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>M13</f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>M14</f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173</v>
      </c>
      <c r="C59" s="154" t="s">
        <v>175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>M15</f>
        <v>304137742.30899602</v>
      </c>
      <c r="H60" s="144">
        <f t="shared" ref="H60:H64" si="10">N15</f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>M16</f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>M17</f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>M18</f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>M19</f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 t="shared" ref="E65" si="11"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2">IFERROR(E69/D69,0)</f>
        <v>0.85985886378694742</v>
      </c>
      <c r="G69" s="207">
        <f>D69*$H$41-E69</f>
        <v>11215108.126728177</v>
      </c>
      <c r="H69" s="207">
        <f t="shared" ref="H69:H74" ca="1" si="13">IFERROR(G69/$C$3,0)</f>
        <v>0</v>
      </c>
      <c r="I69" s="208">
        <f>D69*$J$41-E69</f>
        <v>25184702.892560154</v>
      </c>
      <c r="J69" s="208">
        <f t="shared" ref="J69:J74" ca="1" si="14">IFERROR(I69/$C$3,0)</f>
        <v>0</v>
      </c>
      <c r="K69" s="209">
        <f>D69*$L$41-E69</f>
        <v>39154297.658392191</v>
      </c>
      <c r="L69" s="209">
        <f t="shared" ref="L69:L74" ca="1" si="15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2"/>
        <v>1.0722614884868884</v>
      </c>
      <c r="G70" s="207">
        <f>D70*$H$41-E70</f>
        <v>-72282980.673233986</v>
      </c>
      <c r="H70" s="207">
        <f t="shared" ca="1" si="13"/>
        <v>0</v>
      </c>
      <c r="I70" s="208">
        <f>D70*$J$41-E70</f>
        <v>-51302382.71481812</v>
      </c>
      <c r="J70" s="208">
        <f t="shared" ca="1" si="14"/>
        <v>0</v>
      </c>
      <c r="K70" s="209">
        <f>D70*$L$41-E70</f>
        <v>-30321784.756402135</v>
      </c>
      <c r="L70" s="209">
        <f t="shared" ca="1" si="15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2"/>
        <v>0.82118296091496634</v>
      </c>
      <c r="G71" s="207">
        <f>D71*$H$41-E71</f>
        <v>86106472.922168493</v>
      </c>
      <c r="H71" s="207">
        <f t="shared" ca="1" si="13"/>
        <v>0</v>
      </c>
      <c r="I71" s="208">
        <f>D71*$J$41-E71</f>
        <v>140730748.28302681</v>
      </c>
      <c r="J71" s="208">
        <f t="shared" ca="1" si="14"/>
        <v>0</v>
      </c>
      <c r="K71" s="209">
        <f>D71*$L$41-E71</f>
        <v>195355023.64388537</v>
      </c>
      <c r="L71" s="209">
        <f t="shared" ca="1" si="15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2"/>
        <v>0</v>
      </c>
      <c r="G72" s="207">
        <f>D72*$H$41-E72</f>
        <v>0</v>
      </c>
      <c r="H72" s="207">
        <f t="shared" ca="1" si="13"/>
        <v>0</v>
      </c>
      <c r="I72" s="208">
        <f>D72*$J$41-E72</f>
        <v>0</v>
      </c>
      <c r="J72" s="208">
        <f t="shared" ca="1" si="14"/>
        <v>0</v>
      </c>
      <c r="K72" s="209">
        <f>D72*$L$41-E72</f>
        <v>0</v>
      </c>
      <c r="L72" s="209">
        <f t="shared" ca="1" si="15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2"/>
        <v>0</v>
      </c>
      <c r="G73" s="207">
        <f>D73*$H$41-E73</f>
        <v>0</v>
      </c>
      <c r="H73" s="207">
        <f t="shared" ca="1" si="13"/>
        <v>0</v>
      </c>
      <c r="I73" s="208">
        <f>D73*$J$41-E73</f>
        <v>0</v>
      </c>
      <c r="J73" s="208">
        <f t="shared" ca="1" si="14"/>
        <v>0</v>
      </c>
      <c r="K73" s="209">
        <f>D73*$L$41-E73</f>
        <v>0</v>
      </c>
      <c r="L73" s="209">
        <f t="shared" ca="1" si="15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2"/>
        <v>0.88602358411334747</v>
      </c>
      <c r="G74" s="210">
        <f>SUM(G69:G73)</f>
        <v>25038600.375662684</v>
      </c>
      <c r="H74" s="210">
        <f t="shared" ca="1" si="13"/>
        <v>0</v>
      </c>
      <c r="I74" s="211">
        <f>SUM(I69:I73)</f>
        <v>114613068.46076885</v>
      </c>
      <c r="J74" s="211">
        <f t="shared" ca="1" si="14"/>
        <v>0</v>
      </c>
      <c r="K74" s="211">
        <f>SUM(K69:K73)</f>
        <v>204187536.54587543</v>
      </c>
      <c r="L74" s="211">
        <f t="shared" ca="1" si="15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49" t="s">
        <v>172</v>
      </c>
      <c r="C77" s="250"/>
      <c r="D77" s="251"/>
      <c r="G77"/>
      <c r="H77"/>
      <c r="I77"/>
    </row>
    <row r="78" spans="1:19" ht="20.100000000000001" customHeight="1" x14ac:dyDescent="0.25">
      <c r="B78" s="268" t="s">
        <v>41</v>
      </c>
      <c r="C78" s="268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58"/>
      <c r="C79" s="258"/>
      <c r="D79" s="70" t="s">
        <v>169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173</v>
      </c>
      <c r="C82" s="152" t="s">
        <v>174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173</v>
      </c>
      <c r="C88" s="152" t="s">
        <v>175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  <mergeCell ref="B41:D41"/>
    <mergeCell ref="B48:J48"/>
    <mergeCell ref="D49:F49"/>
    <mergeCell ref="B46:C46"/>
    <mergeCell ref="B49:B50"/>
    <mergeCell ref="C49:C50"/>
    <mergeCell ref="J49:J50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 xr:uid="{00000000-0002-0000-0500-000000000000}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S94"/>
  <sheetViews>
    <sheetView showGridLines="0" topLeftCell="A6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193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194</v>
      </c>
      <c r="H3" s="111"/>
      <c r="I3" s="111"/>
      <c r="J3" s="218">
        <v>0</v>
      </c>
    </row>
    <row r="4" spans="2:14" x14ac:dyDescent="0.25">
      <c r="G4" s="221" t="s">
        <v>195</v>
      </c>
      <c r="H4" s="111"/>
      <c r="I4" s="111"/>
      <c r="J4" s="218">
        <v>0</v>
      </c>
    </row>
    <row r="5" spans="2:14" x14ac:dyDescent="0.25">
      <c r="G5" s="221" t="s">
        <v>196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169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166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170</v>
      </c>
      <c r="C22" s="15">
        <v>197567845.80000001</v>
      </c>
      <c r="D22" s="15" t="s">
        <v>166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171</v>
      </c>
      <c r="C23" s="15">
        <v>300521523.82997501</v>
      </c>
      <c r="D23" s="15" t="s">
        <v>166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186</v>
      </c>
    </row>
    <row r="41" spans="2:19" ht="27.95" customHeight="1" x14ac:dyDescent="0.25">
      <c r="B41" s="278" t="s">
        <v>180</v>
      </c>
      <c r="C41" s="279"/>
      <c r="D41" s="280"/>
      <c r="E41" s="66" t="s">
        <v>137</v>
      </c>
      <c r="F41" s="174">
        <v>0.97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9" t="s">
        <v>187</v>
      </c>
      <c r="L48" s="270"/>
      <c r="M48" s="270"/>
      <c r="N48" s="270"/>
      <c r="O48" s="270"/>
      <c r="P48" s="271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72" t="str">
        <f>"SELISIH"&amp;CHAR(10)&amp;TEXT($H$41,"0%")</f>
        <v>SELISIH
90%</v>
      </c>
      <c r="L49" s="272" t="str">
        <f>"PER HARI"&amp;CHAR(10)&amp;TEXT($H$41,"0%")</f>
        <v>PER HARI
90%</v>
      </c>
      <c r="M49" s="274" t="str">
        <f>"SELISIH"&amp;CHAR(10)&amp;TEXT($J$41,"0%")</f>
        <v>SELISIH
95%</v>
      </c>
      <c r="N49" s="274" t="str">
        <f>"PER HARI"&amp;CHAR(10)&amp;TEXT($J$41,"0%")</f>
        <v>PER HARI
95%</v>
      </c>
      <c r="O49" s="276" t="str">
        <f>"SELISIH"&amp;CHAR(10)&amp;TEXT($L$41,"0%")</f>
        <v>SELISIH
100%</v>
      </c>
      <c r="P49" s="276" t="str">
        <f>"PER HARI"&amp;CHAR(10)&amp;TEXT($L$41,"0%")</f>
        <v>PER HARI
100%</v>
      </c>
    </row>
    <row r="50" spans="2:16" ht="22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73"/>
      <c r="L50" s="273"/>
      <c r="M50" s="275"/>
      <c r="N50" s="275"/>
      <c r="O50" s="277"/>
      <c r="P50" s="277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173</v>
      </c>
      <c r="C53" s="137" t="s">
        <v>174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>M10</f>
        <v>670664362.43227303</v>
      </c>
      <c r="H54" s="114">
        <f t="shared" ref="H54:H58" si="9">N10</f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>M11</f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>M12</f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>M13</f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>M14</f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173</v>
      </c>
      <c r="C59" s="137" t="s">
        <v>175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>M15</f>
        <v>374466810.62618703</v>
      </c>
      <c r="H60" s="114">
        <f t="shared" ref="H60:H64" si="10">N15</f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>M16</f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>M17</f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>M18</f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>M19</f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 t="shared" ref="E65" si="11"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2">IFERROR(E69/D69,0)</f>
        <v>1.0480570955664552</v>
      </c>
      <c r="G69" s="184">
        <f>D69*$H$41-E69</f>
        <v>-41169439.706693411</v>
      </c>
      <c r="H69" s="184">
        <f t="shared" ref="H69:H74" ca="1" si="13">IFERROR(G69/$C$3,0)</f>
        <v>0</v>
      </c>
      <c r="I69" s="204">
        <f>D69*$J$41-E69</f>
        <v>-27266208.811482966</v>
      </c>
      <c r="J69" s="204">
        <f t="shared" ref="J69:J74" ca="1" si="14">IFERROR(I69/$C$3,0)</f>
        <v>0</v>
      </c>
      <c r="K69" s="185">
        <f>D69*$L$41-E69</f>
        <v>-13362977.916272461</v>
      </c>
      <c r="L69" s="185">
        <f t="shared" ref="L69:L74" ca="1" si="15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2"/>
        <v>1.0443693954602793</v>
      </c>
      <c r="G70" s="184">
        <f>D70*$H$41-E70</f>
        <v>-60291338.056534588</v>
      </c>
      <c r="H70" s="184">
        <f t="shared" ca="1" si="13"/>
        <v>0</v>
      </c>
      <c r="I70" s="204">
        <f>D70*$J$41-E70</f>
        <v>-39410410.397208512</v>
      </c>
      <c r="J70" s="204">
        <f t="shared" ca="1" si="14"/>
        <v>0</v>
      </c>
      <c r="K70" s="185">
        <f>D70*$L$41-E70</f>
        <v>-18529482.737882435</v>
      </c>
      <c r="L70" s="185">
        <f t="shared" ca="1" si="15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2"/>
        <v>0.86970886150280302</v>
      </c>
      <c r="G71" s="184">
        <f>D71*$H$41-E71</f>
        <v>32935420.162515283</v>
      </c>
      <c r="H71" s="184">
        <f t="shared" ca="1" si="13"/>
        <v>0</v>
      </c>
      <c r="I71" s="204">
        <f>D71*$J$41-E71</f>
        <v>87300197.778191447</v>
      </c>
      <c r="J71" s="204">
        <f t="shared" ca="1" si="14"/>
        <v>0</v>
      </c>
      <c r="K71" s="185">
        <f>D71*$L$41-E71</f>
        <v>141664975.39386773</v>
      </c>
      <c r="L71" s="185">
        <f t="shared" ca="1" si="15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2"/>
        <v>0</v>
      </c>
      <c r="G72" s="184">
        <f>D72*$H$41-E72</f>
        <v>0</v>
      </c>
      <c r="H72" s="184">
        <f t="shared" ca="1" si="13"/>
        <v>0</v>
      </c>
      <c r="I72" s="204">
        <f>D72*$J$41-E72</f>
        <v>0</v>
      </c>
      <c r="J72" s="204">
        <f t="shared" ca="1" si="14"/>
        <v>0</v>
      </c>
      <c r="K72" s="185">
        <f>D72*$L$41-E72</f>
        <v>0</v>
      </c>
      <c r="L72" s="185">
        <f t="shared" ca="1" si="15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2"/>
        <v>0</v>
      </c>
      <c r="G73" s="184">
        <f>D73*$H$41-E73</f>
        <v>0</v>
      </c>
      <c r="H73" s="184">
        <f t="shared" ca="1" si="13"/>
        <v>0</v>
      </c>
      <c r="I73" s="204">
        <f>D73*$J$41-E73</f>
        <v>0</v>
      </c>
      <c r="J73" s="204">
        <f t="shared" ca="1" si="14"/>
        <v>0</v>
      </c>
      <c r="K73" s="185">
        <f>D73*$L$41-E73</f>
        <v>0</v>
      </c>
      <c r="L73" s="185">
        <f t="shared" ca="1" si="15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2"/>
        <v>0.93843307645863372</v>
      </c>
      <c r="G74" s="181">
        <f>SUM(G69:G73)</f>
        <v>-68525357.600712717</v>
      </c>
      <c r="H74" s="181">
        <f t="shared" ca="1" si="13"/>
        <v>0</v>
      </c>
      <c r="I74" s="186">
        <f>SUM(I69:I73)</f>
        <v>20623578.569499969</v>
      </c>
      <c r="J74" s="186">
        <f t="shared" ca="1" si="14"/>
        <v>0</v>
      </c>
      <c r="K74" s="186">
        <f>SUM(K69:K73)</f>
        <v>109772514.73971283</v>
      </c>
      <c r="L74" s="186">
        <f t="shared" ca="1" si="15"/>
        <v>0</v>
      </c>
    </row>
    <row r="77" spans="2:16" ht="20.100000000000001" customHeight="1" x14ac:dyDescent="0.25">
      <c r="B77" s="249" t="s">
        <v>172</v>
      </c>
      <c r="C77" s="250"/>
      <c r="D77" s="251"/>
    </row>
    <row r="78" spans="2:16" ht="18.75" customHeight="1" x14ac:dyDescent="0.25">
      <c r="B78" s="268" t="s">
        <v>41</v>
      </c>
      <c r="C78" s="268" t="s">
        <v>42</v>
      </c>
      <c r="D78" s="231" t="s">
        <v>138</v>
      </c>
    </row>
    <row r="79" spans="2:16" ht="18" customHeight="1" x14ac:dyDescent="0.25">
      <c r="B79" s="258"/>
      <c r="C79" s="258"/>
      <c r="D79" s="70" t="s">
        <v>169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173</v>
      </c>
      <c r="C82" s="168" t="s">
        <v>174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173</v>
      </c>
      <c r="C88" s="168" t="s">
        <v>175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 xr:uid="{00000000-0002-0000-0600-000000000000}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193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194</v>
      </c>
      <c r="H3" s="111"/>
      <c r="I3" s="111"/>
      <c r="J3" s="218">
        <v>0</v>
      </c>
    </row>
    <row r="4" spans="2:14" x14ac:dyDescent="0.25">
      <c r="G4" s="221" t="s">
        <v>195</v>
      </c>
      <c r="H4" s="111"/>
      <c r="I4" s="111"/>
      <c r="J4" s="218">
        <v>0</v>
      </c>
    </row>
    <row r="5" spans="2:14" x14ac:dyDescent="0.25">
      <c r="G5" s="221" t="s">
        <v>196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169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166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170</v>
      </c>
      <c r="C22" s="15">
        <v>167671841.09999999</v>
      </c>
      <c r="D22" s="15" t="s">
        <v>166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171</v>
      </c>
      <c r="C23" s="15">
        <v>388937679.18000001</v>
      </c>
      <c r="D23" s="15" t="s">
        <v>166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186</v>
      </c>
    </row>
    <row r="41" spans="2:19" ht="27.95" customHeight="1" x14ac:dyDescent="0.25">
      <c r="B41" s="259" t="s">
        <v>181</v>
      </c>
      <c r="C41" s="260"/>
      <c r="D41" s="261"/>
      <c r="E41" s="66" t="s">
        <v>137</v>
      </c>
      <c r="F41" s="174">
        <f ca="1">IF(MONTH(TODAY())=6,DAY(TODAY())/DAY(EOMONTH(TODAY(),0)),IF(MONTH(TODAY())&gt;6,1,0))</f>
        <v>1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9" t="s">
        <v>187</v>
      </c>
      <c r="L48" s="270"/>
      <c r="M48" s="270"/>
      <c r="N48" s="270"/>
      <c r="O48" s="270"/>
      <c r="P48" s="271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72" t="str">
        <f>"SELISIH"&amp;CHAR(10)&amp;TEXT($H$41,"0%")</f>
        <v>SELISIH
90%</v>
      </c>
      <c r="L49" s="272" t="str">
        <f>"PER HARI"&amp;CHAR(10)&amp;TEXT($H$41,"0%")</f>
        <v>PER HARI
90%</v>
      </c>
      <c r="M49" s="274" t="str">
        <f>"SELISIH"&amp;CHAR(10)&amp;TEXT($J$41,"0%")</f>
        <v>SELISIH
95%</v>
      </c>
      <c r="N49" s="274" t="str">
        <f>"PER HARI"&amp;CHAR(10)&amp;TEXT($J$41,"0%")</f>
        <v>PER HARI
95%</v>
      </c>
      <c r="O49" s="276" t="str">
        <f>"SELISIH"&amp;CHAR(10)&amp;TEXT($L$41,"0%")</f>
        <v>SELISIH
100%</v>
      </c>
      <c r="P49" s="276" t="str">
        <f>"PER HARI"&amp;CHAR(10)&amp;TEXT($L$41,"0%")</f>
        <v>PER HARI
100%</v>
      </c>
    </row>
    <row r="50" spans="2:16" ht="19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73"/>
      <c r="L50" s="273"/>
      <c r="M50" s="275"/>
      <c r="N50" s="275"/>
      <c r="O50" s="277"/>
      <c r="P50" s="277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173</v>
      </c>
      <c r="C53" s="137" t="s">
        <v>174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>M10</f>
        <v>989456477.77127802</v>
      </c>
      <c r="H54" s="114">
        <f t="shared" ref="H54:H58" si="9">N10</f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>M11</f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>M12</f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>M13</f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>M14</f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173</v>
      </c>
      <c r="C59" s="137" t="s">
        <v>175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>M15</f>
        <v>350800236.759597</v>
      </c>
      <c r="H60" s="114">
        <f t="shared" ref="H60:H64" si="10">N15</f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>M16</f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>M17</f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>M18</f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>M19</f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 t="shared" ref="E65" si="11"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2">IFERROR(E69/D69,0)</f>
        <v>0.64887113406306818</v>
      </c>
      <c r="G69" s="184">
        <f>D69*$H$41-E69</f>
        <v>71704963.965235025</v>
      </c>
      <c r="H69" s="184">
        <f t="shared" ref="H69:H74" ca="1" si="13">IFERROR(G69/$C$3,0)</f>
        <v>0</v>
      </c>
      <c r="I69" s="204">
        <f>D69*$J$41-E69</f>
        <v>85981491.615234971</v>
      </c>
      <c r="J69" s="204">
        <f t="shared" ref="J69:J74" ca="1" si="14">IFERROR(I69/$C$3,0)</f>
        <v>0</v>
      </c>
      <c r="K69" s="185">
        <f>D69*$L$41-E69</f>
        <v>100258019.26523501</v>
      </c>
      <c r="L69" s="185">
        <f t="shared" ref="L69:L74" ca="1" si="15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2"/>
        <v>0.78089344213613221</v>
      </c>
      <c r="G70" s="184">
        <f>D70*$H$41-E70</f>
        <v>51076639.342550039</v>
      </c>
      <c r="H70" s="184">
        <f t="shared" ca="1" si="13"/>
        <v>0</v>
      </c>
      <c r="I70" s="204">
        <f>D70*$J$41-E70</f>
        <v>72518212.442550004</v>
      </c>
      <c r="J70" s="204">
        <f t="shared" ca="1" si="14"/>
        <v>0</v>
      </c>
      <c r="K70" s="185">
        <f>D70*$L$41-E70</f>
        <v>93959785.542550027</v>
      </c>
      <c r="L70" s="185">
        <f t="shared" ca="1" si="15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2"/>
        <v>1.08249150767518</v>
      </c>
      <c r="G71" s="184">
        <f>D71*$H$41-E71</f>
        <v>-203749769.85483778</v>
      </c>
      <c r="H71" s="184">
        <f t="shared" ca="1" si="13"/>
        <v>0</v>
      </c>
      <c r="I71" s="204">
        <f>D71*$J$41-E71</f>
        <v>-147925317.40483785</v>
      </c>
      <c r="J71" s="204">
        <f t="shared" ca="1" si="14"/>
        <v>0</v>
      </c>
      <c r="K71" s="185">
        <f>D71*$L$41-E71</f>
        <v>-92100864.954837799</v>
      </c>
      <c r="L71" s="185">
        <f t="shared" ca="1" si="15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2"/>
        <v>0</v>
      </c>
      <c r="G72" s="184">
        <f>D72*$H$41-E72</f>
        <v>0</v>
      </c>
      <c r="H72" s="184">
        <f t="shared" ca="1" si="13"/>
        <v>0</v>
      </c>
      <c r="I72" s="204">
        <f>D72*$J$41-E72</f>
        <v>0</v>
      </c>
      <c r="J72" s="204">
        <f t="shared" ca="1" si="14"/>
        <v>0</v>
      </c>
      <c r="K72" s="185">
        <f>D72*$L$41-E72</f>
        <v>0</v>
      </c>
      <c r="L72" s="185">
        <f t="shared" ca="1" si="15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2"/>
        <v>0</v>
      </c>
      <c r="G73" s="184">
        <f>D73*$H$41-E73</f>
        <v>0</v>
      </c>
      <c r="H73" s="184">
        <f t="shared" ca="1" si="13"/>
        <v>0</v>
      </c>
      <c r="I73" s="204">
        <f>D73*$J$41-E73</f>
        <v>0</v>
      </c>
      <c r="J73" s="204">
        <f t="shared" ca="1" si="14"/>
        <v>0</v>
      </c>
      <c r="K73" s="185">
        <f>D73*$L$41-E73</f>
        <v>0</v>
      </c>
      <c r="L73" s="185">
        <f t="shared" ca="1" si="15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2"/>
        <v>0.9442243326828319</v>
      </c>
      <c r="G74" s="181">
        <f>SUM(G69:G73)</f>
        <v>-80968166.547052711</v>
      </c>
      <c r="H74" s="181">
        <f t="shared" ca="1" si="13"/>
        <v>0</v>
      </c>
      <c r="I74" s="186">
        <f>SUM(I69:I73)</f>
        <v>10574386.652947128</v>
      </c>
      <c r="J74" s="186">
        <f t="shared" ca="1" si="14"/>
        <v>0</v>
      </c>
      <c r="K74" s="186">
        <f>SUM(K69:K73)</f>
        <v>102116939.85294724</v>
      </c>
      <c r="L74" s="186">
        <f t="shared" ca="1" si="15"/>
        <v>0</v>
      </c>
    </row>
    <row r="77" spans="2:16" ht="20.100000000000001" customHeight="1" x14ac:dyDescent="0.25">
      <c r="B77" s="249" t="s">
        <v>172</v>
      </c>
      <c r="C77" s="250"/>
      <c r="D77" s="251"/>
    </row>
    <row r="78" spans="2:16" ht="15.75" x14ac:dyDescent="0.25">
      <c r="B78" s="268" t="s">
        <v>41</v>
      </c>
      <c r="C78" s="268" t="s">
        <v>42</v>
      </c>
      <c r="D78" s="231" t="s">
        <v>138</v>
      </c>
    </row>
    <row r="79" spans="2:16" ht="15.75" x14ac:dyDescent="0.25">
      <c r="B79" s="258"/>
      <c r="C79" s="258"/>
      <c r="D79" s="70" t="s">
        <v>169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173</v>
      </c>
      <c r="C82" s="56" t="s">
        <v>174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173</v>
      </c>
      <c r="C88" s="56" t="s">
        <v>175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 xr:uid="{00000000-0002-0000-0700-000000000000}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B1:S94"/>
  <sheetViews>
    <sheetView showGridLines="0" topLeftCell="A4" zoomScale="91" zoomScaleNormal="91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193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194</v>
      </c>
      <c r="H3" s="111"/>
      <c r="I3" s="111"/>
      <c r="J3" s="218">
        <v>0</v>
      </c>
    </row>
    <row r="4" spans="2:14" x14ac:dyDescent="0.25">
      <c r="G4" s="221" t="s">
        <v>195</v>
      </c>
      <c r="H4" s="111"/>
      <c r="I4" s="111"/>
      <c r="J4" s="218">
        <v>0</v>
      </c>
    </row>
    <row r="5" spans="2:14" x14ac:dyDescent="0.25">
      <c r="G5" s="221" t="s">
        <v>196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169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183</v>
      </c>
      <c r="C12" s="15">
        <v>341819821.47863901</v>
      </c>
      <c r="D12" s="15">
        <v>43800016.100000001</v>
      </c>
      <c r="E12" s="15" t="s">
        <v>166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170</v>
      </c>
      <c r="C20" s="15">
        <v>195476199.69999999</v>
      </c>
      <c r="D20" s="15" t="s">
        <v>166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171</v>
      </c>
      <c r="C21" s="15">
        <v>288524887.39999998</v>
      </c>
      <c r="D21" s="15" t="s">
        <v>166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184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185</v>
      </c>
      <c r="C26" s="15">
        <v>138084633.55645701</v>
      </c>
      <c r="D26" s="15">
        <v>103844000.433377</v>
      </c>
      <c r="E26" s="15" t="s">
        <v>166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186</v>
      </c>
    </row>
    <row r="41" spans="2:19" s="191" customFormat="1" ht="27.95" customHeight="1" x14ac:dyDescent="0.25">
      <c r="B41" s="259" t="s">
        <v>190</v>
      </c>
      <c r="C41" s="260"/>
      <c r="D41" s="261"/>
      <c r="E41" s="66" t="s">
        <v>137</v>
      </c>
      <c r="F41" s="174">
        <f ca="1">IF(MONTH(TODAY())=7,DAY(TODAY())/DAY(EOMONTH(TODAY(),0)),IF(MONTH(TODAY())&gt;7,1,0))</f>
        <v>1</v>
      </c>
      <c r="G41" s="192" t="s">
        <v>188</v>
      </c>
      <c r="H41" s="198">
        <v>0.9</v>
      </c>
      <c r="I41" s="193" t="s">
        <v>188</v>
      </c>
      <c r="J41" s="199">
        <v>0.95</v>
      </c>
      <c r="K41" s="194" t="s">
        <v>189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56" t="s">
        <v>145</v>
      </c>
      <c r="C46" s="257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9" t="s">
        <v>187</v>
      </c>
      <c r="L48" s="270"/>
      <c r="M48" s="270"/>
      <c r="N48" s="270"/>
      <c r="O48" s="270"/>
      <c r="P48" s="271"/>
    </row>
    <row r="49" spans="2:16" ht="15.75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72" t="str">
        <f>"SELISIH"&amp;CHAR(10)&amp;TEXT($H$41,"0%")</f>
        <v>SELISIH
90%</v>
      </c>
      <c r="L49" s="272" t="str">
        <f>"PER HARI"&amp;CHAR(10)&amp;TEXT($H$41,"0%")</f>
        <v>PER HARI
90%</v>
      </c>
      <c r="M49" s="274" t="str">
        <f>"SELISIH"&amp;CHAR(10)&amp;TEXT($J$41,"0%")</f>
        <v>SELISIH
95%</v>
      </c>
      <c r="N49" s="274" t="str">
        <f>"PER HARI"&amp;CHAR(10)&amp;TEXT($J$41,"0%")</f>
        <v>PER HARI
95%</v>
      </c>
      <c r="O49" s="281" t="str">
        <f>"SELISIH"&amp;CHAR(10)&amp;TEXT($L$41,"0%")</f>
        <v>SELISIH
100%</v>
      </c>
      <c r="P49" s="281" t="str">
        <f>"PER HARI"&amp;CHAR(10)&amp;TEXT($L$41,"0%")</f>
        <v>PER HARI
100%</v>
      </c>
    </row>
    <row r="50" spans="2:16" ht="15.75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73"/>
      <c r="L50" s="273"/>
      <c r="M50" s="275"/>
      <c r="N50" s="275"/>
      <c r="O50" s="282"/>
      <c r="P50" s="282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173</v>
      </c>
      <c r="C53" s="137" t="s">
        <v>174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>M10</f>
        <v>1054671906.6945471</v>
      </c>
      <c r="H54" s="114">
        <f t="shared" ref="H54:H58" si="9">N10</f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182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>M11</f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>M12</f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>M13</f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>M14</f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173</v>
      </c>
      <c r="C59" s="137" t="s">
        <v>175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>M15</f>
        <v>324688224.63140702</v>
      </c>
      <c r="H60" s="114">
        <f t="shared" ref="H60:H64" si="10">N15</f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>M16</f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>M17</f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>M18</f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>M19</f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 t="shared" ref="E65" si="11"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2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3">IFERROR(I69/$C$3,0)</f>
        <v>0</v>
      </c>
      <c r="K69" s="185">
        <f>D69*$L$41-E69</f>
        <v>46119727.030567139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2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3"/>
        <v>0</v>
      </c>
      <c r="K70" s="185">
        <f>D70*$L$41-E70</f>
        <v>-167090136.62658083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2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3"/>
        <v>0</v>
      </c>
      <c r="K71" s="185">
        <f>D71*$L$41-E71</f>
        <v>451126403.48817897</v>
      </c>
      <c r="L71" s="185">
        <f t="shared" ca="1" si="14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2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2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2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3"/>
        <v>0</v>
      </c>
      <c r="K74" s="186">
        <f>SUM(K69:K73)</f>
        <v>330155993.8921653</v>
      </c>
      <c r="L74" s="186">
        <f t="shared" ca="1" si="14"/>
        <v>0</v>
      </c>
    </row>
    <row r="77" spans="2:16" ht="20.100000000000001" customHeight="1" x14ac:dyDescent="0.25">
      <c r="B77" s="249" t="s">
        <v>172</v>
      </c>
      <c r="C77" s="250"/>
      <c r="D77" s="251"/>
    </row>
    <row r="78" spans="2:16" ht="15.75" x14ac:dyDescent="0.25">
      <c r="B78" s="268" t="s">
        <v>41</v>
      </c>
      <c r="C78" s="268" t="s">
        <v>42</v>
      </c>
      <c r="D78" s="231" t="s">
        <v>138</v>
      </c>
    </row>
    <row r="79" spans="2:16" ht="15.75" x14ac:dyDescent="0.25">
      <c r="B79" s="258"/>
      <c r="C79" s="258"/>
      <c r="D79" s="70" t="s">
        <v>169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173</v>
      </c>
      <c r="C82" s="56" t="s">
        <v>174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182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173</v>
      </c>
      <c r="C88" s="56" t="s">
        <v>175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 xr:uid="{00000000-0002-0000-0800-000000000000}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B1:S95"/>
  <sheetViews>
    <sheetView showGridLines="0" tabSelected="1" topLeftCell="A72" zoomScale="91" zoomScaleNormal="91" workbookViewId="0">
      <selection activeCell="B78" sqref="B78:D95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6" width="14.85546875" bestFit="1" customWidth="1"/>
    <col min="7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193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9</v>
      </c>
      <c r="D3" s="76" t="s">
        <v>104</v>
      </c>
      <c r="E3" s="77">
        <f ca="1">DAY(EOMONTH(DATE(YEAR(TODAY()),8,1),0))</f>
        <v>31</v>
      </c>
      <c r="G3" s="221" t="s">
        <v>194</v>
      </c>
      <c r="H3" s="111"/>
      <c r="I3" s="111"/>
      <c r="J3" s="218">
        <v>2</v>
      </c>
    </row>
    <row r="4" spans="2:15" x14ac:dyDescent="0.25">
      <c r="G4" s="221" t="s">
        <v>195</v>
      </c>
      <c r="H4" s="111"/>
      <c r="I4" s="111"/>
      <c r="J4" s="218">
        <v>0</v>
      </c>
    </row>
    <row r="5" spans="2:15" x14ac:dyDescent="0.25">
      <c r="G5" s="221" t="s">
        <v>196</v>
      </c>
      <c r="H5" s="111"/>
      <c r="I5" s="111"/>
      <c r="J5" s="218"/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>
        <f>SUM(C22)</f>
        <v>192290289.87617201</v>
      </c>
      <c r="N8" s="11">
        <f>SUM(D22)</f>
        <v>28049628.459488999</v>
      </c>
      <c r="O8" s="171">
        <f>SUM(E22)</f>
        <v>90487388.039793998</v>
      </c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>
        <f>SUM(C13,C14)</f>
        <v>152112051.64424101</v>
      </c>
      <c r="N9" s="11">
        <f>SUM(D13,D14)</f>
        <v>66442330.381653003</v>
      </c>
      <c r="O9" s="171">
        <f>SUM(E13,E14)</f>
        <v>274295281.049254</v>
      </c>
    </row>
    <row r="10" spans="2:15" x14ac:dyDescent="0.25">
      <c r="B10" s="72" t="s">
        <v>112</v>
      </c>
      <c r="C10" s="234">
        <v>99874579.841058999</v>
      </c>
      <c r="D10" s="234">
        <v>28442388.532791</v>
      </c>
      <c r="E10" s="234">
        <v>143384514.00488001</v>
      </c>
      <c r="F10" s="234">
        <v>122188826.94</v>
      </c>
      <c r="G10" s="234">
        <v>393890309.31873</v>
      </c>
      <c r="H10" s="111"/>
      <c r="I10" s="111"/>
      <c r="J10" s="111"/>
      <c r="M10" s="11">
        <f>SUM(C15)</f>
        <v>577067960.37679005</v>
      </c>
      <c r="N10" s="11">
        <f>SUM(D15)</f>
        <v>21469667.899904002</v>
      </c>
      <c r="O10" s="171">
        <f>SUM(E15)</f>
        <v>117320279.376082</v>
      </c>
    </row>
    <row r="11" spans="2:15" x14ac:dyDescent="0.25">
      <c r="B11" s="72" t="s">
        <v>214</v>
      </c>
      <c r="C11" s="234">
        <v>238354708.37921801</v>
      </c>
      <c r="D11" s="234">
        <v>54873564.473720998</v>
      </c>
      <c r="E11" s="234">
        <v>88429651.113436997</v>
      </c>
      <c r="F11" s="234">
        <v>63772974.200000003</v>
      </c>
      <c r="G11" s="234">
        <v>445430898.16637599</v>
      </c>
      <c r="H11" s="111"/>
      <c r="I11" s="111"/>
      <c r="J11" s="111"/>
      <c r="M11" s="11">
        <f>SUM(C12)</f>
        <v>3123423.4199979999</v>
      </c>
      <c r="N11" s="11">
        <f>SUM(D12)</f>
        <v>10545753</v>
      </c>
      <c r="O11" s="171">
        <f>SUM(E12)</f>
        <v>220905406.47911999</v>
      </c>
    </row>
    <row r="12" spans="2:15" x14ac:dyDescent="0.25">
      <c r="B12" s="72" t="s">
        <v>214</v>
      </c>
      <c r="C12" s="234">
        <v>3123423.4199979999</v>
      </c>
      <c r="D12" s="234">
        <v>10545753</v>
      </c>
      <c r="E12" s="234">
        <v>220905406.47911999</v>
      </c>
      <c r="F12" s="234">
        <v>0</v>
      </c>
      <c r="G12" s="234">
        <v>234574582.89911801</v>
      </c>
      <c r="H12" s="111"/>
      <c r="I12" s="111"/>
      <c r="J12" s="111"/>
      <c r="M12" s="11">
        <f>SUM(C25,C26)</f>
        <v>97869212.586159006</v>
      </c>
      <c r="N12" s="11">
        <f>SUM(D25,D26)</f>
        <v>77049881.866288006</v>
      </c>
      <c r="O12" s="171">
        <f>SUM(E25,E26)</f>
        <v>124038212.299714</v>
      </c>
    </row>
    <row r="13" spans="2:15" x14ac:dyDescent="0.25">
      <c r="B13" s="72" t="s">
        <v>70</v>
      </c>
      <c r="C13" s="234">
        <v>119725265.961859</v>
      </c>
      <c r="D13" s="234">
        <v>48411293.971692003</v>
      </c>
      <c r="E13" s="234">
        <v>113612110.389704</v>
      </c>
      <c r="F13" s="234">
        <v>63583558.399999999</v>
      </c>
      <c r="G13" s="234">
        <v>345332228.72325498</v>
      </c>
      <c r="H13" s="111"/>
      <c r="I13" s="111"/>
      <c r="J13" s="111"/>
      <c r="M13" s="11">
        <f>SUM(C17)</f>
        <v>458114390.61674702</v>
      </c>
      <c r="N13" s="11">
        <f>SUM(D17)</f>
        <v>43059161.839961</v>
      </c>
      <c r="O13" s="171">
        <f>SUM(E17)</f>
        <v>223246667.02963999</v>
      </c>
    </row>
    <row r="14" spans="2:15" x14ac:dyDescent="0.25">
      <c r="B14" s="72" t="s">
        <v>114</v>
      </c>
      <c r="C14" s="234">
        <v>32386785.682381999</v>
      </c>
      <c r="D14" s="234">
        <v>18031036.409961</v>
      </c>
      <c r="E14" s="234">
        <v>160683170.65955001</v>
      </c>
      <c r="F14" s="234">
        <v>40165540.57</v>
      </c>
      <c r="G14" s="234">
        <v>251266533.32189301</v>
      </c>
      <c r="H14" s="111"/>
      <c r="I14" s="111"/>
      <c r="J14" s="111"/>
      <c r="M14" s="11">
        <f>SUM(C23)</f>
        <v>220454290.29874599</v>
      </c>
      <c r="N14" s="11">
        <f>SUM(D23)</f>
        <v>64219281.189870998</v>
      </c>
      <c r="O14" s="171">
        <f>SUM(E23)</f>
        <v>153872344.54836601</v>
      </c>
    </row>
    <row r="15" spans="2:15" x14ac:dyDescent="0.25">
      <c r="B15" s="81" t="s">
        <v>115</v>
      </c>
      <c r="C15" s="234">
        <v>577067960.37679005</v>
      </c>
      <c r="D15" s="234">
        <v>21469667.899904002</v>
      </c>
      <c r="E15" s="234">
        <v>117320279.376082</v>
      </c>
      <c r="F15" s="234">
        <v>267318922.229835</v>
      </c>
      <c r="G15" s="234">
        <v>983176829.88261104</v>
      </c>
      <c r="H15" s="111"/>
      <c r="I15" s="111"/>
      <c r="J15" s="111"/>
      <c r="M15" s="11">
        <f>SUM(C11)</f>
        <v>238354708.37921801</v>
      </c>
      <c r="N15" s="11">
        <f>SUM(D11)</f>
        <v>54873564.473720998</v>
      </c>
      <c r="O15" s="171">
        <f>SUM(E11)</f>
        <v>88429651.113436997</v>
      </c>
    </row>
    <row r="16" spans="2:15" x14ac:dyDescent="0.25">
      <c r="B16" s="72" t="s">
        <v>118</v>
      </c>
      <c r="C16" s="234">
        <v>302090669.02911103</v>
      </c>
      <c r="D16" s="234">
        <v>1085666.664998</v>
      </c>
      <c r="E16" s="234">
        <v>90918959.789964005</v>
      </c>
      <c r="F16" s="234">
        <v>11057027.140000001</v>
      </c>
      <c r="G16" s="234">
        <v>405152322.62407303</v>
      </c>
      <c r="H16" s="111"/>
      <c r="I16" s="111"/>
      <c r="J16" s="111"/>
      <c r="M16" s="11">
        <f>SUM(C24)</f>
        <v>298774106.00284499</v>
      </c>
      <c r="N16" s="11">
        <f>SUM(D24)</f>
        <v>39776702.729983002</v>
      </c>
      <c r="O16" s="171">
        <f>SUM(E24)</f>
        <v>146658920.759965</v>
      </c>
    </row>
    <row r="17" spans="2:15" x14ac:dyDescent="0.25">
      <c r="B17" s="72" t="s">
        <v>120</v>
      </c>
      <c r="C17" s="234">
        <v>458114390.61674702</v>
      </c>
      <c r="D17" s="234">
        <v>43059161.839961</v>
      </c>
      <c r="E17" s="234">
        <v>223246667.02963999</v>
      </c>
      <c r="F17" s="234">
        <v>867420457.00994599</v>
      </c>
      <c r="G17" s="234">
        <v>1591840676.496294</v>
      </c>
      <c r="H17" s="111"/>
      <c r="I17" s="111"/>
      <c r="J17" s="111"/>
      <c r="M17" s="11">
        <f>SUM(C10)</f>
        <v>99874579.841058999</v>
      </c>
      <c r="N17" s="11">
        <f>SUM(D10)</f>
        <v>28442388.532791</v>
      </c>
      <c r="O17" s="171">
        <f>SUM(E10)</f>
        <v>143384514.00488001</v>
      </c>
    </row>
    <row r="18" spans="2:15" x14ac:dyDescent="0.25">
      <c r="B18" s="72" t="s">
        <v>122</v>
      </c>
      <c r="C18" s="234">
        <v>75197223.035795003</v>
      </c>
      <c r="D18" s="234">
        <v>10352698.12992</v>
      </c>
      <c r="E18" s="234">
        <v>54087209.909139998</v>
      </c>
      <c r="F18" s="234">
        <v>29843243.899999999</v>
      </c>
      <c r="G18" s="234">
        <v>169480374.97485501</v>
      </c>
      <c r="H18" s="111"/>
      <c r="I18" s="111"/>
      <c r="J18" s="111"/>
      <c r="M18" s="11">
        <f>SUM(C27)</f>
        <v>226088960.86492601</v>
      </c>
      <c r="N18" s="11">
        <f>SUM(D27)</f>
        <v>188869511.86969599</v>
      </c>
      <c r="O18" s="171">
        <f>SUM(E27)</f>
        <v>201204822.09807399</v>
      </c>
    </row>
    <row r="19" spans="2:15" x14ac:dyDescent="0.25">
      <c r="B19" s="72" t="s">
        <v>123</v>
      </c>
      <c r="C19" s="234">
        <v>11689000</v>
      </c>
      <c r="D19" s="234">
        <v>95030364.180857003</v>
      </c>
      <c r="E19" s="234">
        <v>22127775.5</v>
      </c>
      <c r="F19" s="234">
        <v>70854055.519999996</v>
      </c>
      <c r="G19" s="234">
        <v>199701195.20085701</v>
      </c>
      <c r="H19" s="111"/>
      <c r="I19" s="111"/>
      <c r="J19" s="111"/>
      <c r="M19" s="11">
        <f>SUM(C18,C19)</f>
        <v>86886223.035795003</v>
      </c>
      <c r="N19" s="11">
        <f>SUM(D18,D19)</f>
        <v>105383062.31077701</v>
      </c>
      <c r="O19" s="171">
        <f>SUM(E18,E19)</f>
        <v>76214985.409139991</v>
      </c>
    </row>
    <row r="20" spans="2:15" x14ac:dyDescent="0.25">
      <c r="B20" s="72" t="s">
        <v>170</v>
      </c>
      <c r="C20" s="234">
        <v>156242455.16</v>
      </c>
      <c r="D20" s="234">
        <v>0</v>
      </c>
      <c r="E20" s="234">
        <v>0</v>
      </c>
      <c r="F20" s="234">
        <v>6378378.2000000002</v>
      </c>
      <c r="G20" s="234">
        <v>162620833.36000001</v>
      </c>
      <c r="H20" s="111"/>
      <c r="I20" s="111"/>
      <c r="J20" s="111"/>
      <c r="M20" s="14">
        <f>SUM(C31,C36)</f>
        <v>411000</v>
      </c>
      <c r="N20" s="10" t="s">
        <v>119</v>
      </c>
    </row>
    <row r="21" spans="2:15" x14ac:dyDescent="0.25">
      <c r="B21" s="72" t="s">
        <v>171</v>
      </c>
      <c r="C21" s="234">
        <v>292176186.80000001</v>
      </c>
      <c r="D21" s="234">
        <v>0</v>
      </c>
      <c r="E21" s="234">
        <v>0</v>
      </c>
      <c r="F21" s="234">
        <v>11963963.640000001</v>
      </c>
      <c r="G21" s="234">
        <v>304140150.44</v>
      </c>
      <c r="H21" s="111"/>
      <c r="I21" s="111"/>
      <c r="J21" s="111"/>
      <c r="M21" s="14">
        <f>SUM(C34,C35)+M20</f>
        <v>581415587.89637005</v>
      </c>
      <c r="N21" s="10" t="s">
        <v>121</v>
      </c>
    </row>
    <row r="22" spans="2:15" x14ac:dyDescent="0.25">
      <c r="B22" s="72" t="s">
        <v>124</v>
      </c>
      <c r="C22" s="234">
        <v>192290289.87617201</v>
      </c>
      <c r="D22" s="234">
        <v>28049628.459488999</v>
      </c>
      <c r="E22" s="234">
        <v>90487388.039793998</v>
      </c>
      <c r="F22" s="234">
        <v>334360767.329925</v>
      </c>
      <c r="G22" s="234">
        <v>645188073.70537996</v>
      </c>
      <c r="H22" s="111"/>
      <c r="I22" s="111"/>
      <c r="J22" s="111"/>
    </row>
    <row r="23" spans="2:15" x14ac:dyDescent="0.25">
      <c r="B23" s="72" t="s">
        <v>125</v>
      </c>
      <c r="C23" s="234">
        <v>220454290.29874599</v>
      </c>
      <c r="D23" s="234">
        <v>64219281.189870998</v>
      </c>
      <c r="E23" s="234">
        <v>153872344.54836601</v>
      </c>
      <c r="F23" s="234">
        <v>258339878.259509</v>
      </c>
      <c r="G23" s="234">
        <v>696885794.29649198</v>
      </c>
      <c r="H23" s="111"/>
      <c r="I23" s="111"/>
      <c r="J23" s="111"/>
    </row>
    <row r="24" spans="2:15" x14ac:dyDescent="0.25">
      <c r="B24" s="72" t="s">
        <v>126</v>
      </c>
      <c r="C24" s="234">
        <v>298774106.00284499</v>
      </c>
      <c r="D24" s="234">
        <v>39776702.729983002</v>
      </c>
      <c r="E24" s="234">
        <v>146658920.759965</v>
      </c>
      <c r="F24" s="234">
        <v>476356901.36943501</v>
      </c>
      <c r="G24" s="234">
        <v>961566630.86222804</v>
      </c>
      <c r="H24" s="111"/>
      <c r="I24" s="111"/>
      <c r="J24" s="111"/>
    </row>
    <row r="25" spans="2:15" x14ac:dyDescent="0.25">
      <c r="B25" s="72" t="s">
        <v>184</v>
      </c>
      <c r="C25" s="234">
        <v>97869212.586159006</v>
      </c>
      <c r="D25" s="234">
        <v>77049881.866288006</v>
      </c>
      <c r="E25" s="234">
        <v>124038212.299714</v>
      </c>
      <c r="F25" s="234">
        <v>46361089.700000003</v>
      </c>
      <c r="G25" s="234">
        <v>345318396.45216101</v>
      </c>
      <c r="H25" s="111"/>
      <c r="I25" s="111"/>
      <c r="J25" s="111"/>
    </row>
    <row r="26" spans="2:15" x14ac:dyDescent="0.25">
      <c r="B26" s="72" t="s">
        <v>185</v>
      </c>
      <c r="C26" s="15"/>
      <c r="D26" s="15"/>
      <c r="E26" s="15"/>
      <c r="F26" s="15"/>
      <c r="G26" s="15"/>
      <c r="H26" s="111"/>
      <c r="I26" s="111"/>
      <c r="J26" s="111"/>
    </row>
    <row r="27" spans="2:15" x14ac:dyDescent="0.25">
      <c r="B27" s="72" t="s">
        <v>127</v>
      </c>
      <c r="C27" s="234">
        <v>226088960.86492601</v>
      </c>
      <c r="D27" s="234">
        <v>188869511.86969599</v>
      </c>
      <c r="E27" s="234">
        <v>201204822.09807399</v>
      </c>
      <c r="F27" s="234">
        <v>10414702.926999999</v>
      </c>
      <c r="G27" s="234">
        <v>626577997.75969601</v>
      </c>
      <c r="H27" s="111"/>
      <c r="I27" s="111"/>
      <c r="J27" s="111"/>
    </row>
    <row r="28" spans="2:15" x14ac:dyDescent="0.25">
      <c r="G28" s="111"/>
      <c r="H28" s="111"/>
      <c r="I28" s="111"/>
    </row>
    <row r="29" spans="2:15" x14ac:dyDescent="0.25">
      <c r="B29" s="79" t="s">
        <v>128</v>
      </c>
      <c r="C29" s="79"/>
      <c r="G29" s="111"/>
      <c r="H29" s="111"/>
      <c r="I29" s="111"/>
    </row>
    <row r="30" spans="2:15" x14ac:dyDescent="0.25">
      <c r="B30" s="80" t="s">
        <v>129</v>
      </c>
      <c r="C30" s="80" t="s">
        <v>130</v>
      </c>
      <c r="G30" s="111"/>
      <c r="H30" s="111"/>
      <c r="I30" s="111"/>
    </row>
    <row r="31" spans="2:15" x14ac:dyDescent="0.25">
      <c r="B31" s="73"/>
      <c r="C31" s="107"/>
      <c r="G31" s="111"/>
      <c r="H31" s="111"/>
      <c r="I31" s="111"/>
    </row>
    <row r="32" spans="2:15" x14ac:dyDescent="0.25">
      <c r="B32" s="81" t="s">
        <v>131</v>
      </c>
      <c r="C32" s="234">
        <v>141815642.619306</v>
      </c>
      <c r="G32" s="111"/>
      <c r="H32" s="111"/>
      <c r="I32" s="111"/>
    </row>
    <row r="33" spans="2:19" x14ac:dyDescent="0.25">
      <c r="B33" s="81" t="s">
        <v>132</v>
      </c>
      <c r="C33" s="234">
        <v>169884721.46534401</v>
      </c>
      <c r="G33" s="111"/>
      <c r="H33" s="111"/>
      <c r="I33" s="111"/>
    </row>
    <row r="34" spans="2:19" x14ac:dyDescent="0.25">
      <c r="B34" s="81" t="s">
        <v>133</v>
      </c>
      <c r="C34" s="234">
        <v>95899911.920378</v>
      </c>
      <c r="G34" s="111"/>
      <c r="H34" s="111"/>
      <c r="I34" s="111"/>
    </row>
    <row r="35" spans="2:19" x14ac:dyDescent="0.25">
      <c r="B35" s="81" t="s">
        <v>134</v>
      </c>
      <c r="C35" s="234">
        <v>485104675.97599202</v>
      </c>
      <c r="G35" s="111"/>
      <c r="H35" s="111"/>
      <c r="I35" s="111"/>
    </row>
    <row r="36" spans="2:19" x14ac:dyDescent="0.25">
      <c r="B36" s="81" t="s">
        <v>135</v>
      </c>
      <c r="C36" s="234">
        <v>411000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186</v>
      </c>
    </row>
    <row r="41" spans="2:19" ht="18.75" x14ac:dyDescent="0.25">
      <c r="B41" s="259" t="s">
        <v>216</v>
      </c>
      <c r="C41" s="260"/>
      <c r="D41" s="261"/>
      <c r="E41" s="66" t="s">
        <v>137</v>
      </c>
      <c r="F41" s="174">
        <f ca="1">IF(MONTH(TODAY())=8,DAY(TODAY())/DAY(EOMONTH(TODAY(),0)),IF(MONTH(TODAY())&gt;8,1,0))</f>
        <v>0.61290322580645162</v>
      </c>
      <c r="G41" s="192" t="s">
        <v>188</v>
      </c>
      <c r="H41" s="198">
        <v>1</v>
      </c>
      <c r="I41" s="201" t="s">
        <v>188</v>
      </c>
      <c r="J41" s="199">
        <v>1</v>
      </c>
      <c r="K41" s="194" t="s">
        <v>189</v>
      </c>
      <c r="L41" s="200">
        <v>1</v>
      </c>
      <c r="S41" s="173">
        <v>0.7</v>
      </c>
    </row>
    <row r="42" spans="2:19" ht="31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100%</v>
      </c>
      <c r="H42" s="182" t="str">
        <f>"PER HARI"&amp;CHAR(10)&amp;TEXT($H$41,"0%")</f>
        <v>PER HARI
100%</v>
      </c>
      <c r="I42" s="202" t="str">
        <f>"SELISIH"&amp;CHAR(10)&amp;TEXT($J$41,"0%")</f>
        <v>SELISIH
100%</v>
      </c>
      <c r="J42" s="203" t="str">
        <f>"PER HARI"&amp;CHAR(10)&amp;TEXT($J$41,"0%")</f>
        <v>PER HARI
100%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90">
        <v>0.75</v>
      </c>
    </row>
    <row r="43" spans="2:19" x14ac:dyDescent="0.25">
      <c r="B43" s="109" t="s">
        <v>142</v>
      </c>
      <c r="C43" s="41" t="s">
        <v>143</v>
      </c>
      <c r="D43" s="45">
        <f>SUM(TARGETS!Y5:Y7,TARGETS!Y8:Y13,TARGETS!Y14:Y18)</f>
        <v>4927597521</v>
      </c>
      <c r="E43" s="46">
        <f>H66</f>
        <v>3099428838.9026966</v>
      </c>
      <c r="F43" s="176">
        <f>IFERROR(E43/D43,0)</f>
        <v>0.62899391147386219</v>
      </c>
      <c r="G43" s="184">
        <f>D43*$H$41-E43</f>
        <v>1828168682.0973034</v>
      </c>
      <c r="H43" s="184">
        <f ca="1">IFERROR(G43/$C$3,0)</f>
        <v>203129853.56636703</v>
      </c>
      <c r="I43" s="204">
        <f>D43*$J$41-E43</f>
        <v>1828168682.0973034</v>
      </c>
      <c r="J43" s="204">
        <f ca="1">IFERROR(I43/$C$3,0)</f>
        <v>203129853.56636703</v>
      </c>
      <c r="K43" s="185">
        <f>D43*$L$41-E43</f>
        <v>1828168682.0973034</v>
      </c>
      <c r="L43" s="185">
        <f ca="1">IFERROR(K43/$C$3,0)</f>
        <v>203129853.56636703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SUM(TARGETS!Z5:Z6,TARGETS!Z8:Z12,TARGETS!Z14:Z18)</f>
        <v>1294442997.4659395</v>
      </c>
      <c r="E44" s="46">
        <f>I66</f>
        <v>728180934.55413413</v>
      </c>
      <c r="F44" s="176">
        <f>IFERROR(E44/D44,0)</f>
        <v>0.5625438400761209</v>
      </c>
      <c r="G44" s="184">
        <f>D44*$H$41-E44</f>
        <v>566262062.91180539</v>
      </c>
      <c r="H44" s="184">
        <f ca="1">IFERROR(G44/$C$3,0)</f>
        <v>62918006.990200602</v>
      </c>
      <c r="I44" s="204">
        <f>D44*$J$41-E44</f>
        <v>566262062.91180539</v>
      </c>
      <c r="J44" s="204">
        <f ca="1">IFERROR(I44/$C$3,0)</f>
        <v>62918006.990200602</v>
      </c>
      <c r="K44" s="185">
        <f>D44*$L$41-E44</f>
        <v>566262062.91180539</v>
      </c>
      <c r="L44" s="185">
        <f ca="1">IFERROR(K44/$C$3,0)</f>
        <v>62918006.990200602</v>
      </c>
      <c r="S44" s="173">
        <v>0.85</v>
      </c>
    </row>
    <row r="45" spans="2:19" x14ac:dyDescent="0.25">
      <c r="B45" s="109" t="s">
        <v>209</v>
      </c>
      <c r="C45" s="41" t="s">
        <v>143</v>
      </c>
      <c r="D45" s="45">
        <f>SUM(TARGETS!AA5:AA18)</f>
        <v>3216211725</v>
      </c>
      <c r="E45" s="46">
        <f>J66</f>
        <v>1860058472.2074656</v>
      </c>
      <c r="F45" s="176">
        <f>IFERROR(E45/D45,0)</f>
        <v>0.57833831577349459</v>
      </c>
      <c r="G45" s="184">
        <f>IF(D45=0,0,D45*$H$41-E45)</f>
        <v>1356153252.7925344</v>
      </c>
      <c r="H45" s="184">
        <f ca="1">IFERROR(G45/$C$3,0)</f>
        <v>150683694.75472605</v>
      </c>
      <c r="I45" s="204">
        <f>IF(D45=0,0,D45*$J$41-E45)</f>
        <v>1356153252.7925344</v>
      </c>
      <c r="J45" s="204">
        <f ca="1">IFERROR(I45/$C$3,0)</f>
        <v>150683694.75472605</v>
      </c>
      <c r="K45" s="185">
        <f>IF(D45=0,0,D45*$L$41-E45)</f>
        <v>1356153252.7925344</v>
      </c>
      <c r="L45" s="185">
        <f ca="1">IFERROR(K45/$C$3,0)</f>
        <v>150683694.75472605</v>
      </c>
      <c r="S45" s="173">
        <v>0.9</v>
      </c>
    </row>
    <row r="46" spans="2:19" x14ac:dyDescent="0.25">
      <c r="B46" s="109" t="s">
        <v>144</v>
      </c>
      <c r="C46" s="41" t="s">
        <v>143</v>
      </c>
      <c r="D46" s="45">
        <f>SUM(TARGETS!K22:K26)</f>
        <v>1865957446.8085108</v>
      </c>
      <c r="E46" s="46">
        <f>SUM(C32,C33)+M21</f>
        <v>893115951.98102009</v>
      </c>
      <c r="F46" s="176">
        <f>IFERROR(E46/D46,0)</f>
        <v>0.47863682717340866</v>
      </c>
      <c r="G46" s="184">
        <f>D46*$H$41-E46</f>
        <v>972841494.82749069</v>
      </c>
      <c r="H46" s="184">
        <f ca="1">IFERROR(G46/$C$3,0)</f>
        <v>108093499.42527674</v>
      </c>
      <c r="I46" s="204">
        <f>D46*$J$41-E46</f>
        <v>972841494.82749069</v>
      </c>
      <c r="J46" s="204">
        <f ca="1">IFERROR(I46/$C$3,0)</f>
        <v>108093499.42527674</v>
      </c>
      <c r="K46" s="185">
        <f>D46*$L$41-E46</f>
        <v>972841494.82749069</v>
      </c>
      <c r="L46" s="185">
        <f ca="1">IFERROR(K46/$C$3,0)</f>
        <v>108093499.42527674</v>
      </c>
      <c r="S46" s="173">
        <v>0.95</v>
      </c>
    </row>
    <row r="47" spans="2:19" x14ac:dyDescent="0.25">
      <c r="B47" s="256" t="s">
        <v>145</v>
      </c>
      <c r="C47" s="257"/>
      <c r="D47" s="47">
        <f>SUM(D43:D46)</f>
        <v>11304209690.274448</v>
      </c>
      <c r="E47" s="47">
        <f>SUM(E43:E46)</f>
        <v>6580784197.6453171</v>
      </c>
      <c r="F47" s="177">
        <f>IFERROR(E47/D47,0)</f>
        <v>0.58215340815086614</v>
      </c>
      <c r="G47" s="181">
        <f>SUM(G43:G46)</f>
        <v>4723425492.6291332</v>
      </c>
      <c r="H47" s="181">
        <f ca="1">IFERROR(G47/$C$3,0)</f>
        <v>524825054.73657036</v>
      </c>
      <c r="I47" s="186">
        <f>SUM(I43:I46)</f>
        <v>4723425492.6291332</v>
      </c>
      <c r="J47" s="186">
        <f ca="1">IFERROR(I47/$C$3,0)</f>
        <v>524825054.73657036</v>
      </c>
      <c r="K47" s="186">
        <f>SUM(K43:K46)</f>
        <v>4723425492.6291332</v>
      </c>
      <c r="L47" s="186">
        <f ca="1">IFERROR(K47/$C$3,0)</f>
        <v>524825054.73657036</v>
      </c>
      <c r="S47" s="173">
        <v>1</v>
      </c>
    </row>
    <row r="48" spans="2:19" x14ac:dyDescent="0.25">
      <c r="G48" s="111"/>
      <c r="H48" s="111"/>
      <c r="I48" s="111"/>
      <c r="S48" s="173"/>
    </row>
    <row r="49" spans="2:18" ht="18.95" customHeight="1" x14ac:dyDescent="0.25">
      <c r="B49" s="262" t="s">
        <v>215</v>
      </c>
      <c r="C49" s="263"/>
      <c r="D49" s="263"/>
      <c r="E49" s="263"/>
      <c r="F49" s="263"/>
      <c r="G49" s="263"/>
      <c r="H49" s="263"/>
      <c r="I49" s="263"/>
      <c r="J49" s="263"/>
      <c r="K49" s="263"/>
      <c r="L49" s="286"/>
      <c r="M49" s="269" t="s">
        <v>187</v>
      </c>
      <c r="N49" s="270"/>
      <c r="O49" s="270"/>
      <c r="P49" s="270"/>
      <c r="Q49" s="270"/>
      <c r="R49" s="271"/>
    </row>
    <row r="50" spans="2:18" ht="17.100000000000001" customHeight="1" x14ac:dyDescent="0.25">
      <c r="B50" s="287" t="s">
        <v>41</v>
      </c>
      <c r="C50" s="287" t="s">
        <v>42</v>
      </c>
      <c r="D50" s="253" t="s">
        <v>137</v>
      </c>
      <c r="E50" s="254"/>
      <c r="F50" s="254"/>
      <c r="G50" s="255"/>
      <c r="H50" s="288" t="s">
        <v>138</v>
      </c>
      <c r="I50" s="289"/>
      <c r="J50" s="289"/>
      <c r="K50" s="290"/>
      <c r="L50" s="291" t="s">
        <v>139</v>
      </c>
      <c r="M50" s="272" t="str">
        <f>"SELISIH"&amp;CHAR(10)&amp;TEXT($H$41,"0%")</f>
        <v>SELISIH
100%</v>
      </c>
      <c r="N50" s="272" t="str">
        <f>"PER HARI"&amp;CHAR(10)&amp;TEXT($H$41,"0%")</f>
        <v>PER HARI
100%</v>
      </c>
      <c r="O50" s="274" t="str">
        <f>"SELISIH"&amp;CHAR(10)&amp;TEXT($J$41,"0%")</f>
        <v>SELISIH
100%</v>
      </c>
      <c r="P50" s="274" t="str">
        <f>"PER HARI"&amp;CHAR(10)&amp;TEXT($J$41,"0%")</f>
        <v>PER HARI
100%</v>
      </c>
      <c r="Q50" s="276" t="str">
        <f>"SELISIH"&amp;CHAR(10)&amp;TEXT($L$41,"0%")</f>
        <v>SELISIH
100%</v>
      </c>
      <c r="R50" s="276" t="str">
        <f>"PER HARI"&amp;CHAR(10)&amp;TEXT($L$41,"0%")</f>
        <v>PER HARI
100%</v>
      </c>
    </row>
    <row r="51" spans="2:18" ht="15.75" x14ac:dyDescent="0.25">
      <c r="B51" s="268"/>
      <c r="C51" s="268"/>
      <c r="D51" s="70" t="s">
        <v>149</v>
      </c>
      <c r="E51" s="70" t="s">
        <v>150</v>
      </c>
      <c r="F51" s="70" t="s">
        <v>211</v>
      </c>
      <c r="G51" s="70" t="s">
        <v>130</v>
      </c>
      <c r="H51" s="113" t="s">
        <v>149</v>
      </c>
      <c r="I51" s="113" t="s">
        <v>150</v>
      </c>
      <c r="J51" s="113" t="s">
        <v>211</v>
      </c>
      <c r="K51" s="113" t="s">
        <v>130</v>
      </c>
      <c r="L51" s="292"/>
      <c r="M51" s="273"/>
      <c r="N51" s="273"/>
      <c r="O51" s="275"/>
      <c r="P51" s="275"/>
      <c r="Q51" s="277"/>
      <c r="R51" s="277"/>
    </row>
    <row r="52" spans="2:18" x14ac:dyDescent="0.25">
      <c r="B52" s="50" t="s">
        <v>67</v>
      </c>
      <c r="C52" s="55" t="s">
        <v>68</v>
      </c>
      <c r="D52" s="118">
        <f>TARGETS!Y5</f>
        <v>306848843</v>
      </c>
      <c r="E52" s="118">
        <f>TARGETS!Z5</f>
        <v>60640123.605248079</v>
      </c>
      <c r="F52" s="118">
        <f>TARGETS!AA5</f>
        <v>198385865</v>
      </c>
      <c r="G52" s="118">
        <f t="shared" ref="G52:G65" si="0">SUM(D52:F52)</f>
        <v>565874831.60524809</v>
      </c>
      <c r="H52" s="114">
        <f>M8</f>
        <v>192290289.87617201</v>
      </c>
      <c r="I52" s="114">
        <f>N8</f>
        <v>28049628.459488999</v>
      </c>
      <c r="J52" s="114">
        <f>SUM(O8)</f>
        <v>90487388.039793998</v>
      </c>
      <c r="K52" s="114">
        <f t="shared" ref="K52:K65" si="1">SUM(H52:J52)</f>
        <v>310827306.37545502</v>
      </c>
      <c r="L52" s="187">
        <f t="shared" ref="L52:L66" si="2">IFERROR(K52/G52,0)</f>
        <v>0.5492863244928462</v>
      </c>
      <c r="M52" s="184">
        <f t="shared" ref="M52:M65" si="3">G52*$H$41-K52</f>
        <v>255047525.22979307</v>
      </c>
      <c r="N52" s="184">
        <f t="shared" ref="N52:N66" ca="1" si="4">IFERROR(M52/$C$3,0)</f>
        <v>28338613.914421454</v>
      </c>
      <c r="O52" s="180">
        <f t="shared" ref="O52:O65" si="5">G52*$J$41-K52</f>
        <v>255047525.22979307</v>
      </c>
      <c r="P52" s="180">
        <f t="shared" ref="P52:P66" ca="1" si="6">IFERROR(O52/$C$3,0)</f>
        <v>28338613.914421454</v>
      </c>
      <c r="Q52" s="185">
        <f t="shared" ref="Q52:Q65" si="7">G52*$L$41-K52</f>
        <v>255047525.22979307</v>
      </c>
      <c r="R52" s="185">
        <f t="shared" ref="R52:R66" ca="1" si="8">IFERROR(Q52/$C$3,0)</f>
        <v>28338613.914421454</v>
      </c>
    </row>
    <row r="53" spans="2:18" x14ac:dyDescent="0.25">
      <c r="B53" s="53" t="s">
        <v>69</v>
      </c>
      <c r="C53" s="56" t="s">
        <v>70</v>
      </c>
      <c r="D53" s="119">
        <f>TARGETS!Y6</f>
        <v>222144871</v>
      </c>
      <c r="E53" s="119">
        <f>TARGETS!Z6</f>
        <v>165576502.41228893</v>
      </c>
      <c r="F53" s="119">
        <f>TARGETS!AA6</f>
        <v>449309820</v>
      </c>
      <c r="G53" s="119">
        <f t="shared" si="0"/>
        <v>837031193.4122889</v>
      </c>
      <c r="H53" s="114">
        <f>M9</f>
        <v>152112051.64424101</v>
      </c>
      <c r="I53" s="114">
        <f>N9</f>
        <v>66442330.381653003</v>
      </c>
      <c r="J53" s="114">
        <f>SUM(O9)</f>
        <v>274295281.049254</v>
      </c>
      <c r="K53" s="114">
        <f t="shared" si="1"/>
        <v>492849663.07514799</v>
      </c>
      <c r="L53" s="187">
        <f t="shared" si="2"/>
        <v>0.58880680547396214</v>
      </c>
      <c r="M53" s="184">
        <f t="shared" si="3"/>
        <v>344181530.33714092</v>
      </c>
      <c r="N53" s="184">
        <f t="shared" ca="1" si="4"/>
        <v>38242392.259682328</v>
      </c>
      <c r="O53" s="180">
        <f t="shared" si="5"/>
        <v>344181530.33714092</v>
      </c>
      <c r="P53" s="180">
        <f t="shared" ca="1" si="6"/>
        <v>38242392.259682328</v>
      </c>
      <c r="Q53" s="185">
        <f t="shared" si="7"/>
        <v>344181530.33714092</v>
      </c>
      <c r="R53" s="185">
        <f t="shared" ca="1" si="8"/>
        <v>38242392.259682328</v>
      </c>
    </row>
    <row r="54" spans="2:18" x14ac:dyDescent="0.25">
      <c r="B54" s="136" t="s">
        <v>173</v>
      </c>
      <c r="C54" s="137" t="s">
        <v>174</v>
      </c>
      <c r="D54" s="138">
        <f>TARGETS!Y7</f>
        <v>262953105</v>
      </c>
      <c r="E54" s="138">
        <f>TARGETS!Z7</f>
        <v>0</v>
      </c>
      <c r="F54" s="138">
        <f>TARGETS!AA7</f>
        <v>0</v>
      </c>
      <c r="G54" s="138">
        <f t="shared" si="0"/>
        <v>262953105</v>
      </c>
      <c r="H54" s="114">
        <f>SUM(C20)</f>
        <v>156242455.16</v>
      </c>
      <c r="I54" s="114">
        <f>SUM(D20)</f>
        <v>0</v>
      </c>
      <c r="J54" s="114">
        <f>SUM(E20)</f>
        <v>0</v>
      </c>
      <c r="K54" s="114">
        <f t="shared" si="1"/>
        <v>156242455.16</v>
      </c>
      <c r="L54" s="187">
        <f t="shared" si="2"/>
        <v>0.59418372397618202</v>
      </c>
      <c r="M54" s="184">
        <f t="shared" si="3"/>
        <v>106710649.84</v>
      </c>
      <c r="N54" s="184">
        <f t="shared" ca="1" si="4"/>
        <v>11856738.871111112</v>
      </c>
      <c r="O54" s="180">
        <f t="shared" si="5"/>
        <v>106710649.84</v>
      </c>
      <c r="P54" s="180">
        <f t="shared" ca="1" si="6"/>
        <v>11856738.871111112</v>
      </c>
      <c r="Q54" s="185">
        <f t="shared" si="7"/>
        <v>106710649.84</v>
      </c>
      <c r="R54" s="185">
        <f t="shared" ca="1" si="8"/>
        <v>11856738.871111112</v>
      </c>
    </row>
    <row r="55" spans="2:18" x14ac:dyDescent="0.25">
      <c r="B55" s="53" t="s">
        <v>71</v>
      </c>
      <c r="C55" s="56" t="s">
        <v>72</v>
      </c>
      <c r="D55" s="119">
        <f>TARGETS!Y8</f>
        <v>633046146</v>
      </c>
      <c r="E55" s="119">
        <f>TARGETS!Z8</f>
        <v>35794312.055859983</v>
      </c>
      <c r="F55" s="119">
        <f>TARGETS!AA8</f>
        <v>109338663</v>
      </c>
      <c r="G55" s="119">
        <f t="shared" si="0"/>
        <v>778179121.05586004</v>
      </c>
      <c r="H55" s="114">
        <f t="shared" ref="H55:I59" si="9">M10</f>
        <v>577067960.37679005</v>
      </c>
      <c r="I55" s="114">
        <f t="shared" si="9"/>
        <v>21469667.899904002</v>
      </c>
      <c r="J55" s="114">
        <f>SUM(O10)</f>
        <v>117320279.376082</v>
      </c>
      <c r="K55" s="114">
        <f t="shared" si="1"/>
        <v>715857907.652776</v>
      </c>
      <c r="L55" s="187">
        <f t="shared" si="2"/>
        <v>0.9199140509982785</v>
      </c>
      <c r="M55" s="184">
        <f t="shared" si="3"/>
        <v>62321213.40308404</v>
      </c>
      <c r="N55" s="184">
        <f t="shared" ca="1" si="4"/>
        <v>6924579.2670093374</v>
      </c>
      <c r="O55" s="180">
        <f t="shared" si="5"/>
        <v>62321213.40308404</v>
      </c>
      <c r="P55" s="180">
        <f t="shared" ca="1" si="6"/>
        <v>6924579.2670093374</v>
      </c>
      <c r="Q55" s="185">
        <f t="shared" si="7"/>
        <v>62321213.40308404</v>
      </c>
      <c r="R55" s="185">
        <f t="shared" ca="1" si="8"/>
        <v>6924579.2670093374</v>
      </c>
    </row>
    <row r="56" spans="2:18" x14ac:dyDescent="0.25">
      <c r="B56" s="50" t="s">
        <v>73</v>
      </c>
      <c r="C56" s="55" t="s">
        <v>191</v>
      </c>
      <c r="D56" s="118">
        <f>TARGETS!Y9</f>
        <v>5575802</v>
      </c>
      <c r="E56" s="118">
        <f>TARGETS!Z9</f>
        <v>54597557.63085559</v>
      </c>
      <c r="F56" s="118">
        <f>TARGETS!AA9</f>
        <v>490733908</v>
      </c>
      <c r="G56" s="118">
        <f t="shared" si="0"/>
        <v>550907267.63085556</v>
      </c>
      <c r="H56" s="114">
        <f t="shared" si="9"/>
        <v>3123423.4199979999</v>
      </c>
      <c r="I56" s="114">
        <f t="shared" si="9"/>
        <v>10545753</v>
      </c>
      <c r="J56" s="114">
        <f>SUM(O11)</f>
        <v>220905406.47911999</v>
      </c>
      <c r="K56" s="114">
        <f t="shared" si="1"/>
        <v>234574582.89911798</v>
      </c>
      <c r="L56" s="187">
        <f t="shared" si="2"/>
        <v>0.42579685671581757</v>
      </c>
      <c r="M56" s="184">
        <f t="shared" si="3"/>
        <v>316332684.73173761</v>
      </c>
      <c r="N56" s="184">
        <f t="shared" ca="1" si="4"/>
        <v>35148076.081304178</v>
      </c>
      <c r="O56" s="180">
        <f t="shared" si="5"/>
        <v>316332684.73173761</v>
      </c>
      <c r="P56" s="180">
        <f t="shared" ca="1" si="6"/>
        <v>35148076.081304178</v>
      </c>
      <c r="Q56" s="185">
        <f t="shared" si="7"/>
        <v>316332684.73173761</v>
      </c>
      <c r="R56" s="185">
        <f t="shared" ca="1" si="8"/>
        <v>35148076.081304178</v>
      </c>
    </row>
    <row r="57" spans="2:18" x14ac:dyDescent="0.25">
      <c r="B57" s="53" t="s">
        <v>75</v>
      </c>
      <c r="C57" s="56" t="s">
        <v>99</v>
      </c>
      <c r="D57" s="119">
        <f>TARGETS!Y10</f>
        <v>309612765</v>
      </c>
      <c r="E57" s="119">
        <f>TARGETS!Z10</f>
        <v>107263766.34102874</v>
      </c>
      <c r="F57" s="119">
        <f>TARGETS!AA10</f>
        <v>209576770</v>
      </c>
      <c r="G57" s="119">
        <f t="shared" si="0"/>
        <v>626453301.34102869</v>
      </c>
      <c r="H57" s="114">
        <f t="shared" si="9"/>
        <v>97869212.586159006</v>
      </c>
      <c r="I57" s="114">
        <f t="shared" si="9"/>
        <v>77049881.866288006</v>
      </c>
      <c r="J57" s="114">
        <f>SUM(O12)</f>
        <v>124038212.299714</v>
      </c>
      <c r="K57" s="114">
        <f t="shared" si="1"/>
        <v>298957306.75216103</v>
      </c>
      <c r="L57" s="187">
        <f t="shared" si="2"/>
        <v>0.47722201497253286</v>
      </c>
      <c r="M57" s="184">
        <f t="shared" si="3"/>
        <v>327495994.58886766</v>
      </c>
      <c r="N57" s="184">
        <f t="shared" ca="1" si="4"/>
        <v>36388443.843207516</v>
      </c>
      <c r="O57" s="180">
        <f t="shared" si="5"/>
        <v>327495994.58886766</v>
      </c>
      <c r="P57" s="180">
        <f t="shared" ca="1" si="6"/>
        <v>36388443.843207516</v>
      </c>
      <c r="Q57" s="185">
        <f t="shared" si="7"/>
        <v>327495994.58886766</v>
      </c>
      <c r="R57" s="185">
        <f t="shared" ca="1" si="8"/>
        <v>36388443.843207516</v>
      </c>
    </row>
    <row r="58" spans="2:18" x14ac:dyDescent="0.25">
      <c r="B58" s="50" t="s">
        <v>76</v>
      </c>
      <c r="C58" s="55" t="s">
        <v>77</v>
      </c>
      <c r="D58" s="118">
        <f>TARGETS!Y11</f>
        <v>706692044</v>
      </c>
      <c r="E58" s="118">
        <f>TARGETS!Z11</f>
        <v>85448443.319925025</v>
      </c>
      <c r="F58" s="118">
        <f>TARGETS!AA11</f>
        <v>368550890</v>
      </c>
      <c r="G58" s="118">
        <f t="shared" si="0"/>
        <v>1160691377.3199251</v>
      </c>
      <c r="H58" s="114">
        <f t="shared" si="9"/>
        <v>458114390.61674702</v>
      </c>
      <c r="I58" s="114">
        <f t="shared" si="9"/>
        <v>43059161.839961</v>
      </c>
      <c r="J58" s="114">
        <f>SUM(O13)</f>
        <v>223246667.02963999</v>
      </c>
      <c r="K58" s="114">
        <f t="shared" si="1"/>
        <v>724420219.48634803</v>
      </c>
      <c r="L58" s="187">
        <f t="shared" si="2"/>
        <v>0.62412819948663556</v>
      </c>
      <c r="M58" s="184">
        <f t="shared" si="3"/>
        <v>436271157.83357704</v>
      </c>
      <c r="N58" s="184">
        <f t="shared" ca="1" si="4"/>
        <v>48474573.092619672</v>
      </c>
      <c r="O58" s="180">
        <f t="shared" si="5"/>
        <v>436271157.83357704</v>
      </c>
      <c r="P58" s="180">
        <f t="shared" ca="1" si="6"/>
        <v>48474573.092619672</v>
      </c>
      <c r="Q58" s="185">
        <f t="shared" si="7"/>
        <v>436271157.83357704</v>
      </c>
      <c r="R58" s="185">
        <f t="shared" ca="1" si="8"/>
        <v>48474573.092619672</v>
      </c>
    </row>
    <row r="59" spans="2:18" x14ac:dyDescent="0.25">
      <c r="B59" s="53" t="s">
        <v>78</v>
      </c>
      <c r="C59" s="56" t="s">
        <v>79</v>
      </c>
      <c r="D59" s="119">
        <f>TARGETS!Y12</f>
        <v>302084971</v>
      </c>
      <c r="E59" s="119">
        <f>TARGETS!Z12</f>
        <v>88976480.286837116</v>
      </c>
      <c r="F59" s="119">
        <f>TARGETS!AA12</f>
        <v>275026731</v>
      </c>
      <c r="G59" s="119">
        <f t="shared" si="0"/>
        <v>666088182.2868371</v>
      </c>
      <c r="H59" s="114">
        <f t="shared" si="9"/>
        <v>220454290.29874599</v>
      </c>
      <c r="I59" s="114">
        <f t="shared" si="9"/>
        <v>64219281.189870998</v>
      </c>
      <c r="J59" s="114">
        <f>SUM(O14)</f>
        <v>153872344.54836601</v>
      </c>
      <c r="K59" s="114">
        <f t="shared" si="1"/>
        <v>438545916.03698301</v>
      </c>
      <c r="L59" s="187">
        <f t="shared" si="2"/>
        <v>0.65839017670506017</v>
      </c>
      <c r="M59" s="184">
        <f t="shared" si="3"/>
        <v>227542266.24985409</v>
      </c>
      <c r="N59" s="184">
        <f t="shared" ca="1" si="4"/>
        <v>25282474.027761564</v>
      </c>
      <c r="O59" s="180">
        <f t="shared" si="5"/>
        <v>227542266.24985409</v>
      </c>
      <c r="P59" s="180">
        <f t="shared" ca="1" si="6"/>
        <v>25282474.027761564</v>
      </c>
      <c r="Q59" s="185">
        <f t="shared" si="7"/>
        <v>227542266.24985409</v>
      </c>
      <c r="R59" s="185">
        <f t="shared" ca="1" si="8"/>
        <v>25282474.027761564</v>
      </c>
    </row>
    <row r="60" spans="2:18" x14ac:dyDescent="0.25">
      <c r="B60" s="136" t="s">
        <v>173</v>
      </c>
      <c r="C60" s="137" t="s">
        <v>175</v>
      </c>
      <c r="D60" s="138">
        <f>TARGETS!Y13</f>
        <v>443846716</v>
      </c>
      <c r="E60" s="138">
        <f>TARGETS!Z13</f>
        <v>0</v>
      </c>
      <c r="F60" s="138">
        <f>TARGETS!AA13</f>
        <v>0</v>
      </c>
      <c r="G60" s="138">
        <f t="shared" si="0"/>
        <v>443846716</v>
      </c>
      <c r="H60" s="114">
        <f>SUM(C21)</f>
        <v>292176186.80000001</v>
      </c>
      <c r="I60" s="114">
        <f>SUM(D21)</f>
        <v>0</v>
      </c>
      <c r="J60" s="114">
        <f>SUM(E21)</f>
        <v>0</v>
      </c>
      <c r="K60" s="114">
        <f t="shared" si="1"/>
        <v>292176186.80000001</v>
      </c>
      <c r="L60" s="187">
        <f t="shared" si="2"/>
        <v>0.65828173616587038</v>
      </c>
      <c r="M60" s="184">
        <f t="shared" si="3"/>
        <v>151670529.19999999</v>
      </c>
      <c r="N60" s="184">
        <f t="shared" ca="1" si="4"/>
        <v>16852281.022222221</v>
      </c>
      <c r="O60" s="180">
        <f t="shared" si="5"/>
        <v>151670529.19999999</v>
      </c>
      <c r="P60" s="180">
        <f t="shared" ca="1" si="6"/>
        <v>16852281.022222221</v>
      </c>
      <c r="Q60" s="185">
        <f t="shared" si="7"/>
        <v>151670529.19999999</v>
      </c>
      <c r="R60" s="185">
        <f t="shared" ca="1" si="8"/>
        <v>16852281.022222221</v>
      </c>
    </row>
    <row r="61" spans="2:18" x14ac:dyDescent="0.25">
      <c r="B61" s="53" t="s">
        <v>80</v>
      </c>
      <c r="C61" s="56" t="s">
        <v>191</v>
      </c>
      <c r="D61" s="119">
        <f>TARGETS!Y14</f>
        <v>387829132</v>
      </c>
      <c r="E61" s="119">
        <f>TARGETS!Z14</f>
        <v>101974877.61343271</v>
      </c>
      <c r="F61" s="119">
        <f>TARGETS!AA14</f>
        <v>140889511</v>
      </c>
      <c r="G61" s="119">
        <f t="shared" si="0"/>
        <v>630693520.61343265</v>
      </c>
      <c r="H61" s="114">
        <f t="shared" ref="H61:I65" si="10">M15</f>
        <v>238354708.37921801</v>
      </c>
      <c r="I61" s="114">
        <f t="shared" si="10"/>
        <v>54873564.473720998</v>
      </c>
      <c r="J61" s="114">
        <f>SUM(O15)</f>
        <v>88429651.113436997</v>
      </c>
      <c r="K61" s="114">
        <f t="shared" si="1"/>
        <v>381657923.96637601</v>
      </c>
      <c r="L61" s="187">
        <f t="shared" si="2"/>
        <v>0.60514007436633144</v>
      </c>
      <c r="M61" s="184">
        <f t="shared" si="3"/>
        <v>249035596.64705664</v>
      </c>
      <c r="N61" s="184">
        <f t="shared" ca="1" si="4"/>
        <v>27670621.849672958</v>
      </c>
      <c r="O61" s="180">
        <f t="shared" si="5"/>
        <v>249035596.64705664</v>
      </c>
      <c r="P61" s="180">
        <f t="shared" ca="1" si="6"/>
        <v>27670621.849672958</v>
      </c>
      <c r="Q61" s="185">
        <f t="shared" si="7"/>
        <v>249035596.64705664</v>
      </c>
      <c r="R61" s="185">
        <f t="shared" ca="1" si="8"/>
        <v>27670621.849672958</v>
      </c>
    </row>
    <row r="62" spans="2:18" x14ac:dyDescent="0.25">
      <c r="B62" s="50" t="s">
        <v>82</v>
      </c>
      <c r="C62" s="55" t="s">
        <v>83</v>
      </c>
      <c r="D62" s="118">
        <f>TARGETS!Y15</f>
        <v>518888039</v>
      </c>
      <c r="E62" s="118">
        <f>TARGETS!Z15</f>
        <v>55257406.157477453</v>
      </c>
      <c r="F62" s="118">
        <f>TARGETS!AA15</f>
        <v>193954669</v>
      </c>
      <c r="G62" s="118">
        <f t="shared" si="0"/>
        <v>768100114.1574775</v>
      </c>
      <c r="H62" s="114">
        <f t="shared" si="10"/>
        <v>298774106.00284499</v>
      </c>
      <c r="I62" s="114">
        <f t="shared" si="10"/>
        <v>39776702.729983002</v>
      </c>
      <c r="J62" s="114">
        <f>SUM(O16)</f>
        <v>146658920.759965</v>
      </c>
      <c r="K62" s="114">
        <f t="shared" si="1"/>
        <v>485209729.49279302</v>
      </c>
      <c r="L62" s="187">
        <f t="shared" si="2"/>
        <v>0.63170115529147586</v>
      </c>
      <c r="M62" s="184">
        <f t="shared" si="3"/>
        <v>282890384.66468447</v>
      </c>
      <c r="N62" s="184">
        <f t="shared" ca="1" si="4"/>
        <v>31432264.96274272</v>
      </c>
      <c r="O62" s="180">
        <f t="shared" si="5"/>
        <v>282890384.66468447</v>
      </c>
      <c r="P62" s="180">
        <f t="shared" ca="1" si="6"/>
        <v>31432264.96274272</v>
      </c>
      <c r="Q62" s="185">
        <f t="shared" si="7"/>
        <v>282890384.66468447</v>
      </c>
      <c r="R62" s="185">
        <f t="shared" ca="1" si="8"/>
        <v>31432264.96274272</v>
      </c>
    </row>
    <row r="63" spans="2:18" x14ac:dyDescent="0.25">
      <c r="B63" s="53" t="s">
        <v>84</v>
      </c>
      <c r="C63" s="56" t="s">
        <v>85</v>
      </c>
      <c r="D63" s="119">
        <f>TARGETS!Y16</f>
        <v>210599044</v>
      </c>
      <c r="E63" s="119">
        <f>TARGETS!Z16</f>
        <v>32662674.187332422</v>
      </c>
      <c r="F63" s="119">
        <f>TARGETS!AA16</f>
        <v>285268852</v>
      </c>
      <c r="G63" s="119">
        <f t="shared" si="0"/>
        <v>528530570.18733239</v>
      </c>
      <c r="H63" s="114">
        <f t="shared" si="10"/>
        <v>99874579.841058999</v>
      </c>
      <c r="I63" s="114">
        <f t="shared" si="10"/>
        <v>28442388.532791</v>
      </c>
      <c r="J63" s="114">
        <f>SUM(O17)</f>
        <v>143384514.00488001</v>
      </c>
      <c r="K63" s="114">
        <f t="shared" si="1"/>
        <v>271701482.37873</v>
      </c>
      <c r="L63" s="187">
        <f t="shared" si="2"/>
        <v>0.51406956892281197</v>
      </c>
      <c r="M63" s="184">
        <f t="shared" si="3"/>
        <v>256829087.80860239</v>
      </c>
      <c r="N63" s="184">
        <f t="shared" ca="1" si="4"/>
        <v>28536565.312066931</v>
      </c>
      <c r="O63" s="180">
        <f t="shared" si="5"/>
        <v>256829087.80860239</v>
      </c>
      <c r="P63" s="180">
        <f t="shared" ca="1" si="6"/>
        <v>28536565.312066931</v>
      </c>
      <c r="Q63" s="185">
        <f t="shared" si="7"/>
        <v>256829087.80860239</v>
      </c>
      <c r="R63" s="185">
        <f t="shared" ca="1" si="8"/>
        <v>28536565.312066931</v>
      </c>
    </row>
    <row r="64" spans="2:18" x14ac:dyDescent="0.25">
      <c r="B64" s="50" t="s">
        <v>86</v>
      </c>
      <c r="C64" s="55" t="s">
        <v>87</v>
      </c>
      <c r="D64" s="118">
        <f>TARGETS!Y17</f>
        <v>452060736</v>
      </c>
      <c r="E64" s="118">
        <f>TARGETS!Z17</f>
        <v>310428849.14490294</v>
      </c>
      <c r="F64" s="118">
        <f>TARGETS!AA17</f>
        <v>267991724</v>
      </c>
      <c r="G64" s="118">
        <f t="shared" si="0"/>
        <v>1030481309.1449029</v>
      </c>
      <c r="H64" s="114">
        <f t="shared" si="10"/>
        <v>226088960.86492601</v>
      </c>
      <c r="I64" s="114">
        <f t="shared" si="10"/>
        <v>188869511.86969599</v>
      </c>
      <c r="J64" s="114">
        <f>SUM(O18)</f>
        <v>201204822.09807399</v>
      </c>
      <c r="K64" s="114">
        <f t="shared" si="1"/>
        <v>616163294.83269596</v>
      </c>
      <c r="L64" s="187">
        <f t="shared" si="2"/>
        <v>0.59793738068280977</v>
      </c>
      <c r="M64" s="184">
        <f t="shared" si="3"/>
        <v>414318014.31220698</v>
      </c>
      <c r="N64" s="184">
        <f t="shared" ca="1" si="4"/>
        <v>46035334.923578553</v>
      </c>
      <c r="O64" s="180">
        <f t="shared" si="5"/>
        <v>414318014.31220698</v>
      </c>
      <c r="P64" s="180">
        <f t="shared" ca="1" si="6"/>
        <v>46035334.923578553</v>
      </c>
      <c r="Q64" s="185">
        <f t="shared" si="7"/>
        <v>414318014.31220698</v>
      </c>
      <c r="R64" s="185">
        <f t="shared" ca="1" si="8"/>
        <v>46035334.923578553</v>
      </c>
    </row>
    <row r="65" spans="2:18" x14ac:dyDescent="0.25">
      <c r="B65" s="53" t="s">
        <v>88</v>
      </c>
      <c r="C65" s="56" t="s">
        <v>89</v>
      </c>
      <c r="D65" s="119">
        <f>TARGETS!Y18</f>
        <v>165415307</v>
      </c>
      <c r="E65" s="119">
        <f>TARGETS!Z18</f>
        <v>195822004.71075061</v>
      </c>
      <c r="F65" s="119">
        <f>TARGETS!AA18</f>
        <v>227184322</v>
      </c>
      <c r="G65" s="119">
        <f t="shared" si="0"/>
        <v>588421633.71075058</v>
      </c>
      <c r="H65" s="114">
        <f t="shared" si="10"/>
        <v>86886223.035795003</v>
      </c>
      <c r="I65" s="114">
        <f t="shared" si="10"/>
        <v>105383062.31077701</v>
      </c>
      <c r="J65" s="114">
        <f>SUM(O19)</f>
        <v>76214985.409139991</v>
      </c>
      <c r="K65" s="114">
        <f t="shared" si="1"/>
        <v>268484270.75571203</v>
      </c>
      <c r="L65" s="187">
        <f t="shared" si="2"/>
        <v>0.45627872153947757</v>
      </c>
      <c r="M65" s="184">
        <f t="shared" si="3"/>
        <v>319937362.95503855</v>
      </c>
      <c r="N65" s="184">
        <f t="shared" ca="1" si="4"/>
        <v>35548595.883893169</v>
      </c>
      <c r="O65" s="180">
        <f t="shared" si="5"/>
        <v>319937362.95503855</v>
      </c>
      <c r="P65" s="180">
        <f t="shared" ca="1" si="6"/>
        <v>35548595.883893169</v>
      </c>
      <c r="Q65" s="185">
        <f t="shared" si="7"/>
        <v>319937362.95503855</v>
      </c>
      <c r="R65" s="185">
        <f t="shared" ca="1" si="8"/>
        <v>35548595.883893169</v>
      </c>
    </row>
    <row r="66" spans="2:18" x14ac:dyDescent="0.25">
      <c r="B66" s="57" t="s">
        <v>151</v>
      </c>
      <c r="C66" s="58"/>
      <c r="D66" s="134">
        <f t="shared" ref="D66:K66" si="11">SUM(D52:D65)</f>
        <v>4927597521</v>
      </c>
      <c r="E66" s="134">
        <f t="shared" si="11"/>
        <v>1294442997.4659395</v>
      </c>
      <c r="F66" s="134">
        <f t="shared" si="11"/>
        <v>3216211725</v>
      </c>
      <c r="G66" s="134">
        <f t="shared" si="11"/>
        <v>9438252243.4659405</v>
      </c>
      <c r="H66" s="135">
        <f t="shared" si="11"/>
        <v>3099428838.9026966</v>
      </c>
      <c r="I66" s="135">
        <f t="shared" si="11"/>
        <v>728180934.55413413</v>
      </c>
      <c r="J66" s="135">
        <f t="shared" si="11"/>
        <v>1860058472.2074656</v>
      </c>
      <c r="K66" s="135">
        <f t="shared" si="11"/>
        <v>5687668245.6642952</v>
      </c>
      <c r="L66" s="189">
        <f t="shared" si="2"/>
        <v>0.60261880048838945</v>
      </c>
      <c r="M66" s="181">
        <f>SUM(M52:M65)</f>
        <v>3750583997.8016429</v>
      </c>
      <c r="N66" s="181">
        <f t="shared" ca="1" si="4"/>
        <v>416731555.31129366</v>
      </c>
      <c r="O66" s="181">
        <f>SUM(O52:O65)</f>
        <v>3750583997.8016429</v>
      </c>
      <c r="P66" s="181">
        <f t="shared" ca="1" si="6"/>
        <v>416731555.31129366</v>
      </c>
      <c r="Q66" s="186">
        <f>SUM(Q52:Q65)</f>
        <v>3750583997.8016429</v>
      </c>
      <c r="R66" s="186">
        <f t="shared" ca="1" si="8"/>
        <v>416731555.31129366</v>
      </c>
    </row>
    <row r="67" spans="2:18" x14ac:dyDescent="0.25">
      <c r="G67" s="111"/>
      <c r="H67" s="111"/>
      <c r="I67" s="111"/>
    </row>
    <row r="68" spans="2:18" ht="18.95" customHeight="1" x14ac:dyDescent="0.25">
      <c r="B68" s="283" t="s">
        <v>144</v>
      </c>
      <c r="C68" s="284"/>
      <c r="D68" s="284"/>
      <c r="E68" s="284"/>
      <c r="F68" s="285"/>
      <c r="G68" s="269" t="s">
        <v>187</v>
      </c>
      <c r="H68" s="270"/>
      <c r="I68" s="270"/>
      <c r="J68" s="270"/>
      <c r="K68" s="270"/>
      <c r="L68" s="271"/>
    </row>
    <row r="69" spans="2:18" ht="31.5" x14ac:dyDescent="0.25">
      <c r="B69" s="223" t="s">
        <v>152</v>
      </c>
      <c r="C69" s="223" t="s">
        <v>42</v>
      </c>
      <c r="D69" s="223" t="s">
        <v>137</v>
      </c>
      <c r="E69" s="223" t="s">
        <v>138</v>
      </c>
      <c r="F69" s="231" t="s">
        <v>139</v>
      </c>
      <c r="G69" s="232" t="str">
        <f>"SELISIH"&amp;CHAR(10)&amp;TEXT($H$41,"0%")</f>
        <v>SELISIH
100%</v>
      </c>
      <c r="H69" s="232" t="str">
        <f>"PER HARI"&amp;CHAR(10)&amp;TEXT($H$41,"0%")</f>
        <v>PER HARI
100%</v>
      </c>
      <c r="I69" s="229" t="str">
        <f>"SELISIH"&amp;CHAR(10)&amp;TEXT($J$41,"0%")</f>
        <v>SELISIH
100%</v>
      </c>
      <c r="J69" s="230" t="str">
        <f>"PER HARI"&amp;CHAR(10)&amp;TEXT($J$41,"0%")</f>
        <v>PER HARI
100%</v>
      </c>
      <c r="K69" s="222" t="str">
        <f>"SELISIH"&amp;CHAR(10)&amp;TEXT($L$41,"0%")</f>
        <v>SELISIH
100%</v>
      </c>
      <c r="L69" s="222" t="str">
        <f>"PER HARI"&amp;CHAR(10)&amp;TEXT($L$41,"0%")</f>
        <v>PER HARI
100%</v>
      </c>
    </row>
    <row r="70" spans="2:18" x14ac:dyDescent="0.25">
      <c r="B70" s="50" t="s">
        <v>92</v>
      </c>
      <c r="C70" s="55" t="s">
        <v>93</v>
      </c>
      <c r="D70" s="116">
        <f>TARGETS!K22</f>
        <v>298101474.90070933</v>
      </c>
      <c r="E70" s="114">
        <f>IFERROR(C32,0)</f>
        <v>141815642.619306</v>
      </c>
      <c r="F70" s="187">
        <f t="shared" ref="F70:F75" si="12">IFERROR(E70/D70,0)</f>
        <v>0.47572942289715775</v>
      </c>
      <c r="G70" s="184">
        <f>D70*$H$41-E70</f>
        <v>156285832.28140333</v>
      </c>
      <c r="H70" s="184">
        <f t="shared" ref="H70:H75" ca="1" si="13">IFERROR(G70/$C$3,0)</f>
        <v>17365092.47571148</v>
      </c>
      <c r="I70" s="204">
        <f>D70*$J$41-E70</f>
        <v>156285832.28140333</v>
      </c>
      <c r="J70" s="204">
        <f t="shared" ref="J70:J75" ca="1" si="14">IFERROR(I70/$C$3,0)</f>
        <v>17365092.47571148</v>
      </c>
      <c r="K70" s="185">
        <f>D70*$L$41-E70</f>
        <v>156285832.28140333</v>
      </c>
      <c r="L70" s="185">
        <f t="shared" ref="L70:L75" ca="1" si="15">IFERROR(K70/$C$3,0)</f>
        <v>17365092.47571148</v>
      </c>
    </row>
    <row r="71" spans="2:18" x14ac:dyDescent="0.25">
      <c r="B71" s="53" t="s">
        <v>94</v>
      </c>
      <c r="C71" s="56" t="s">
        <v>99</v>
      </c>
      <c r="D71" s="117">
        <f>TARGETS!K23</f>
        <v>441402383.90070933</v>
      </c>
      <c r="E71" s="114">
        <f>IFERROR(C33,0)</f>
        <v>169884721.46534401</v>
      </c>
      <c r="F71" s="187">
        <f t="shared" si="12"/>
        <v>0.38487495233727259</v>
      </c>
      <c r="G71" s="184">
        <f>D71*$H$41-E71</f>
        <v>271517662.43536532</v>
      </c>
      <c r="H71" s="184">
        <f t="shared" ca="1" si="13"/>
        <v>30168629.159485035</v>
      </c>
      <c r="I71" s="204">
        <f>D71*$J$41-E71</f>
        <v>271517662.43536532</v>
      </c>
      <c r="J71" s="204">
        <f t="shared" ca="1" si="14"/>
        <v>30168629.159485035</v>
      </c>
      <c r="K71" s="185">
        <f>D71*$L$41-E71</f>
        <v>271517662.43536532</v>
      </c>
      <c r="L71" s="185">
        <f t="shared" ca="1" si="15"/>
        <v>30168629.159485035</v>
      </c>
    </row>
    <row r="72" spans="2:18" x14ac:dyDescent="0.25">
      <c r="B72" s="50" t="s">
        <v>96</v>
      </c>
      <c r="C72" s="55" t="s">
        <v>97</v>
      </c>
      <c r="D72" s="116">
        <f>TARGETS!K24</f>
        <v>1126453588.0070922</v>
      </c>
      <c r="E72" s="114">
        <f>M21+M7</f>
        <v>581415587.89637005</v>
      </c>
      <c r="F72" s="187">
        <f t="shared" si="12"/>
        <v>0.51614695366633201</v>
      </c>
      <c r="G72" s="184">
        <f>D72*$H$41-E72</f>
        <v>545038000.11072218</v>
      </c>
      <c r="H72" s="184">
        <f t="shared" ca="1" si="13"/>
        <v>60559777.790080242</v>
      </c>
      <c r="I72" s="204">
        <f>D72*$J$41-E72</f>
        <v>545038000.11072218</v>
      </c>
      <c r="J72" s="204">
        <f t="shared" ca="1" si="14"/>
        <v>60559777.790080242</v>
      </c>
      <c r="K72" s="185">
        <f>D72*$L$41-E72</f>
        <v>545038000.11072218</v>
      </c>
      <c r="L72" s="185">
        <f t="shared" ca="1" si="15"/>
        <v>60559777.790080242</v>
      </c>
    </row>
    <row r="73" spans="2:18" hidden="1" x14ac:dyDescent="0.25">
      <c r="B73" s="53" t="s">
        <v>98</v>
      </c>
      <c r="C73" s="56" t="s">
        <v>99</v>
      </c>
      <c r="D73" s="117">
        <f>TARGETS!K25</f>
        <v>0</v>
      </c>
      <c r="E73" s="114">
        <f>0</f>
        <v>0</v>
      </c>
      <c r="F73" s="187">
        <f t="shared" si="12"/>
        <v>0</v>
      </c>
      <c r="G73" s="184">
        <f>D73*$H$41-E73</f>
        <v>0</v>
      </c>
      <c r="H73" s="184">
        <f t="shared" ca="1" si="13"/>
        <v>0</v>
      </c>
      <c r="I73" s="204">
        <f>D73*$J$41-E73</f>
        <v>0</v>
      </c>
      <c r="J73" s="204">
        <f t="shared" ca="1" si="14"/>
        <v>0</v>
      </c>
      <c r="K73" s="185">
        <f>D73*$L$41-E73</f>
        <v>0</v>
      </c>
      <c r="L73" s="185">
        <f t="shared" ca="1" si="15"/>
        <v>0</v>
      </c>
    </row>
    <row r="74" spans="2:18" hidden="1" x14ac:dyDescent="0.25">
      <c r="B74" s="50" t="s">
        <v>100</v>
      </c>
      <c r="C74" s="108" t="s">
        <v>101</v>
      </c>
      <c r="D74" s="116">
        <f>TARGETS!K26</f>
        <v>0</v>
      </c>
      <c r="E74" s="114">
        <f>0</f>
        <v>0</v>
      </c>
      <c r="F74" s="187">
        <f t="shared" si="12"/>
        <v>0</v>
      </c>
      <c r="G74" s="184">
        <f>D74*$H$41-E74</f>
        <v>0</v>
      </c>
      <c r="H74" s="184">
        <f t="shared" ca="1" si="13"/>
        <v>0</v>
      </c>
      <c r="I74" s="204">
        <f>D74*$J$41-E74</f>
        <v>0</v>
      </c>
      <c r="J74" s="204">
        <f t="shared" ca="1" si="14"/>
        <v>0</v>
      </c>
      <c r="K74" s="185">
        <f>D74*$L$41-E74</f>
        <v>0</v>
      </c>
      <c r="L74" s="185">
        <f t="shared" ca="1" si="15"/>
        <v>0</v>
      </c>
    </row>
    <row r="75" spans="2:18" x14ac:dyDescent="0.25">
      <c r="B75" s="57" t="s">
        <v>151</v>
      </c>
      <c r="C75" s="58"/>
      <c r="D75" s="115">
        <f>SUM(D70:D74)</f>
        <v>1865957446.8085108</v>
      </c>
      <c r="E75" s="115">
        <f>SUM(E70:E74)</f>
        <v>893115951.98102009</v>
      </c>
      <c r="F75" s="177">
        <f t="shared" si="12"/>
        <v>0.47863682717340866</v>
      </c>
      <c r="G75" s="181">
        <f>SUM(G70:G74)</f>
        <v>972841494.82749081</v>
      </c>
      <c r="H75" s="181">
        <f t="shared" ca="1" si="13"/>
        <v>108093499.42527676</v>
      </c>
      <c r="I75" s="186">
        <f>SUM(I70:I74)</f>
        <v>972841494.82749081</v>
      </c>
      <c r="J75" s="186">
        <f t="shared" ca="1" si="14"/>
        <v>108093499.42527676</v>
      </c>
      <c r="K75" s="186">
        <f>SUM(K70:K74)</f>
        <v>972841494.82749081</v>
      </c>
      <c r="L75" s="186">
        <f t="shared" ca="1" si="15"/>
        <v>108093499.42527676</v>
      </c>
    </row>
    <row r="78" spans="2:18" ht="20.100000000000001" customHeight="1" x14ac:dyDescent="0.25">
      <c r="B78" s="249" t="s">
        <v>172</v>
      </c>
      <c r="C78" s="250"/>
      <c r="D78" s="251"/>
    </row>
    <row r="79" spans="2:18" ht="15.75" x14ac:dyDescent="0.25">
      <c r="B79" s="268" t="s">
        <v>41</v>
      </c>
      <c r="C79" s="268" t="s">
        <v>42</v>
      </c>
      <c r="D79" s="231" t="s">
        <v>138</v>
      </c>
    </row>
    <row r="80" spans="2:18" ht="15.75" x14ac:dyDescent="0.25">
      <c r="B80" s="258"/>
      <c r="C80" s="258"/>
      <c r="D80" s="70" t="s">
        <v>169</v>
      </c>
    </row>
    <row r="81" spans="2:4" x14ac:dyDescent="0.25">
      <c r="B81" s="50" t="s">
        <v>67</v>
      </c>
      <c r="C81" s="55" t="s">
        <v>68</v>
      </c>
      <c r="D81" s="131">
        <f>SUM(F22)</f>
        <v>334360767.329925</v>
      </c>
    </row>
    <row r="82" spans="2:4" x14ac:dyDescent="0.25">
      <c r="B82" s="53" t="s">
        <v>69</v>
      </c>
      <c r="C82" s="56" t="s">
        <v>70</v>
      </c>
      <c r="D82" s="132">
        <f>SUM(F13,F14)</f>
        <v>103749098.97</v>
      </c>
    </row>
    <row r="83" spans="2:4" x14ac:dyDescent="0.25">
      <c r="B83" s="53" t="s">
        <v>173</v>
      </c>
      <c r="C83" s="56" t="s">
        <v>174</v>
      </c>
      <c r="D83" s="132">
        <f>SUM(F20)</f>
        <v>6378378.2000000002</v>
      </c>
    </row>
    <row r="84" spans="2:4" x14ac:dyDescent="0.25">
      <c r="B84" s="50" t="s">
        <v>71</v>
      </c>
      <c r="C84" s="55" t="s">
        <v>72</v>
      </c>
      <c r="D84" s="131">
        <f>SUM(F15)</f>
        <v>267318922.229835</v>
      </c>
    </row>
    <row r="85" spans="2:4" x14ac:dyDescent="0.25">
      <c r="B85" s="53" t="s">
        <v>73</v>
      </c>
      <c r="C85" s="56" t="s">
        <v>191</v>
      </c>
      <c r="D85" s="132">
        <f>0</f>
        <v>0</v>
      </c>
    </row>
    <row r="86" spans="2:4" x14ac:dyDescent="0.25">
      <c r="B86" s="50" t="s">
        <v>75</v>
      </c>
      <c r="C86" s="55" t="s">
        <v>99</v>
      </c>
      <c r="D86" s="131">
        <f>SUM(F25,F26)</f>
        <v>46361089.700000003</v>
      </c>
    </row>
    <row r="87" spans="2:4" x14ac:dyDescent="0.25">
      <c r="B87" s="53" t="s">
        <v>76</v>
      </c>
      <c r="C87" s="56" t="s">
        <v>77</v>
      </c>
      <c r="D87" s="132">
        <f>SUM(F17)</f>
        <v>867420457.00994599</v>
      </c>
    </row>
    <row r="88" spans="2:4" x14ac:dyDescent="0.25">
      <c r="B88" s="50" t="s">
        <v>78</v>
      </c>
      <c r="C88" s="55" t="s">
        <v>79</v>
      </c>
      <c r="D88" s="131">
        <f>SUM(F23)</f>
        <v>258339878.259509</v>
      </c>
    </row>
    <row r="89" spans="2:4" x14ac:dyDescent="0.25">
      <c r="B89" s="53" t="s">
        <v>173</v>
      </c>
      <c r="C89" s="56" t="s">
        <v>175</v>
      </c>
      <c r="D89" s="132">
        <f>SUM(F21)</f>
        <v>11963963.640000001</v>
      </c>
    </row>
    <row r="90" spans="2:4" x14ac:dyDescent="0.25">
      <c r="B90" s="53" t="s">
        <v>80</v>
      </c>
      <c r="C90" s="56" t="s">
        <v>191</v>
      </c>
      <c r="D90" s="132">
        <f>SUM(F11)</f>
        <v>63772974.200000003</v>
      </c>
    </row>
    <row r="91" spans="2:4" x14ac:dyDescent="0.25">
      <c r="B91" s="50" t="s">
        <v>82</v>
      </c>
      <c r="C91" s="55" t="s">
        <v>83</v>
      </c>
      <c r="D91" s="131">
        <f>SUM(F24)</f>
        <v>476356901.36943501</v>
      </c>
    </row>
    <row r="92" spans="2:4" x14ac:dyDescent="0.25">
      <c r="B92" s="53" t="s">
        <v>84</v>
      </c>
      <c r="C92" s="56" t="s">
        <v>85</v>
      </c>
      <c r="D92" s="132">
        <f>SUM(F10)</f>
        <v>122188826.94</v>
      </c>
    </row>
    <row r="93" spans="2:4" x14ac:dyDescent="0.25">
      <c r="B93" s="50" t="s">
        <v>86</v>
      </c>
      <c r="C93" s="55" t="s">
        <v>87</v>
      </c>
      <c r="D93" s="131">
        <f>SUM(F27)</f>
        <v>10414702.926999999</v>
      </c>
    </row>
    <row r="94" spans="2:4" x14ac:dyDescent="0.25">
      <c r="B94" s="53" t="s">
        <v>88</v>
      </c>
      <c r="C94" s="56" t="s">
        <v>89</v>
      </c>
      <c r="D94" s="132">
        <f>SUM(F18,F19)</f>
        <v>100697299.41999999</v>
      </c>
    </row>
    <row r="95" spans="2:4" x14ac:dyDescent="0.25">
      <c r="B95" s="57" t="s">
        <v>151</v>
      </c>
      <c r="C95" s="58"/>
      <c r="D95" s="120">
        <f>SUM(D81:D94)</f>
        <v>2669323260.1956501</v>
      </c>
    </row>
  </sheetData>
  <mergeCells count="20">
    <mergeCell ref="G68:L68"/>
    <mergeCell ref="B49:L49"/>
    <mergeCell ref="M49:R49"/>
    <mergeCell ref="B50:B51"/>
    <mergeCell ref="C50:C51"/>
    <mergeCell ref="D50:G50"/>
    <mergeCell ref="H50:K50"/>
    <mergeCell ref="Q50:Q51"/>
    <mergeCell ref="R50:R51"/>
    <mergeCell ref="N50:N51"/>
    <mergeCell ref="L50:L51"/>
    <mergeCell ref="M50:M51"/>
    <mergeCell ref="O50:O51"/>
    <mergeCell ref="P50:P51"/>
    <mergeCell ref="B41:D41"/>
    <mergeCell ref="B47:C47"/>
    <mergeCell ref="B79:B80"/>
    <mergeCell ref="C79:C80"/>
    <mergeCell ref="B68:F68"/>
    <mergeCell ref="B78:D78"/>
  </mergeCells>
  <conditionalFormatting sqref="L52:L65">
    <cfRule type="expression" dxfId="14" priority="1">
      <formula>L52&gt;=$F$42-0.05</formula>
    </cfRule>
    <cfRule type="expression" dxfId="13" priority="2">
      <formula>AND(L52&gt;=$F$42-0.2,L52&lt;$F$42-0.05)</formula>
    </cfRule>
    <cfRule type="expression" dxfId="12" priority="3">
      <formula>L52&lt;$F$42-0.2</formula>
    </cfRule>
  </conditionalFormatting>
  <dataValidations count="1">
    <dataValidation type="list" allowBlank="1" showInputMessage="1" showErrorMessage="1" sqref="H41 J41" xr:uid="{00000000-0002-0000-0900-000000000000}">
      <formula1>$S$41:$S$47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S96"/>
  <sheetViews>
    <sheetView showGridLines="0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193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26</v>
      </c>
      <c r="D3" s="76" t="s">
        <v>104</v>
      </c>
      <c r="E3" s="77">
        <f ca="1">DAY(EOMONTH(DATE(YEAR(TODAY()),9,1),0))</f>
        <v>30</v>
      </c>
      <c r="G3" s="221" t="s">
        <v>194</v>
      </c>
      <c r="H3" s="111"/>
      <c r="I3" s="111"/>
      <c r="J3" s="218">
        <v>0</v>
      </c>
    </row>
    <row r="4" spans="2:15" ht="15" customHeight="1" x14ac:dyDescent="0.25">
      <c r="G4" s="221" t="s">
        <v>195</v>
      </c>
      <c r="H4" s="111"/>
      <c r="I4" s="111"/>
      <c r="J4" s="218">
        <v>0</v>
      </c>
    </row>
    <row r="5" spans="2:15" ht="15" customHeight="1" x14ac:dyDescent="0.25">
      <c r="G5" s="221" t="s">
        <v>196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>
        <f>SUM(C22)</f>
        <v>0</v>
      </c>
      <c r="N8" s="11">
        <f>SUM(D22)</f>
        <v>0</v>
      </c>
      <c r="O8" s="171">
        <f>SUM(E22)</f>
        <v>0</v>
      </c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>
        <f>SUM(C13,C14)</f>
        <v>0</v>
      </c>
      <c r="N9" s="11">
        <f>SUM(D13,D14)</f>
        <v>0</v>
      </c>
      <c r="O9" s="171">
        <f>SUM(E13,E14)</f>
        <v>0</v>
      </c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7" si="0">SUM(C10:F10)</f>
        <v>0</v>
      </c>
      <c r="H10" s="111"/>
      <c r="I10" s="111"/>
      <c r="J10" s="111"/>
      <c r="M10" s="11">
        <f>SUM(C15)</f>
        <v>0</v>
      </c>
      <c r="N10" s="11">
        <f>SUM(D15)</f>
        <v>0</v>
      </c>
      <c r="O10" s="171">
        <f>SUM(E15)</f>
        <v>0</v>
      </c>
    </row>
    <row r="11" spans="2:15" ht="15" customHeight="1" x14ac:dyDescent="0.25">
      <c r="B11" s="72" t="s">
        <v>113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>
        <f>SUM(C12)</f>
        <v>0</v>
      </c>
      <c r="N11" s="11">
        <f>SUM(D12)</f>
        <v>0</v>
      </c>
      <c r="O11" s="171">
        <f>SUM(E12)</f>
        <v>0</v>
      </c>
    </row>
    <row r="12" spans="2:15" ht="15" customHeight="1" x14ac:dyDescent="0.25">
      <c r="B12" s="72" t="s">
        <v>183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>
        <f>SUM(C25,C26)</f>
        <v>0</v>
      </c>
      <c r="N12" s="11">
        <f>SUM(D25,D26)</f>
        <v>0</v>
      </c>
      <c r="O12" s="171">
        <f>SUM(E25,E26)</f>
        <v>0</v>
      </c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>
        <f>SUM(C17)</f>
        <v>0</v>
      </c>
      <c r="N13" s="11">
        <f>SUM(D17)</f>
        <v>0</v>
      </c>
      <c r="O13" s="171">
        <f>SUM(E17)</f>
        <v>0</v>
      </c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>
        <f>SUM(C23)</f>
        <v>0</v>
      </c>
      <c r="N14" s="11">
        <f>SUM(D23)</f>
        <v>0</v>
      </c>
      <c r="O14" s="171">
        <f>SUM(E23)</f>
        <v>0</v>
      </c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>
        <f>SUM(C11)</f>
        <v>0</v>
      </c>
      <c r="N15" s="11">
        <f>SUM(D11)</f>
        <v>0</v>
      </c>
      <c r="O15" s="171">
        <f>SUM(E11)</f>
        <v>0</v>
      </c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>
        <f>SUM(C24)</f>
        <v>0</v>
      </c>
      <c r="N16" s="11">
        <f>SUM(D24)</f>
        <v>0</v>
      </c>
      <c r="O16" s="171">
        <f>SUM(E24)</f>
        <v>0</v>
      </c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>
        <f>SUM(C10)</f>
        <v>0</v>
      </c>
      <c r="N17" s="11">
        <f>SUM(D10)</f>
        <v>0</v>
      </c>
      <c r="O17" s="171">
        <f>SUM(E10)</f>
        <v>0</v>
      </c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>
        <f>SUM(C27)</f>
        <v>0</v>
      </c>
      <c r="N18" s="11">
        <f>SUM(D27)</f>
        <v>0</v>
      </c>
      <c r="O18" s="171">
        <f>SUM(E27)</f>
        <v>0</v>
      </c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>
        <f>SUM(C18,C19)</f>
        <v>0</v>
      </c>
      <c r="N19" s="11">
        <f>SUM(D18,D19)</f>
        <v>0</v>
      </c>
      <c r="O19" s="171">
        <f>SUM(E18,E19)</f>
        <v>0</v>
      </c>
    </row>
    <row r="20" spans="2:15" ht="15" customHeight="1" x14ac:dyDescent="0.25">
      <c r="B20" s="72" t="s">
        <v>170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SUM(C31,C36)</f>
        <v>0</v>
      </c>
      <c r="N20" s="10" t="s">
        <v>119</v>
      </c>
    </row>
    <row r="21" spans="2:15" ht="15" customHeight="1" x14ac:dyDescent="0.25">
      <c r="B21" s="72" t="s">
        <v>171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SUM(C34,C35)+M20</f>
        <v>0</v>
      </c>
      <c r="N21" s="10" t="s">
        <v>121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185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B27" s="72" t="s">
        <v>127</v>
      </c>
      <c r="C27" s="15"/>
      <c r="D27" s="15"/>
      <c r="E27" s="15"/>
      <c r="F27" s="15"/>
      <c r="G27" s="15">
        <f t="shared" si="0"/>
        <v>0</v>
      </c>
      <c r="H27" s="111"/>
      <c r="I27" s="111"/>
      <c r="J27" s="111"/>
    </row>
    <row r="28" spans="2:15" ht="15" customHeight="1" x14ac:dyDescent="0.25">
      <c r="G28" s="111"/>
      <c r="H28" s="111"/>
      <c r="I28" s="111"/>
    </row>
    <row r="29" spans="2:15" ht="15" customHeight="1" x14ac:dyDescent="0.25">
      <c r="B29" s="79" t="s">
        <v>128</v>
      </c>
      <c r="C29" s="79"/>
      <c r="G29" s="111"/>
      <c r="H29" s="111"/>
      <c r="I29" s="111"/>
    </row>
    <row r="30" spans="2:15" ht="15" customHeight="1" x14ac:dyDescent="0.25">
      <c r="B30" s="80" t="s">
        <v>129</v>
      </c>
      <c r="C30" s="80" t="s">
        <v>130</v>
      </c>
      <c r="G30" s="111"/>
      <c r="H30" s="111"/>
      <c r="I30" s="111"/>
    </row>
    <row r="31" spans="2:15" ht="15" customHeight="1" x14ac:dyDescent="0.25">
      <c r="B31" s="73"/>
      <c r="C31" s="107"/>
      <c r="G31" s="111"/>
      <c r="H31" s="111"/>
      <c r="I31" s="111"/>
    </row>
    <row r="32" spans="2:15" ht="15" customHeight="1" x14ac:dyDescent="0.25">
      <c r="B32" s="81" t="s">
        <v>131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132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133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134</v>
      </c>
      <c r="C35" s="15">
        <v>0</v>
      </c>
      <c r="G35" s="111"/>
      <c r="H35" s="111"/>
      <c r="I35" s="111"/>
    </row>
    <row r="36" spans="2:19" ht="15" customHeight="1" x14ac:dyDescent="0.25">
      <c r="B36" s="81" t="s">
        <v>135</v>
      </c>
      <c r="C36" s="15">
        <v>0</v>
      </c>
      <c r="G36" s="111"/>
      <c r="H36" s="111"/>
      <c r="I36" s="111"/>
    </row>
    <row r="37" spans="2:19" ht="15" customHeight="1" x14ac:dyDescent="0.25">
      <c r="B37" s="81"/>
      <c r="C37" s="82"/>
      <c r="G37" s="111"/>
      <c r="H37" s="111"/>
      <c r="I37" s="111"/>
    </row>
    <row r="38" spans="2:19" ht="15" customHeight="1" x14ac:dyDescent="0.25">
      <c r="B38" s="73"/>
      <c r="C38" s="82"/>
      <c r="G38" s="111"/>
      <c r="H38" s="111"/>
      <c r="I38" s="111"/>
    </row>
    <row r="39" spans="2:19" ht="15" customHeight="1" x14ac:dyDescent="0.25">
      <c r="G39" s="111"/>
      <c r="H39" s="111"/>
      <c r="I39" s="111"/>
    </row>
    <row r="40" spans="2:19" ht="15" customHeight="1" x14ac:dyDescent="0.25">
      <c r="G40" s="111"/>
      <c r="H40" s="111"/>
      <c r="I40" s="111"/>
      <c r="S40" s="172" t="s">
        <v>186</v>
      </c>
    </row>
    <row r="41" spans="2:19" ht="20.100000000000001" customHeight="1" x14ac:dyDescent="0.25">
      <c r="B41" s="259" t="s">
        <v>162</v>
      </c>
      <c r="C41" s="260"/>
      <c r="D41" s="261"/>
      <c r="E41" s="66" t="s">
        <v>137</v>
      </c>
      <c r="F41" s="174">
        <f ca="1">IF(MONTH(TODAY())=9,DAY(TODAY())/DAY(EOMONTH(TODAY(),0)),IF(MONTH(TODAY())&gt;9,1,0))</f>
        <v>0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0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90">
        <v>0.75</v>
      </c>
    </row>
    <row r="43" spans="2:19" ht="15.95" customHeight="1" x14ac:dyDescent="0.25">
      <c r="B43" s="109" t="s">
        <v>142</v>
      </c>
      <c r="C43" s="41" t="s">
        <v>143</v>
      </c>
      <c r="D43" s="45">
        <f>SUM(TARGETS!AB5:AB18)</f>
        <v>0</v>
      </c>
      <c r="E43" s="46">
        <f>H66</f>
        <v>0</v>
      </c>
      <c r="F43" s="176">
        <f>IFERROR(E43/D43,0)</f>
        <v>0</v>
      </c>
      <c r="G43" s="184">
        <f>D43*$H$41-E43</f>
        <v>0</v>
      </c>
      <c r="H43" s="184">
        <f ca="1">IFERROR(G43/$C$3,0)</f>
        <v>0</v>
      </c>
      <c r="I43" s="204">
        <f>D43*$J$41-E43</f>
        <v>0</v>
      </c>
      <c r="J43" s="204">
        <f ca="1">IFERROR(I43/$C$3,0)</f>
        <v>0</v>
      </c>
      <c r="K43" s="185">
        <f>D43*$L$41-E43</f>
        <v>0</v>
      </c>
      <c r="L43" s="185">
        <f ca="1">IFERROR(K43/$C$3,0)</f>
        <v>0</v>
      </c>
      <c r="S43" s="173">
        <v>0.8</v>
      </c>
    </row>
    <row r="44" spans="2:19" ht="15.95" customHeight="1" x14ac:dyDescent="0.25">
      <c r="B44" s="109" t="s">
        <v>110</v>
      </c>
      <c r="C44" s="41" t="s">
        <v>143</v>
      </c>
      <c r="D44" s="45">
        <f>SUM(TARGETS!AC5:AC18)</f>
        <v>0</v>
      </c>
      <c r="E44" s="46">
        <f>I66</f>
        <v>0</v>
      </c>
      <c r="F44" s="176">
        <f>IFERROR(E44/D44,0)</f>
        <v>0</v>
      </c>
      <c r="G44" s="184">
        <f>D44*$H$41-E44</f>
        <v>0</v>
      </c>
      <c r="H44" s="184">
        <f ca="1">IFERROR(G44/$C$3,0)</f>
        <v>0</v>
      </c>
      <c r="I44" s="204">
        <f>D44*$J$41-E44</f>
        <v>0</v>
      </c>
      <c r="J44" s="204">
        <f ca="1">IFERROR(I44/$C$3,0)</f>
        <v>0</v>
      </c>
      <c r="K44" s="185">
        <f>D44*$L$41-E44</f>
        <v>0</v>
      </c>
      <c r="L44" s="185">
        <f ca="1">IFERROR(K44/$C$3,0)</f>
        <v>0</v>
      </c>
      <c r="S44" s="173">
        <v>0.85</v>
      </c>
    </row>
    <row r="45" spans="2:19" ht="15.95" customHeight="1" x14ac:dyDescent="0.25">
      <c r="B45" s="109" t="s">
        <v>209</v>
      </c>
      <c r="C45" s="41" t="s">
        <v>143</v>
      </c>
      <c r="D45" s="45">
        <f>SUM(TARGETS!AD5:AD18)</f>
        <v>0</v>
      </c>
      <c r="E45" s="46">
        <f>J66</f>
        <v>0</v>
      </c>
      <c r="F45" s="176">
        <f>IFERROR(E45/D45,0)</f>
        <v>0</v>
      </c>
      <c r="G45" s="184">
        <f>IF(D45=0,0,D45*$H$41-E45)</f>
        <v>0</v>
      </c>
      <c r="H45" s="184">
        <f ca="1">IFERROR(G45/$C$3,0)</f>
        <v>0</v>
      </c>
      <c r="I45" s="204">
        <f>IF(D45=0,0,D45*$J$41-E45)</f>
        <v>0</v>
      </c>
      <c r="J45" s="204">
        <f ca="1">IFERROR(I45/$C$3,0)</f>
        <v>0</v>
      </c>
      <c r="K45" s="185">
        <f>IF(D45=0,0,D45*$L$41-E45)</f>
        <v>0</v>
      </c>
      <c r="L45" s="185">
        <f ca="1">IFERROR(K45/$C$3,0)</f>
        <v>0</v>
      </c>
      <c r="S45" s="173">
        <v>0.9</v>
      </c>
    </row>
    <row r="46" spans="2:19" ht="15.95" customHeight="1" x14ac:dyDescent="0.25">
      <c r="B46" s="109" t="s">
        <v>144</v>
      </c>
      <c r="C46" s="41" t="s">
        <v>143</v>
      </c>
      <c r="D46" s="45">
        <f>SUM(TARGETS!L22:L26)</f>
        <v>0</v>
      </c>
      <c r="E46" s="46">
        <f>SUM(C32,C33)+M21</f>
        <v>0</v>
      </c>
      <c r="F46" s="176">
        <f>IFERROR(E46/D46,0)</f>
        <v>0</v>
      </c>
      <c r="G46" s="184">
        <f>D46*$H$41-E46</f>
        <v>0</v>
      </c>
      <c r="H46" s="184">
        <f ca="1">IFERROR(G46/$C$3,0)</f>
        <v>0</v>
      </c>
      <c r="I46" s="204">
        <f>D46*$J$41-E46</f>
        <v>0</v>
      </c>
      <c r="J46" s="204">
        <f ca="1">IFERROR(I46/$C$3,0)</f>
        <v>0</v>
      </c>
      <c r="K46" s="185">
        <f>D46*$L$41-E46</f>
        <v>0</v>
      </c>
      <c r="L46" s="185">
        <f ca="1">IFERROR(K46/$C$3,0)</f>
        <v>0</v>
      </c>
      <c r="S46" s="173">
        <v>0.95</v>
      </c>
    </row>
    <row r="47" spans="2:19" ht="15" customHeight="1" x14ac:dyDescent="0.25">
      <c r="B47" s="256" t="s">
        <v>145</v>
      </c>
      <c r="C47" s="257"/>
      <c r="D47" s="47">
        <f>SUM(D43:D46)</f>
        <v>0</v>
      </c>
      <c r="E47" s="47">
        <f>SUM(E43:E46)</f>
        <v>0</v>
      </c>
      <c r="F47" s="177">
        <f>IFERROR(E47/D47,0)</f>
        <v>0</v>
      </c>
      <c r="G47" s="181">
        <f>SUM(G43:G46)</f>
        <v>0</v>
      </c>
      <c r="H47" s="181">
        <f ca="1">IFERROR(G47/$C$3,0)</f>
        <v>0</v>
      </c>
      <c r="I47" s="186">
        <f>SUM(I43:I46)</f>
        <v>0</v>
      </c>
      <c r="J47" s="186">
        <f ca="1">IFERROR(I47/$C$3,0)</f>
        <v>0</v>
      </c>
      <c r="K47" s="186">
        <f>SUM(K43:K46)</f>
        <v>0</v>
      </c>
      <c r="L47" s="186">
        <f ca="1">IFERROR(K47/$C$3,0)</f>
        <v>0</v>
      </c>
      <c r="S47" s="173">
        <v>1</v>
      </c>
    </row>
    <row r="48" spans="2:19" ht="15" customHeight="1" x14ac:dyDescent="0.25">
      <c r="G48" s="111"/>
      <c r="H48" s="111"/>
      <c r="I48" s="111"/>
      <c r="S48" s="173"/>
    </row>
    <row r="49" spans="2:18" ht="18.95" customHeight="1" x14ac:dyDescent="0.25">
      <c r="B49" s="262" t="s">
        <v>146</v>
      </c>
      <c r="C49" s="263"/>
      <c r="D49" s="263"/>
      <c r="E49" s="263"/>
      <c r="F49" s="263"/>
      <c r="G49" s="263"/>
      <c r="H49" s="263"/>
      <c r="I49" s="263"/>
      <c r="J49" s="263"/>
      <c r="K49" s="263"/>
      <c r="L49" s="286"/>
      <c r="M49" s="269" t="s">
        <v>187</v>
      </c>
      <c r="N49" s="270"/>
      <c r="O49" s="270"/>
      <c r="P49" s="270"/>
      <c r="Q49" s="270"/>
      <c r="R49" s="271"/>
    </row>
    <row r="50" spans="2:18" ht="17.100000000000001" customHeight="1" x14ac:dyDescent="0.25">
      <c r="B50" s="287" t="s">
        <v>41</v>
      </c>
      <c r="C50" s="287" t="s">
        <v>42</v>
      </c>
      <c r="D50" s="253" t="s">
        <v>137</v>
      </c>
      <c r="E50" s="254"/>
      <c r="F50" s="254"/>
      <c r="G50" s="255"/>
      <c r="H50" s="288" t="s">
        <v>138</v>
      </c>
      <c r="I50" s="289"/>
      <c r="J50" s="289"/>
      <c r="K50" s="290"/>
      <c r="L50" s="291" t="s">
        <v>139</v>
      </c>
      <c r="M50" s="272" t="str">
        <f>"SELISIH"&amp;CHAR(10)&amp;TEXT($H$41,"0%")</f>
        <v>SELISIH
90%</v>
      </c>
      <c r="N50" s="272" t="str">
        <f>"PER HARI"&amp;CHAR(10)&amp;TEXT($H$41,"0%")</f>
        <v>PER HARI
90%</v>
      </c>
      <c r="O50" s="274" t="str">
        <f>"SELISIH"&amp;CHAR(10)&amp;TEXT($J$41,"0%")</f>
        <v>SELISIH
95%</v>
      </c>
      <c r="P50" s="274" t="str">
        <f>"PER HARI"&amp;CHAR(10)&amp;TEXT($J$41,"0%")</f>
        <v>PER HARI
95%</v>
      </c>
      <c r="Q50" s="276" t="str">
        <f>"SELISIH"&amp;CHAR(10)&amp;TEXT($L$41,"0%")</f>
        <v>SELISIH
100%</v>
      </c>
      <c r="R50" s="276" t="str">
        <f>"PER HARI"&amp;CHAR(10)&amp;TEXT($L$41,"0%")</f>
        <v>PER HARI
100%</v>
      </c>
    </row>
    <row r="51" spans="2:18" ht="17.100000000000001" customHeight="1" x14ac:dyDescent="0.25">
      <c r="B51" s="268"/>
      <c r="C51" s="268"/>
      <c r="D51" s="70" t="s">
        <v>149</v>
      </c>
      <c r="E51" s="70" t="s">
        <v>150</v>
      </c>
      <c r="F51" s="70" t="s">
        <v>211</v>
      </c>
      <c r="G51" s="70" t="s">
        <v>130</v>
      </c>
      <c r="H51" s="113" t="s">
        <v>149</v>
      </c>
      <c r="I51" s="113" t="s">
        <v>150</v>
      </c>
      <c r="J51" s="113" t="s">
        <v>211</v>
      </c>
      <c r="K51" s="113" t="s">
        <v>130</v>
      </c>
      <c r="L51" s="292"/>
      <c r="M51" s="273"/>
      <c r="N51" s="273"/>
      <c r="O51" s="275"/>
      <c r="P51" s="275"/>
      <c r="Q51" s="277"/>
      <c r="R51" s="277"/>
    </row>
    <row r="52" spans="2:18" ht="15.95" customHeight="1" x14ac:dyDescent="0.25">
      <c r="B52" s="50" t="s">
        <v>67</v>
      </c>
      <c r="C52" s="55" t="s">
        <v>68</v>
      </c>
      <c r="D52" s="118">
        <f>TARGETS!AB5</f>
        <v>0</v>
      </c>
      <c r="E52" s="118">
        <f>TARGETS!AC5</f>
        <v>0</v>
      </c>
      <c r="F52" s="118">
        <f>TARGETS!AD5</f>
        <v>0</v>
      </c>
      <c r="G52" s="118">
        <f t="shared" ref="G52:G65" si="1">SUM(D52:F52)</f>
        <v>0</v>
      </c>
      <c r="H52" s="114">
        <f>M8</f>
        <v>0</v>
      </c>
      <c r="I52" s="114">
        <f>N8</f>
        <v>0</v>
      </c>
      <c r="J52" s="114">
        <f>SUM(O8)</f>
        <v>0</v>
      </c>
      <c r="K52" s="114">
        <f t="shared" ref="K52:K65" si="2">SUM(H52:J52)</f>
        <v>0</v>
      </c>
      <c r="L52" s="187">
        <f t="shared" ref="L52:L66" si="3">IFERROR(K52/G52,0)</f>
        <v>0</v>
      </c>
      <c r="M52" s="184">
        <f t="shared" ref="M52:M65" si="4">G52*$H$41-K52</f>
        <v>0</v>
      </c>
      <c r="N52" s="184">
        <f t="shared" ref="N52:N66" ca="1" si="5">IFERROR(M52/$C$3,0)</f>
        <v>0</v>
      </c>
      <c r="O52" s="180">
        <f t="shared" ref="O52:O65" si="6">G52*$J$41-K52</f>
        <v>0</v>
      </c>
      <c r="P52" s="180">
        <f t="shared" ref="P52:P66" ca="1" si="7">IFERROR(O52/$C$3,0)</f>
        <v>0</v>
      </c>
      <c r="Q52" s="185">
        <f t="shared" ref="Q52:Q65" si="8">G52*$L$41-K52</f>
        <v>0</v>
      </c>
      <c r="R52" s="185">
        <f t="shared" ref="R52:R66" ca="1" si="9">IFERROR(Q52/$C$3,0)</f>
        <v>0</v>
      </c>
    </row>
    <row r="53" spans="2:18" ht="15.95" customHeight="1" x14ac:dyDescent="0.25">
      <c r="B53" s="53" t="s">
        <v>69</v>
      </c>
      <c r="C53" s="56" t="s">
        <v>70</v>
      </c>
      <c r="D53" s="119">
        <f>TARGETS!AB6</f>
        <v>0</v>
      </c>
      <c r="E53" s="119">
        <f>TARGETS!AC6</f>
        <v>0</v>
      </c>
      <c r="F53" s="119">
        <f>TARGETS!AD6</f>
        <v>0</v>
      </c>
      <c r="G53" s="119">
        <f t="shared" si="1"/>
        <v>0</v>
      </c>
      <c r="H53" s="114">
        <f>M9</f>
        <v>0</v>
      </c>
      <c r="I53" s="114">
        <f>N9</f>
        <v>0</v>
      </c>
      <c r="J53" s="114">
        <f>SUM(O9)</f>
        <v>0</v>
      </c>
      <c r="K53" s="114">
        <f t="shared" si="2"/>
        <v>0</v>
      </c>
      <c r="L53" s="187">
        <f t="shared" si="3"/>
        <v>0</v>
      </c>
      <c r="M53" s="184">
        <f t="shared" si="4"/>
        <v>0</v>
      </c>
      <c r="N53" s="184">
        <f t="shared" ca="1" si="5"/>
        <v>0</v>
      </c>
      <c r="O53" s="180">
        <f t="shared" si="6"/>
        <v>0</v>
      </c>
      <c r="P53" s="180">
        <f t="shared" ca="1" si="7"/>
        <v>0</v>
      </c>
      <c r="Q53" s="185">
        <f t="shared" si="8"/>
        <v>0</v>
      </c>
      <c r="R53" s="185">
        <f t="shared" ca="1" si="9"/>
        <v>0</v>
      </c>
    </row>
    <row r="54" spans="2:18" ht="15.95" customHeight="1" x14ac:dyDescent="0.25">
      <c r="B54" s="136" t="s">
        <v>173</v>
      </c>
      <c r="C54" s="137" t="s">
        <v>174</v>
      </c>
      <c r="D54" s="138">
        <f>TARGETS!AB7</f>
        <v>0</v>
      </c>
      <c r="E54" s="138">
        <f>TARGETS!AC7</f>
        <v>0</v>
      </c>
      <c r="F54" s="138">
        <f>TARGETS!AD7</f>
        <v>0</v>
      </c>
      <c r="G54" s="138">
        <f t="shared" si="1"/>
        <v>0</v>
      </c>
      <c r="H54" s="114">
        <f>SUM(C20)</f>
        <v>0</v>
      </c>
      <c r="I54" s="114">
        <f>SUM(D20)</f>
        <v>0</v>
      </c>
      <c r="J54" s="114">
        <f>SUM(E20)</f>
        <v>0</v>
      </c>
      <c r="K54" s="114">
        <f t="shared" si="2"/>
        <v>0</v>
      </c>
      <c r="L54" s="187">
        <f t="shared" si="3"/>
        <v>0</v>
      </c>
      <c r="M54" s="184">
        <f t="shared" si="4"/>
        <v>0</v>
      </c>
      <c r="N54" s="184">
        <f t="shared" ca="1" si="5"/>
        <v>0</v>
      </c>
      <c r="O54" s="180">
        <f t="shared" si="6"/>
        <v>0</v>
      </c>
      <c r="P54" s="180">
        <f t="shared" ca="1" si="7"/>
        <v>0</v>
      </c>
      <c r="Q54" s="185">
        <f t="shared" si="8"/>
        <v>0</v>
      </c>
      <c r="R54" s="185">
        <f t="shared" ca="1" si="9"/>
        <v>0</v>
      </c>
    </row>
    <row r="55" spans="2:18" ht="15.95" customHeight="1" x14ac:dyDescent="0.25">
      <c r="B55" s="53" t="s">
        <v>71</v>
      </c>
      <c r="C55" s="56" t="s">
        <v>72</v>
      </c>
      <c r="D55" s="119">
        <f>TARGETS!AB8</f>
        <v>0</v>
      </c>
      <c r="E55" s="119">
        <f>TARGETS!AC8</f>
        <v>0</v>
      </c>
      <c r="F55" s="119">
        <f>TARGETS!AD8</f>
        <v>0</v>
      </c>
      <c r="G55" s="119">
        <f t="shared" si="1"/>
        <v>0</v>
      </c>
      <c r="H55" s="114">
        <f t="shared" ref="H55:I59" si="10">M10</f>
        <v>0</v>
      </c>
      <c r="I55" s="114">
        <f t="shared" si="10"/>
        <v>0</v>
      </c>
      <c r="J55" s="114">
        <f>SUM(O10)</f>
        <v>0</v>
      </c>
      <c r="K55" s="114">
        <f t="shared" si="2"/>
        <v>0</v>
      </c>
      <c r="L55" s="187">
        <f t="shared" si="3"/>
        <v>0</v>
      </c>
      <c r="M55" s="184">
        <f t="shared" si="4"/>
        <v>0</v>
      </c>
      <c r="N55" s="184">
        <f t="shared" ca="1" si="5"/>
        <v>0</v>
      </c>
      <c r="O55" s="180">
        <f t="shared" si="6"/>
        <v>0</v>
      </c>
      <c r="P55" s="180">
        <f t="shared" ca="1" si="7"/>
        <v>0</v>
      </c>
      <c r="Q55" s="185">
        <f t="shared" si="8"/>
        <v>0</v>
      </c>
      <c r="R55" s="185">
        <f t="shared" ca="1" si="9"/>
        <v>0</v>
      </c>
    </row>
    <row r="56" spans="2:18" ht="15.95" customHeight="1" x14ac:dyDescent="0.25">
      <c r="B56" s="50" t="s">
        <v>73</v>
      </c>
      <c r="C56" s="55" t="s">
        <v>182</v>
      </c>
      <c r="D56" s="118">
        <f>TARGETS!AB9</f>
        <v>0</v>
      </c>
      <c r="E56" s="118">
        <f>TARGETS!AC9</f>
        <v>0</v>
      </c>
      <c r="F56" s="118">
        <f>TARGETS!AD9</f>
        <v>0</v>
      </c>
      <c r="G56" s="118">
        <f t="shared" si="1"/>
        <v>0</v>
      </c>
      <c r="H56" s="114">
        <f t="shared" si="10"/>
        <v>0</v>
      </c>
      <c r="I56" s="114">
        <f t="shared" si="10"/>
        <v>0</v>
      </c>
      <c r="J56" s="114">
        <f>SUM(O11)</f>
        <v>0</v>
      </c>
      <c r="K56" s="114">
        <f t="shared" si="2"/>
        <v>0</v>
      </c>
      <c r="L56" s="187">
        <f t="shared" si="3"/>
        <v>0</v>
      </c>
      <c r="M56" s="184">
        <f t="shared" si="4"/>
        <v>0</v>
      </c>
      <c r="N56" s="184">
        <f t="shared" ca="1" si="5"/>
        <v>0</v>
      </c>
      <c r="O56" s="180">
        <f t="shared" si="6"/>
        <v>0</v>
      </c>
      <c r="P56" s="180">
        <f t="shared" ca="1" si="7"/>
        <v>0</v>
      </c>
      <c r="Q56" s="185">
        <f t="shared" si="8"/>
        <v>0</v>
      </c>
      <c r="R56" s="185">
        <f t="shared" ca="1" si="9"/>
        <v>0</v>
      </c>
    </row>
    <row r="57" spans="2:18" ht="15.95" customHeight="1" x14ac:dyDescent="0.25">
      <c r="B57" s="53" t="s">
        <v>75</v>
      </c>
      <c r="C57" s="56" t="s">
        <v>99</v>
      </c>
      <c r="D57" s="119">
        <f>TARGETS!AB10</f>
        <v>0</v>
      </c>
      <c r="E57" s="119">
        <f>TARGETS!AC10</f>
        <v>0</v>
      </c>
      <c r="F57" s="119">
        <f>TARGETS!AD10</f>
        <v>0</v>
      </c>
      <c r="G57" s="119">
        <f t="shared" si="1"/>
        <v>0</v>
      </c>
      <c r="H57" s="114">
        <f t="shared" si="10"/>
        <v>0</v>
      </c>
      <c r="I57" s="114">
        <f t="shared" si="10"/>
        <v>0</v>
      </c>
      <c r="J57" s="114">
        <f>SUM(O12)</f>
        <v>0</v>
      </c>
      <c r="K57" s="114">
        <f t="shared" si="2"/>
        <v>0</v>
      </c>
      <c r="L57" s="187">
        <f t="shared" si="3"/>
        <v>0</v>
      </c>
      <c r="M57" s="184">
        <f t="shared" si="4"/>
        <v>0</v>
      </c>
      <c r="N57" s="184">
        <f t="shared" ca="1" si="5"/>
        <v>0</v>
      </c>
      <c r="O57" s="180">
        <f t="shared" si="6"/>
        <v>0</v>
      </c>
      <c r="P57" s="180">
        <f t="shared" ca="1" si="7"/>
        <v>0</v>
      </c>
      <c r="Q57" s="185">
        <f t="shared" si="8"/>
        <v>0</v>
      </c>
      <c r="R57" s="185">
        <f t="shared" ca="1" si="9"/>
        <v>0</v>
      </c>
    </row>
    <row r="58" spans="2:18" ht="15.95" customHeight="1" x14ac:dyDescent="0.25">
      <c r="B58" s="50" t="s">
        <v>76</v>
      </c>
      <c r="C58" s="55" t="s">
        <v>77</v>
      </c>
      <c r="D58" s="118">
        <f>TARGETS!AB11</f>
        <v>0</v>
      </c>
      <c r="E58" s="118">
        <f>TARGETS!AC11</f>
        <v>0</v>
      </c>
      <c r="F58" s="118">
        <f>TARGETS!AD11</f>
        <v>0</v>
      </c>
      <c r="G58" s="118">
        <f t="shared" si="1"/>
        <v>0</v>
      </c>
      <c r="H58" s="114">
        <f t="shared" si="10"/>
        <v>0</v>
      </c>
      <c r="I58" s="114">
        <f t="shared" si="10"/>
        <v>0</v>
      </c>
      <c r="J58" s="114">
        <f>SUM(O13)</f>
        <v>0</v>
      </c>
      <c r="K58" s="114">
        <f t="shared" si="2"/>
        <v>0</v>
      </c>
      <c r="L58" s="187">
        <f t="shared" si="3"/>
        <v>0</v>
      </c>
      <c r="M58" s="184">
        <f t="shared" si="4"/>
        <v>0</v>
      </c>
      <c r="N58" s="184">
        <f t="shared" ca="1" si="5"/>
        <v>0</v>
      </c>
      <c r="O58" s="180">
        <f t="shared" si="6"/>
        <v>0</v>
      </c>
      <c r="P58" s="180">
        <f t="shared" ca="1" si="7"/>
        <v>0</v>
      </c>
      <c r="Q58" s="185">
        <f t="shared" si="8"/>
        <v>0</v>
      </c>
      <c r="R58" s="185">
        <f t="shared" ca="1" si="9"/>
        <v>0</v>
      </c>
    </row>
    <row r="59" spans="2:18" ht="15.95" customHeight="1" x14ac:dyDescent="0.25">
      <c r="B59" s="53" t="s">
        <v>78</v>
      </c>
      <c r="C59" s="56" t="s">
        <v>79</v>
      </c>
      <c r="D59" s="119">
        <f>TARGETS!AB12</f>
        <v>0</v>
      </c>
      <c r="E59" s="119">
        <f>TARGETS!AC12</f>
        <v>0</v>
      </c>
      <c r="F59" s="119">
        <f>TARGETS!AD12</f>
        <v>0</v>
      </c>
      <c r="G59" s="119">
        <f t="shared" si="1"/>
        <v>0</v>
      </c>
      <c r="H59" s="114">
        <f t="shared" si="10"/>
        <v>0</v>
      </c>
      <c r="I59" s="114">
        <f t="shared" si="10"/>
        <v>0</v>
      </c>
      <c r="J59" s="114">
        <f>SUM(O14)</f>
        <v>0</v>
      </c>
      <c r="K59" s="114">
        <f t="shared" si="2"/>
        <v>0</v>
      </c>
      <c r="L59" s="187">
        <f t="shared" si="3"/>
        <v>0</v>
      </c>
      <c r="M59" s="184">
        <f t="shared" si="4"/>
        <v>0</v>
      </c>
      <c r="N59" s="184">
        <f t="shared" ca="1" si="5"/>
        <v>0</v>
      </c>
      <c r="O59" s="180">
        <f t="shared" si="6"/>
        <v>0</v>
      </c>
      <c r="P59" s="180">
        <f t="shared" ca="1" si="7"/>
        <v>0</v>
      </c>
      <c r="Q59" s="185">
        <f t="shared" si="8"/>
        <v>0</v>
      </c>
      <c r="R59" s="185">
        <f t="shared" ca="1" si="9"/>
        <v>0</v>
      </c>
    </row>
    <row r="60" spans="2:18" ht="15.95" customHeight="1" x14ac:dyDescent="0.25">
      <c r="B60" s="136" t="s">
        <v>173</v>
      </c>
      <c r="C60" s="137" t="s">
        <v>175</v>
      </c>
      <c r="D60" s="138">
        <f>TARGETS!AB13</f>
        <v>0</v>
      </c>
      <c r="E60" s="138">
        <f>TARGETS!AC13</f>
        <v>0</v>
      </c>
      <c r="F60" s="138">
        <f>TARGETS!AD13</f>
        <v>0</v>
      </c>
      <c r="G60" s="138">
        <f t="shared" si="1"/>
        <v>0</v>
      </c>
      <c r="H60" s="114">
        <f>SUM(C21)</f>
        <v>0</v>
      </c>
      <c r="I60" s="114">
        <f>SUM(D21)</f>
        <v>0</v>
      </c>
      <c r="J60" s="114">
        <f>SUM(E21)</f>
        <v>0</v>
      </c>
      <c r="K60" s="114">
        <f t="shared" si="2"/>
        <v>0</v>
      </c>
      <c r="L60" s="187">
        <f t="shared" si="3"/>
        <v>0</v>
      </c>
      <c r="M60" s="184">
        <f t="shared" si="4"/>
        <v>0</v>
      </c>
      <c r="N60" s="184">
        <f t="shared" ca="1" si="5"/>
        <v>0</v>
      </c>
      <c r="O60" s="180">
        <f t="shared" si="6"/>
        <v>0</v>
      </c>
      <c r="P60" s="180">
        <f t="shared" ca="1" si="7"/>
        <v>0</v>
      </c>
      <c r="Q60" s="185">
        <f t="shared" si="8"/>
        <v>0</v>
      </c>
      <c r="R60" s="185">
        <f t="shared" ca="1" si="9"/>
        <v>0</v>
      </c>
    </row>
    <row r="61" spans="2:18" ht="15.95" customHeight="1" x14ac:dyDescent="0.25">
      <c r="B61" s="53" t="s">
        <v>80</v>
      </c>
      <c r="C61" s="56" t="s">
        <v>81</v>
      </c>
      <c r="D61" s="119">
        <f>TARGETS!AB14</f>
        <v>0</v>
      </c>
      <c r="E61" s="119">
        <f>TARGETS!AC14</f>
        <v>0</v>
      </c>
      <c r="F61" s="119">
        <f>TARGETS!AD14</f>
        <v>0</v>
      </c>
      <c r="G61" s="119">
        <f t="shared" si="1"/>
        <v>0</v>
      </c>
      <c r="H61" s="114">
        <f t="shared" ref="H61:I65" si="11">M15</f>
        <v>0</v>
      </c>
      <c r="I61" s="114">
        <f t="shared" si="11"/>
        <v>0</v>
      </c>
      <c r="J61" s="114">
        <f>SUM(O15)</f>
        <v>0</v>
      </c>
      <c r="K61" s="114">
        <f t="shared" si="2"/>
        <v>0</v>
      </c>
      <c r="L61" s="187">
        <f t="shared" si="3"/>
        <v>0</v>
      </c>
      <c r="M61" s="184">
        <f t="shared" si="4"/>
        <v>0</v>
      </c>
      <c r="N61" s="184">
        <f t="shared" ca="1" si="5"/>
        <v>0</v>
      </c>
      <c r="O61" s="180">
        <f t="shared" si="6"/>
        <v>0</v>
      </c>
      <c r="P61" s="180">
        <f t="shared" ca="1" si="7"/>
        <v>0</v>
      </c>
      <c r="Q61" s="185">
        <f t="shared" si="8"/>
        <v>0</v>
      </c>
      <c r="R61" s="185">
        <f t="shared" ca="1" si="9"/>
        <v>0</v>
      </c>
    </row>
    <row r="62" spans="2:18" ht="15.95" customHeight="1" x14ac:dyDescent="0.25">
      <c r="B62" s="50" t="s">
        <v>82</v>
      </c>
      <c r="C62" s="55" t="s">
        <v>83</v>
      </c>
      <c r="D62" s="118">
        <f>TARGETS!AB15</f>
        <v>0</v>
      </c>
      <c r="E62" s="118">
        <f>TARGETS!AC15</f>
        <v>0</v>
      </c>
      <c r="F62" s="118">
        <f>TARGETS!AD15</f>
        <v>0</v>
      </c>
      <c r="G62" s="118">
        <f t="shared" si="1"/>
        <v>0</v>
      </c>
      <c r="H62" s="114">
        <f t="shared" si="11"/>
        <v>0</v>
      </c>
      <c r="I62" s="114">
        <f t="shared" si="11"/>
        <v>0</v>
      </c>
      <c r="J62" s="114">
        <f>SUM(O16)</f>
        <v>0</v>
      </c>
      <c r="K62" s="114">
        <f t="shared" si="2"/>
        <v>0</v>
      </c>
      <c r="L62" s="187">
        <f t="shared" si="3"/>
        <v>0</v>
      </c>
      <c r="M62" s="184">
        <f t="shared" si="4"/>
        <v>0</v>
      </c>
      <c r="N62" s="184">
        <f t="shared" ca="1" si="5"/>
        <v>0</v>
      </c>
      <c r="O62" s="180">
        <f t="shared" si="6"/>
        <v>0</v>
      </c>
      <c r="P62" s="180">
        <f t="shared" ca="1" si="7"/>
        <v>0</v>
      </c>
      <c r="Q62" s="185">
        <f t="shared" si="8"/>
        <v>0</v>
      </c>
      <c r="R62" s="185">
        <f t="shared" ca="1" si="9"/>
        <v>0</v>
      </c>
    </row>
    <row r="63" spans="2:18" ht="15.95" customHeight="1" x14ac:dyDescent="0.25">
      <c r="B63" s="53" t="s">
        <v>84</v>
      </c>
      <c r="C63" s="56" t="s">
        <v>85</v>
      </c>
      <c r="D63" s="119">
        <f>TARGETS!AB16</f>
        <v>0</v>
      </c>
      <c r="E63" s="119">
        <f>TARGETS!AC16</f>
        <v>0</v>
      </c>
      <c r="F63" s="119">
        <f>TARGETS!AD16</f>
        <v>0</v>
      </c>
      <c r="G63" s="119">
        <f t="shared" si="1"/>
        <v>0</v>
      </c>
      <c r="H63" s="114">
        <f t="shared" si="11"/>
        <v>0</v>
      </c>
      <c r="I63" s="114">
        <f t="shared" si="11"/>
        <v>0</v>
      </c>
      <c r="J63" s="114">
        <f>SUM(O17)</f>
        <v>0</v>
      </c>
      <c r="K63" s="114">
        <f t="shared" si="2"/>
        <v>0</v>
      </c>
      <c r="L63" s="187">
        <f t="shared" si="3"/>
        <v>0</v>
      </c>
      <c r="M63" s="184">
        <f t="shared" si="4"/>
        <v>0</v>
      </c>
      <c r="N63" s="184">
        <f t="shared" ca="1" si="5"/>
        <v>0</v>
      </c>
      <c r="O63" s="180">
        <f t="shared" si="6"/>
        <v>0</v>
      </c>
      <c r="P63" s="180">
        <f t="shared" ca="1" si="7"/>
        <v>0</v>
      </c>
      <c r="Q63" s="185">
        <f t="shared" si="8"/>
        <v>0</v>
      </c>
      <c r="R63" s="185">
        <f t="shared" ca="1" si="9"/>
        <v>0</v>
      </c>
    </row>
    <row r="64" spans="2:18" ht="15.95" customHeight="1" x14ac:dyDescent="0.25">
      <c r="B64" s="50" t="s">
        <v>86</v>
      </c>
      <c r="C64" s="55" t="s">
        <v>87</v>
      </c>
      <c r="D64" s="118">
        <f>TARGETS!AB17</f>
        <v>0</v>
      </c>
      <c r="E64" s="118">
        <f>TARGETS!AC17</f>
        <v>0</v>
      </c>
      <c r="F64" s="118">
        <f>TARGETS!AD17</f>
        <v>0</v>
      </c>
      <c r="G64" s="118">
        <f t="shared" si="1"/>
        <v>0</v>
      </c>
      <c r="H64" s="114">
        <f t="shared" si="11"/>
        <v>0</v>
      </c>
      <c r="I64" s="114">
        <f t="shared" si="11"/>
        <v>0</v>
      </c>
      <c r="J64" s="114">
        <f>SUM(O18)</f>
        <v>0</v>
      </c>
      <c r="K64" s="114">
        <f t="shared" si="2"/>
        <v>0</v>
      </c>
      <c r="L64" s="187">
        <f t="shared" si="3"/>
        <v>0</v>
      </c>
      <c r="M64" s="184">
        <f t="shared" si="4"/>
        <v>0</v>
      </c>
      <c r="N64" s="184">
        <f t="shared" ca="1" si="5"/>
        <v>0</v>
      </c>
      <c r="O64" s="180">
        <f t="shared" si="6"/>
        <v>0</v>
      </c>
      <c r="P64" s="180">
        <f t="shared" ca="1" si="7"/>
        <v>0</v>
      </c>
      <c r="Q64" s="185">
        <f t="shared" si="8"/>
        <v>0</v>
      </c>
      <c r="R64" s="185">
        <f t="shared" ca="1" si="9"/>
        <v>0</v>
      </c>
    </row>
    <row r="65" spans="2:18" ht="15.95" customHeight="1" x14ac:dyDescent="0.25">
      <c r="B65" s="53" t="s">
        <v>88</v>
      </c>
      <c r="C65" s="56" t="s">
        <v>89</v>
      </c>
      <c r="D65" s="119">
        <f>TARGETS!AB18</f>
        <v>0</v>
      </c>
      <c r="E65" s="119">
        <f>TARGETS!AC18</f>
        <v>0</v>
      </c>
      <c r="F65" s="119">
        <f>TARGETS!AD18</f>
        <v>0</v>
      </c>
      <c r="G65" s="119">
        <f t="shared" si="1"/>
        <v>0</v>
      </c>
      <c r="H65" s="114">
        <f t="shared" si="11"/>
        <v>0</v>
      </c>
      <c r="I65" s="114">
        <f t="shared" si="11"/>
        <v>0</v>
      </c>
      <c r="J65" s="114">
        <f>SUM(O19)</f>
        <v>0</v>
      </c>
      <c r="K65" s="114">
        <f t="shared" si="2"/>
        <v>0</v>
      </c>
      <c r="L65" s="187">
        <f t="shared" si="3"/>
        <v>0</v>
      </c>
      <c r="M65" s="184">
        <f t="shared" si="4"/>
        <v>0</v>
      </c>
      <c r="N65" s="184">
        <f t="shared" ca="1" si="5"/>
        <v>0</v>
      </c>
      <c r="O65" s="180">
        <f t="shared" si="6"/>
        <v>0</v>
      </c>
      <c r="P65" s="180">
        <f t="shared" ca="1" si="7"/>
        <v>0</v>
      </c>
      <c r="Q65" s="185">
        <f t="shared" si="8"/>
        <v>0</v>
      </c>
      <c r="R65" s="185">
        <f t="shared" ca="1" si="9"/>
        <v>0</v>
      </c>
    </row>
    <row r="66" spans="2:18" ht="15.95" customHeight="1" x14ac:dyDescent="0.25">
      <c r="B66" s="57" t="s">
        <v>151</v>
      </c>
      <c r="C66" s="58"/>
      <c r="D66" s="134">
        <f t="shared" ref="D66:K66" si="12">SUM(D52:D65)</f>
        <v>0</v>
      </c>
      <c r="E66" s="134">
        <f t="shared" si="12"/>
        <v>0</v>
      </c>
      <c r="F66" s="134">
        <f t="shared" si="12"/>
        <v>0</v>
      </c>
      <c r="G66" s="134">
        <f t="shared" si="12"/>
        <v>0</v>
      </c>
      <c r="H66" s="135">
        <f t="shared" si="12"/>
        <v>0</v>
      </c>
      <c r="I66" s="135">
        <f t="shared" si="12"/>
        <v>0</v>
      </c>
      <c r="J66" s="135">
        <f t="shared" si="12"/>
        <v>0</v>
      </c>
      <c r="K66" s="135">
        <f t="shared" si="12"/>
        <v>0</v>
      </c>
      <c r="L66" s="189">
        <f t="shared" si="3"/>
        <v>0</v>
      </c>
      <c r="M66" s="181">
        <f>SUM(M52:M65)</f>
        <v>0</v>
      </c>
      <c r="N66" s="181">
        <f t="shared" ca="1" si="5"/>
        <v>0</v>
      </c>
      <c r="O66" s="181">
        <f>SUM(O52:O65)</f>
        <v>0</v>
      </c>
      <c r="P66" s="181">
        <f t="shared" ca="1" si="7"/>
        <v>0</v>
      </c>
      <c r="Q66" s="186">
        <f>SUM(Q52:Q65)</f>
        <v>0</v>
      </c>
      <c r="R66" s="186">
        <f t="shared" ca="1" si="9"/>
        <v>0</v>
      </c>
    </row>
    <row r="67" spans="2:18" ht="15" customHeight="1" x14ac:dyDescent="0.25">
      <c r="G67" s="111"/>
      <c r="H67" s="111"/>
      <c r="I67" s="111"/>
    </row>
    <row r="68" spans="2:18" ht="18.95" customHeight="1" x14ac:dyDescent="0.25">
      <c r="B68" s="283" t="s">
        <v>144</v>
      </c>
      <c r="C68" s="284"/>
      <c r="D68" s="284"/>
      <c r="E68" s="284"/>
      <c r="F68" s="293"/>
      <c r="G68" s="269" t="s">
        <v>187</v>
      </c>
      <c r="H68" s="270"/>
      <c r="I68" s="270"/>
      <c r="J68" s="270"/>
      <c r="K68" s="270"/>
      <c r="L68" s="271"/>
    </row>
    <row r="69" spans="2:18" ht="30" customHeight="1" x14ac:dyDescent="0.25">
      <c r="B69" s="223" t="s">
        <v>152</v>
      </c>
      <c r="C69" s="223" t="s">
        <v>42</v>
      </c>
      <c r="D69" s="223" t="s">
        <v>137</v>
      </c>
      <c r="E69" s="223" t="s">
        <v>138</v>
      </c>
      <c r="F69" s="231" t="s">
        <v>139</v>
      </c>
      <c r="G69" s="232" t="str">
        <f>"SELISIH"&amp;CHAR(10)&amp;TEXT($H$41,"0%")</f>
        <v>SELISIH
90%</v>
      </c>
      <c r="H69" s="232" t="str">
        <f>"PER HARI"&amp;CHAR(10)&amp;TEXT($H$41,"0%")</f>
        <v>PER HARI
90%</v>
      </c>
      <c r="I69" s="229" t="str">
        <f>"SELISIH"&amp;CHAR(10)&amp;TEXT($J$41,"0%")</f>
        <v>SELISIH
95%</v>
      </c>
      <c r="J69" s="230" t="str">
        <f>"PER HARI"&amp;CHAR(10)&amp;TEXT($J$41,"0%")</f>
        <v>PER HARI
95%</v>
      </c>
      <c r="K69" s="222" t="str">
        <f>"SELISIH"&amp;CHAR(10)&amp;TEXT($L$41,"0%")</f>
        <v>SELISIH
100%</v>
      </c>
      <c r="L69" s="222" t="str">
        <f>"PER HARI"&amp;CHAR(10)&amp;TEXT($L$41,"0%")</f>
        <v>PER HARI
100%</v>
      </c>
    </row>
    <row r="70" spans="2:18" ht="15.95" customHeight="1" x14ac:dyDescent="0.25">
      <c r="B70" s="50" t="s">
        <v>92</v>
      </c>
      <c r="C70" s="55" t="s">
        <v>93</v>
      </c>
      <c r="D70" s="116">
        <f>TARGETS!L22</f>
        <v>0</v>
      </c>
      <c r="E70" s="114">
        <f>IFERROR(C32,0)</f>
        <v>0</v>
      </c>
      <c r="F70" s="187">
        <f t="shared" ref="F70:F75" si="13">IFERROR(E70/D70,0)</f>
        <v>0</v>
      </c>
      <c r="G70" s="184">
        <f>D70*$H$41-E70</f>
        <v>0</v>
      </c>
      <c r="H70" s="184">
        <f t="shared" ref="H70:H75" ca="1" si="14">IFERROR(G70/$C$3,0)</f>
        <v>0</v>
      </c>
      <c r="I70" s="204">
        <f>D70*$J$41-E70</f>
        <v>0</v>
      </c>
      <c r="J70" s="204">
        <f t="shared" ref="J70:J75" ca="1" si="15">IFERROR(I70/$C$3,0)</f>
        <v>0</v>
      </c>
      <c r="K70" s="185">
        <f>D70*$L$41-E70</f>
        <v>0</v>
      </c>
      <c r="L70" s="185">
        <f t="shared" ref="L70:L75" ca="1" si="16">IFERROR(K70/$C$3,0)</f>
        <v>0</v>
      </c>
    </row>
    <row r="71" spans="2:18" ht="15.95" customHeight="1" x14ac:dyDescent="0.25">
      <c r="B71" s="53" t="s">
        <v>94</v>
      </c>
      <c r="C71" s="56" t="s">
        <v>95</v>
      </c>
      <c r="D71" s="117">
        <f>TARGETS!L23</f>
        <v>0</v>
      </c>
      <c r="E71" s="114">
        <f>IFERROR(C33,0)</f>
        <v>0</v>
      </c>
      <c r="F71" s="187">
        <f t="shared" si="13"/>
        <v>0</v>
      </c>
      <c r="G71" s="184">
        <f>D71*$H$41-E71</f>
        <v>0</v>
      </c>
      <c r="H71" s="184">
        <f t="shared" ca="1" si="14"/>
        <v>0</v>
      </c>
      <c r="I71" s="204">
        <f>D71*$J$41-E71</f>
        <v>0</v>
      </c>
      <c r="J71" s="204">
        <f t="shared" ca="1" si="15"/>
        <v>0</v>
      </c>
      <c r="K71" s="185">
        <f>D71*$L$41-E71</f>
        <v>0</v>
      </c>
      <c r="L71" s="185">
        <f t="shared" ca="1" si="16"/>
        <v>0</v>
      </c>
    </row>
    <row r="72" spans="2:18" ht="15.95" customHeight="1" x14ac:dyDescent="0.25">
      <c r="B72" s="50" t="s">
        <v>96</v>
      </c>
      <c r="C72" s="55" t="s">
        <v>97</v>
      </c>
      <c r="D72" s="116">
        <f>TARGETS!L24</f>
        <v>0</v>
      </c>
      <c r="E72" s="114">
        <f>M21+M7</f>
        <v>0</v>
      </c>
      <c r="F72" s="187">
        <f t="shared" si="13"/>
        <v>0</v>
      </c>
      <c r="G72" s="184">
        <f>D72*$H$41-E72</f>
        <v>0</v>
      </c>
      <c r="H72" s="184">
        <f t="shared" ca="1" si="14"/>
        <v>0</v>
      </c>
      <c r="I72" s="204">
        <f>D72*$J$41-E72</f>
        <v>0</v>
      </c>
      <c r="J72" s="204">
        <f t="shared" ca="1" si="15"/>
        <v>0</v>
      </c>
      <c r="K72" s="185">
        <f>D72*$L$41-E72</f>
        <v>0</v>
      </c>
      <c r="L72" s="185">
        <f t="shared" ca="1" si="16"/>
        <v>0</v>
      </c>
    </row>
    <row r="73" spans="2:18" hidden="1" x14ac:dyDescent="0.25">
      <c r="B73" s="53" t="s">
        <v>98</v>
      </c>
      <c r="C73" s="56" t="s">
        <v>99</v>
      </c>
      <c r="D73" s="117">
        <f>TARGETS!L25</f>
        <v>0</v>
      </c>
      <c r="E73" s="114">
        <f>0</f>
        <v>0</v>
      </c>
      <c r="F73" s="187">
        <f t="shared" si="13"/>
        <v>0</v>
      </c>
      <c r="G73" s="184">
        <f>D73*$H$41-E73</f>
        <v>0</v>
      </c>
      <c r="H73" s="184">
        <f t="shared" ca="1" si="14"/>
        <v>0</v>
      </c>
      <c r="I73" s="204">
        <f>D73*$J$41-E73</f>
        <v>0</v>
      </c>
      <c r="J73" s="204">
        <f t="shared" ca="1" si="15"/>
        <v>0</v>
      </c>
      <c r="K73" s="185">
        <f>D73*$L$41-E73</f>
        <v>0</v>
      </c>
      <c r="L73" s="185">
        <f t="shared" ca="1" si="16"/>
        <v>0</v>
      </c>
    </row>
    <row r="74" spans="2:18" hidden="1" x14ac:dyDescent="0.25">
      <c r="B74" s="50" t="s">
        <v>100</v>
      </c>
      <c r="C74" s="108" t="s">
        <v>101</v>
      </c>
      <c r="D74" s="116">
        <f>TARGETS!L26</f>
        <v>0</v>
      </c>
      <c r="E74" s="114">
        <f>0</f>
        <v>0</v>
      </c>
      <c r="F74" s="187">
        <f t="shared" si="13"/>
        <v>0</v>
      </c>
      <c r="G74" s="184">
        <f>D74*$H$41-E74</f>
        <v>0</v>
      </c>
      <c r="H74" s="184">
        <f t="shared" ca="1" si="14"/>
        <v>0</v>
      </c>
      <c r="I74" s="204">
        <f>D74*$J$41-E74</f>
        <v>0</v>
      </c>
      <c r="J74" s="204">
        <f t="shared" ca="1" si="15"/>
        <v>0</v>
      </c>
      <c r="K74" s="185">
        <f>D74*$L$41-E74</f>
        <v>0</v>
      </c>
      <c r="L74" s="185">
        <f t="shared" ca="1" si="16"/>
        <v>0</v>
      </c>
    </row>
    <row r="75" spans="2:18" ht="15.95" customHeight="1" x14ac:dyDescent="0.25">
      <c r="B75" s="57" t="s">
        <v>151</v>
      </c>
      <c r="C75" s="58"/>
      <c r="D75" s="115">
        <f>SUM(D70:D74)</f>
        <v>0</v>
      </c>
      <c r="E75" s="115">
        <f>SUM(E70:E74)</f>
        <v>0</v>
      </c>
      <c r="F75" s="177">
        <f t="shared" si="13"/>
        <v>0</v>
      </c>
      <c r="G75" s="181">
        <f>SUM(G70:G74)</f>
        <v>0</v>
      </c>
      <c r="H75" s="181">
        <f t="shared" ca="1" si="14"/>
        <v>0</v>
      </c>
      <c r="I75" s="186">
        <f>SUM(I70:I74)</f>
        <v>0</v>
      </c>
      <c r="J75" s="186">
        <f t="shared" ca="1" si="15"/>
        <v>0</v>
      </c>
      <c r="K75" s="186">
        <f>SUM(K70:K74)</f>
        <v>0</v>
      </c>
      <c r="L75" s="186">
        <f t="shared" ca="1" si="16"/>
        <v>0</v>
      </c>
    </row>
    <row r="76" spans="2:18" ht="15" customHeight="1" x14ac:dyDescent="0.25"/>
    <row r="77" spans="2:18" ht="15" customHeight="1" x14ac:dyDescent="0.25"/>
    <row r="78" spans="2:18" ht="20.100000000000001" customHeight="1" x14ac:dyDescent="0.25">
      <c r="B78" s="249" t="s">
        <v>172</v>
      </c>
      <c r="C78" s="250"/>
      <c r="D78" s="251"/>
    </row>
    <row r="79" spans="2:18" ht="17.100000000000001" customHeight="1" x14ac:dyDescent="0.25">
      <c r="B79" s="268" t="s">
        <v>41</v>
      </c>
      <c r="C79" s="268" t="s">
        <v>42</v>
      </c>
      <c r="D79" s="231" t="s">
        <v>138</v>
      </c>
    </row>
    <row r="80" spans="2:18" ht="17.100000000000001" customHeight="1" x14ac:dyDescent="0.25">
      <c r="B80" s="258"/>
      <c r="C80" s="258"/>
      <c r="D80" s="70" t="s">
        <v>169</v>
      </c>
    </row>
    <row r="81" spans="2:4" ht="15.95" customHeight="1" x14ac:dyDescent="0.25">
      <c r="B81" s="50" t="s">
        <v>67</v>
      </c>
      <c r="C81" s="55" t="s">
        <v>68</v>
      </c>
      <c r="D81" s="131">
        <f>SUM(F22)</f>
        <v>0</v>
      </c>
    </row>
    <row r="82" spans="2:4" ht="15.95" customHeight="1" x14ac:dyDescent="0.25">
      <c r="B82" s="53" t="s">
        <v>69</v>
      </c>
      <c r="C82" s="56" t="s">
        <v>70</v>
      </c>
      <c r="D82" s="132">
        <f>SUM(F13,F14)</f>
        <v>0</v>
      </c>
    </row>
    <row r="83" spans="2:4" ht="15.95" customHeight="1" x14ac:dyDescent="0.25">
      <c r="B83" s="53" t="s">
        <v>173</v>
      </c>
      <c r="C83" s="56" t="s">
        <v>174</v>
      </c>
      <c r="D83" s="132">
        <f>SUM(F20)</f>
        <v>0</v>
      </c>
    </row>
    <row r="84" spans="2:4" ht="15.95" customHeight="1" x14ac:dyDescent="0.25">
      <c r="B84" s="50" t="s">
        <v>71</v>
      </c>
      <c r="C84" s="55" t="s">
        <v>72</v>
      </c>
      <c r="D84" s="131">
        <f>SUM(F15)</f>
        <v>0</v>
      </c>
    </row>
    <row r="85" spans="2:4" ht="15.95" customHeight="1" x14ac:dyDescent="0.25">
      <c r="B85" s="53" t="s">
        <v>73</v>
      </c>
      <c r="C85" s="56" t="s">
        <v>74</v>
      </c>
      <c r="D85" s="132">
        <f>0</f>
        <v>0</v>
      </c>
    </row>
    <row r="86" spans="2:4" ht="15.95" customHeight="1" x14ac:dyDescent="0.25">
      <c r="B86" s="50" t="s">
        <v>75</v>
      </c>
      <c r="C86" s="55" t="s">
        <v>74</v>
      </c>
      <c r="D86" s="131">
        <f>SUM(F25,F26)</f>
        <v>0</v>
      </c>
    </row>
    <row r="87" spans="2:4" ht="15.95" customHeight="1" x14ac:dyDescent="0.25">
      <c r="B87" s="53" t="s">
        <v>76</v>
      </c>
      <c r="C87" s="56" t="s">
        <v>77</v>
      </c>
      <c r="D87" s="132">
        <f>SUM(F17)</f>
        <v>0</v>
      </c>
    </row>
    <row r="88" spans="2:4" ht="15.95" customHeight="1" x14ac:dyDescent="0.25">
      <c r="B88" s="50" t="s">
        <v>78</v>
      </c>
      <c r="C88" s="55" t="s">
        <v>79</v>
      </c>
      <c r="D88" s="131">
        <f>SUM(F23)</f>
        <v>0</v>
      </c>
    </row>
    <row r="89" spans="2:4" ht="15.95" customHeight="1" x14ac:dyDescent="0.25">
      <c r="B89" s="53" t="s">
        <v>173</v>
      </c>
      <c r="C89" s="56" t="s">
        <v>175</v>
      </c>
      <c r="D89" s="132">
        <f>SUM(F21)</f>
        <v>0</v>
      </c>
    </row>
    <row r="90" spans="2:4" ht="15.95" customHeight="1" x14ac:dyDescent="0.25">
      <c r="B90" s="53" t="s">
        <v>80</v>
      </c>
      <c r="C90" s="56" t="s">
        <v>81</v>
      </c>
      <c r="D90" s="132">
        <f>SUM(F11)</f>
        <v>0</v>
      </c>
    </row>
    <row r="91" spans="2:4" ht="15.95" customHeight="1" x14ac:dyDescent="0.25">
      <c r="B91" s="50" t="s">
        <v>82</v>
      </c>
      <c r="C91" s="55" t="s">
        <v>83</v>
      </c>
      <c r="D91" s="131">
        <f>SUM(F24)</f>
        <v>0</v>
      </c>
    </row>
    <row r="92" spans="2:4" ht="15.95" customHeight="1" x14ac:dyDescent="0.25">
      <c r="B92" s="53" t="s">
        <v>84</v>
      </c>
      <c r="C92" s="56" t="s">
        <v>85</v>
      </c>
      <c r="D92" s="132">
        <f>SUM(F10)</f>
        <v>0</v>
      </c>
    </row>
    <row r="93" spans="2:4" ht="15.95" customHeight="1" x14ac:dyDescent="0.25">
      <c r="B93" s="50" t="s">
        <v>86</v>
      </c>
      <c r="C93" s="55" t="s">
        <v>87</v>
      </c>
      <c r="D93" s="131">
        <f>SUM(F27)</f>
        <v>0</v>
      </c>
    </row>
    <row r="94" spans="2:4" ht="15.95" customHeight="1" x14ac:dyDescent="0.25">
      <c r="B94" s="53" t="s">
        <v>88</v>
      </c>
      <c r="C94" s="56" t="s">
        <v>89</v>
      </c>
      <c r="D94" s="132">
        <f>SUM(F18,F19)</f>
        <v>0</v>
      </c>
    </row>
    <row r="95" spans="2:4" ht="15.95" customHeight="1" x14ac:dyDescent="0.25">
      <c r="B95" s="57" t="s">
        <v>151</v>
      </c>
      <c r="C95" s="58"/>
      <c r="D95" s="120">
        <f>SUM(D81:D94)</f>
        <v>0</v>
      </c>
    </row>
    <row r="96" spans="2:4" ht="15" customHeight="1" x14ac:dyDescent="0.25"/>
  </sheetData>
  <mergeCells count="20">
    <mergeCell ref="G68:L68"/>
    <mergeCell ref="B49:L49"/>
    <mergeCell ref="M49:R49"/>
    <mergeCell ref="B50:B51"/>
    <mergeCell ref="C50:C51"/>
    <mergeCell ref="D50:G50"/>
    <mergeCell ref="H50:K50"/>
    <mergeCell ref="Q50:Q51"/>
    <mergeCell ref="R50:R51"/>
    <mergeCell ref="N50:N51"/>
    <mergeCell ref="L50:L51"/>
    <mergeCell ref="M50:M51"/>
    <mergeCell ref="O50:O51"/>
    <mergeCell ref="P50:P51"/>
    <mergeCell ref="B41:D41"/>
    <mergeCell ref="B47:C47"/>
    <mergeCell ref="B79:B80"/>
    <mergeCell ref="C79:C80"/>
    <mergeCell ref="B68:F68"/>
    <mergeCell ref="B78:D78"/>
  </mergeCells>
  <conditionalFormatting sqref="L52:L65">
    <cfRule type="expression" dxfId="11" priority="1">
      <formula>L52&gt;=$F$42-0.05</formula>
    </cfRule>
    <cfRule type="expression" dxfId="10" priority="2">
      <formula>AND(L52&gt;=$F$42-0.2,L52&lt;$F$42-0.05)</formula>
    </cfRule>
    <cfRule type="expression" dxfId="9" priority="3">
      <formula>L52&lt;$F$42-0.2</formula>
    </cfRule>
  </conditionalFormatting>
  <dataValidations count="1">
    <dataValidation type="list" allowBlank="1" showInputMessage="1" showErrorMessage="1" sqref="H41 J41" xr:uid="{00000000-0002-0000-0A00-000000000000}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S96"/>
  <sheetViews>
    <sheetView showGridLines="0" topLeftCell="B42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163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193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27</v>
      </c>
      <c r="D3" s="76" t="s">
        <v>104</v>
      </c>
      <c r="E3" s="77">
        <f ca="1">DAY(EOMONTH(DATE(YEAR(TODAY()),10,1),0))</f>
        <v>31</v>
      </c>
      <c r="G3" s="221" t="s">
        <v>194</v>
      </c>
      <c r="H3" s="111"/>
      <c r="I3" s="111"/>
      <c r="J3" s="218">
        <v>0</v>
      </c>
    </row>
    <row r="4" spans="2:15" ht="15" customHeight="1" x14ac:dyDescent="0.25">
      <c r="G4" s="221" t="s">
        <v>195</v>
      </c>
      <c r="H4" s="111"/>
      <c r="I4" s="111"/>
      <c r="J4" s="218">
        <v>0</v>
      </c>
    </row>
    <row r="5" spans="2:15" ht="15" customHeight="1" x14ac:dyDescent="0.25">
      <c r="G5" s="221" t="s">
        <v>196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>
        <f>SUM(C22)</f>
        <v>0</v>
      </c>
      <c r="N8" s="11">
        <f>SUM(D22)</f>
        <v>0</v>
      </c>
      <c r="O8" s="171">
        <f>SUM(E22)</f>
        <v>0</v>
      </c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>
        <f>SUM(C13,C14)</f>
        <v>0</v>
      </c>
      <c r="N9" s="11">
        <f>SUM(D13,D14)</f>
        <v>0</v>
      </c>
      <c r="O9" s="171">
        <f>SUM(E13,E14)</f>
        <v>0</v>
      </c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7" si="0">SUM(C10:F10)</f>
        <v>0</v>
      </c>
      <c r="H10" s="111"/>
      <c r="I10" s="111"/>
      <c r="J10" s="111"/>
      <c r="M10" s="11">
        <f>SUM(C15)</f>
        <v>0</v>
      </c>
      <c r="N10" s="11">
        <f>SUM(D15)</f>
        <v>0</v>
      </c>
      <c r="O10" s="171">
        <f>SUM(E15)</f>
        <v>0</v>
      </c>
    </row>
    <row r="11" spans="2:15" ht="15" customHeight="1" x14ac:dyDescent="0.25">
      <c r="B11" s="72" t="s">
        <v>113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>
        <f>SUM(C12)</f>
        <v>0</v>
      </c>
      <c r="N11" s="11">
        <f>SUM(D12)</f>
        <v>0</v>
      </c>
      <c r="O11" s="171">
        <f>SUM(E12)</f>
        <v>0</v>
      </c>
    </row>
    <row r="12" spans="2:15" ht="15" customHeight="1" x14ac:dyDescent="0.25">
      <c r="B12" s="72" t="s">
        <v>183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>
        <f>SUM(C25,C26)</f>
        <v>0</v>
      </c>
      <c r="N12" s="11">
        <f>SUM(D25,D26)</f>
        <v>0</v>
      </c>
      <c r="O12" s="171">
        <f>SUM(E25,E26)</f>
        <v>0</v>
      </c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>
        <f>SUM(C17)</f>
        <v>0</v>
      </c>
      <c r="N13" s="11">
        <f>SUM(D17)</f>
        <v>0</v>
      </c>
      <c r="O13" s="171">
        <f>SUM(E17)</f>
        <v>0</v>
      </c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>
        <f>SUM(C23)</f>
        <v>0</v>
      </c>
      <c r="N14" s="11">
        <f>SUM(D23)</f>
        <v>0</v>
      </c>
      <c r="O14" s="171">
        <f>SUM(E23)</f>
        <v>0</v>
      </c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>
        <f>SUM(C11)</f>
        <v>0</v>
      </c>
      <c r="N15" s="11">
        <f>SUM(D11)</f>
        <v>0</v>
      </c>
      <c r="O15" s="171">
        <f>SUM(E11)</f>
        <v>0</v>
      </c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>
        <f>SUM(C24)</f>
        <v>0</v>
      </c>
      <c r="N16" s="11">
        <f>SUM(D24)</f>
        <v>0</v>
      </c>
      <c r="O16" s="171">
        <f>SUM(E24)</f>
        <v>0</v>
      </c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>
        <f>SUM(C10)</f>
        <v>0</v>
      </c>
      <c r="N17" s="11">
        <f>SUM(D10)</f>
        <v>0</v>
      </c>
      <c r="O17" s="171">
        <f>SUM(E10)</f>
        <v>0</v>
      </c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>
        <f>SUM(C27)</f>
        <v>0</v>
      </c>
      <c r="N18" s="11">
        <f>SUM(D27)</f>
        <v>0</v>
      </c>
      <c r="O18" s="171">
        <f>SUM(E27)</f>
        <v>0</v>
      </c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>
        <f>SUM(C18,C19)</f>
        <v>0</v>
      </c>
      <c r="N19" s="11">
        <f>SUM(D18,D19)</f>
        <v>0</v>
      </c>
      <c r="O19" s="171">
        <f>SUM(E18,E19)</f>
        <v>0</v>
      </c>
    </row>
    <row r="20" spans="2:15" ht="15" customHeight="1" x14ac:dyDescent="0.25">
      <c r="B20" s="72" t="s">
        <v>170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SUM(C31,C36)</f>
        <v>0</v>
      </c>
      <c r="N20" s="10" t="s">
        <v>119</v>
      </c>
    </row>
    <row r="21" spans="2:15" ht="15" customHeight="1" x14ac:dyDescent="0.25">
      <c r="B21" s="72" t="s">
        <v>171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SUM(C34,C35)+M20</f>
        <v>0</v>
      </c>
      <c r="N21" s="10" t="s">
        <v>121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185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B27" s="72" t="s">
        <v>127</v>
      </c>
      <c r="C27" s="15"/>
      <c r="D27" s="15"/>
      <c r="E27" s="15"/>
      <c r="F27" s="15"/>
      <c r="G27" s="15">
        <f t="shared" si="0"/>
        <v>0</v>
      </c>
      <c r="H27" s="111"/>
      <c r="I27" s="111"/>
      <c r="J27" s="111"/>
    </row>
    <row r="28" spans="2:15" ht="15" customHeight="1" x14ac:dyDescent="0.25">
      <c r="G28" s="111"/>
      <c r="H28" s="111"/>
      <c r="I28" s="111"/>
    </row>
    <row r="29" spans="2:15" ht="15" customHeight="1" x14ac:dyDescent="0.25">
      <c r="B29" s="79" t="s">
        <v>128</v>
      </c>
      <c r="C29" s="79"/>
      <c r="G29" s="111"/>
      <c r="H29" s="111"/>
      <c r="I29" s="111"/>
    </row>
    <row r="30" spans="2:15" ht="15" customHeight="1" x14ac:dyDescent="0.25">
      <c r="B30" s="80" t="s">
        <v>129</v>
      </c>
      <c r="C30" s="80" t="s">
        <v>130</v>
      </c>
      <c r="G30" s="111"/>
      <c r="H30" s="111"/>
      <c r="I30" s="111"/>
    </row>
    <row r="31" spans="2:15" ht="15" customHeight="1" x14ac:dyDescent="0.25">
      <c r="B31" s="73"/>
      <c r="C31" s="107"/>
      <c r="G31" s="111"/>
      <c r="H31" s="111"/>
      <c r="I31" s="111"/>
    </row>
    <row r="32" spans="2:15" ht="15" customHeight="1" x14ac:dyDescent="0.25">
      <c r="B32" s="81" t="s">
        <v>131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132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133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134</v>
      </c>
      <c r="C35" s="15">
        <v>0</v>
      </c>
      <c r="G35" s="111"/>
      <c r="H35" s="111"/>
      <c r="I35" s="111"/>
    </row>
    <row r="36" spans="2:19" ht="15" customHeight="1" x14ac:dyDescent="0.25">
      <c r="B36" s="81" t="s">
        <v>135</v>
      </c>
      <c r="C36" s="15">
        <v>0</v>
      </c>
      <c r="G36" s="111"/>
      <c r="H36" s="111"/>
      <c r="I36" s="111"/>
    </row>
    <row r="37" spans="2:19" ht="15" customHeight="1" x14ac:dyDescent="0.25">
      <c r="B37" s="81"/>
      <c r="C37" s="82"/>
      <c r="G37" s="111"/>
      <c r="H37" s="111"/>
      <c r="I37" s="111"/>
    </row>
    <row r="38" spans="2:19" ht="15" customHeight="1" x14ac:dyDescent="0.25">
      <c r="B38" s="73"/>
      <c r="C38" s="82"/>
      <c r="G38" s="111"/>
      <c r="H38" s="111"/>
      <c r="I38" s="111"/>
    </row>
    <row r="39" spans="2:19" ht="15" customHeight="1" x14ac:dyDescent="0.25">
      <c r="G39" s="111"/>
      <c r="H39" s="111"/>
      <c r="I39" s="111"/>
    </row>
    <row r="40" spans="2:19" ht="15" customHeight="1" x14ac:dyDescent="0.25">
      <c r="G40" s="111"/>
      <c r="H40" s="111"/>
      <c r="I40" s="111"/>
      <c r="S40" s="172" t="s">
        <v>186</v>
      </c>
    </row>
    <row r="41" spans="2:19" ht="20.100000000000001" customHeight="1" x14ac:dyDescent="0.25">
      <c r="B41" s="259" t="s">
        <v>164</v>
      </c>
      <c r="C41" s="260"/>
      <c r="D41" s="261"/>
      <c r="E41" s="66" t="s">
        <v>137</v>
      </c>
      <c r="F41" s="174">
        <f ca="1">IF(MONTH(TODAY())=10,DAY(TODAY())/DAY(EOMONTH(TODAY(),0)),IF(MONTH(TODAY())&gt;10,1,0))</f>
        <v>0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0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90">
        <v>0.75</v>
      </c>
    </row>
    <row r="43" spans="2:19" ht="15.95" customHeight="1" x14ac:dyDescent="0.25">
      <c r="B43" s="109" t="s">
        <v>142</v>
      </c>
      <c r="C43" s="41" t="s">
        <v>143</v>
      </c>
      <c r="D43" s="45">
        <f>SUM(TARGETS!AE5:AE18)</f>
        <v>0</v>
      </c>
      <c r="E43" s="46">
        <f>H66</f>
        <v>0</v>
      </c>
      <c r="F43" s="176">
        <f>IFERROR(E43/D43,0)</f>
        <v>0</v>
      </c>
      <c r="G43" s="184">
        <f>D43*$H$41-E43</f>
        <v>0</v>
      </c>
      <c r="H43" s="184">
        <f ca="1">IFERROR(G43/$C$3,0)</f>
        <v>0</v>
      </c>
      <c r="I43" s="204">
        <f>D43*$J$41-E43</f>
        <v>0</v>
      </c>
      <c r="J43" s="204">
        <f ca="1">IFERROR(I43/$C$3,0)</f>
        <v>0</v>
      </c>
      <c r="K43" s="185">
        <f>D43*$L$41-E43</f>
        <v>0</v>
      </c>
      <c r="L43" s="185">
        <f ca="1">IFERROR(K43/$C$3,0)</f>
        <v>0</v>
      </c>
      <c r="S43" s="173">
        <v>0.8</v>
      </c>
    </row>
    <row r="44" spans="2:19" ht="15.95" customHeight="1" x14ac:dyDescent="0.25">
      <c r="B44" s="109" t="s">
        <v>110</v>
      </c>
      <c r="C44" s="41" t="s">
        <v>143</v>
      </c>
      <c r="D44" s="45">
        <f>SUM(TARGETS!AF5:AF18)</f>
        <v>0</v>
      </c>
      <c r="E44" s="46">
        <f>I66</f>
        <v>0</v>
      </c>
      <c r="F44" s="176">
        <f>IFERROR(E44/D44,0)</f>
        <v>0</v>
      </c>
      <c r="G44" s="184">
        <f>D44*$H$41-E44</f>
        <v>0</v>
      </c>
      <c r="H44" s="184">
        <f ca="1">IFERROR(G44/$C$3,0)</f>
        <v>0</v>
      </c>
      <c r="I44" s="204">
        <f>D44*$J$41-E44</f>
        <v>0</v>
      </c>
      <c r="J44" s="204">
        <f ca="1">IFERROR(I44/$C$3,0)</f>
        <v>0</v>
      </c>
      <c r="K44" s="185">
        <f>D44*$L$41-E44</f>
        <v>0</v>
      </c>
      <c r="L44" s="185">
        <f ca="1">IFERROR(K44/$C$3,0)</f>
        <v>0</v>
      </c>
      <c r="S44" s="173">
        <v>0.85</v>
      </c>
    </row>
    <row r="45" spans="2:19" ht="15.95" customHeight="1" x14ac:dyDescent="0.25">
      <c r="B45" s="109" t="s">
        <v>209</v>
      </c>
      <c r="C45" s="41" t="s">
        <v>143</v>
      </c>
      <c r="D45" s="45">
        <f>SUM(TARGETS!AG5:AG18)</f>
        <v>0</v>
      </c>
      <c r="E45" s="46">
        <f>J66</f>
        <v>0</v>
      </c>
      <c r="F45" s="176">
        <f>IFERROR(E45/D45,0)</f>
        <v>0</v>
      </c>
      <c r="G45" s="184">
        <f>IF(D45=0,0,D45*$H$41-E45)</f>
        <v>0</v>
      </c>
      <c r="H45" s="184">
        <f ca="1">IFERROR(G45/$C$3,0)</f>
        <v>0</v>
      </c>
      <c r="I45" s="204">
        <f>IF(D45=0,0,D45*$J$41-E45)</f>
        <v>0</v>
      </c>
      <c r="J45" s="204">
        <f ca="1">IFERROR(I45/$C$3,0)</f>
        <v>0</v>
      </c>
      <c r="K45" s="185">
        <f>IF(D45=0,0,D45*$L$41-E45)</f>
        <v>0</v>
      </c>
      <c r="L45" s="185">
        <f ca="1">IFERROR(K45/$C$3,0)</f>
        <v>0</v>
      </c>
      <c r="S45" s="173">
        <v>0.9</v>
      </c>
    </row>
    <row r="46" spans="2:19" ht="15.95" customHeight="1" x14ac:dyDescent="0.25">
      <c r="B46" s="109" t="s">
        <v>144</v>
      </c>
      <c r="C46" s="41" t="s">
        <v>143</v>
      </c>
      <c r="D46" s="45">
        <f>SUM(TARGETS!M22:M26)</f>
        <v>0</v>
      </c>
      <c r="E46" s="46">
        <f>SUM(C32,C33)+M21</f>
        <v>0</v>
      </c>
      <c r="F46" s="176">
        <f>IFERROR(E46/D46,0)</f>
        <v>0</v>
      </c>
      <c r="G46" s="184">
        <f>D46*$H$41-E46</f>
        <v>0</v>
      </c>
      <c r="H46" s="184">
        <f ca="1">IFERROR(G46/$C$3,0)</f>
        <v>0</v>
      </c>
      <c r="I46" s="204">
        <f>D46*$J$41-E46</f>
        <v>0</v>
      </c>
      <c r="J46" s="204">
        <f ca="1">IFERROR(I46/$C$3,0)</f>
        <v>0</v>
      </c>
      <c r="K46" s="185">
        <f>D46*$L$41-E46</f>
        <v>0</v>
      </c>
      <c r="L46" s="185">
        <f ca="1">IFERROR(K46/$C$3,0)</f>
        <v>0</v>
      </c>
      <c r="S46" s="173">
        <v>0.95</v>
      </c>
    </row>
    <row r="47" spans="2:19" ht="15" customHeight="1" x14ac:dyDescent="0.25">
      <c r="B47" s="256" t="s">
        <v>145</v>
      </c>
      <c r="C47" s="257"/>
      <c r="D47" s="47">
        <f>SUM(D43:D46)</f>
        <v>0</v>
      </c>
      <c r="E47" s="47">
        <f>SUM(E43:E46)</f>
        <v>0</v>
      </c>
      <c r="F47" s="177">
        <f>IFERROR(E47/D47,0)</f>
        <v>0</v>
      </c>
      <c r="G47" s="181">
        <f>SUM(G43:G46)</f>
        <v>0</v>
      </c>
      <c r="H47" s="181">
        <f ca="1">IFERROR(G47/$C$3,0)</f>
        <v>0</v>
      </c>
      <c r="I47" s="186">
        <f>SUM(I43:I46)</f>
        <v>0</v>
      </c>
      <c r="J47" s="186">
        <f ca="1">IFERROR(I47/$C$3,0)</f>
        <v>0</v>
      </c>
      <c r="K47" s="186">
        <f>SUM(K43:K46)</f>
        <v>0</v>
      </c>
      <c r="L47" s="186">
        <f ca="1">IFERROR(K47/$C$3,0)</f>
        <v>0</v>
      </c>
      <c r="S47" s="173">
        <v>1</v>
      </c>
    </row>
    <row r="48" spans="2:19" ht="15" customHeight="1" x14ac:dyDescent="0.25">
      <c r="G48" s="111"/>
      <c r="H48" s="111"/>
      <c r="I48" s="111"/>
      <c r="S48" s="173"/>
    </row>
    <row r="49" spans="2:18" ht="18.95" customHeight="1" x14ac:dyDescent="0.25">
      <c r="B49" s="262" t="s">
        <v>146</v>
      </c>
      <c r="C49" s="263"/>
      <c r="D49" s="263"/>
      <c r="E49" s="263"/>
      <c r="F49" s="263"/>
      <c r="G49" s="263"/>
      <c r="H49" s="263"/>
      <c r="I49" s="263"/>
      <c r="J49" s="263"/>
      <c r="K49" s="263"/>
      <c r="L49" s="286"/>
      <c r="M49" s="269" t="s">
        <v>187</v>
      </c>
      <c r="N49" s="270"/>
      <c r="O49" s="270"/>
      <c r="P49" s="270"/>
      <c r="Q49" s="270"/>
      <c r="R49" s="271"/>
    </row>
    <row r="50" spans="2:18" ht="17.100000000000001" customHeight="1" x14ac:dyDescent="0.25">
      <c r="B50" s="287" t="s">
        <v>41</v>
      </c>
      <c r="C50" s="287" t="s">
        <v>42</v>
      </c>
      <c r="D50" s="253" t="s">
        <v>137</v>
      </c>
      <c r="E50" s="254"/>
      <c r="F50" s="254"/>
      <c r="G50" s="255"/>
      <c r="H50" s="288" t="s">
        <v>138</v>
      </c>
      <c r="I50" s="289"/>
      <c r="J50" s="289"/>
      <c r="K50" s="290"/>
      <c r="L50" s="291" t="s">
        <v>139</v>
      </c>
      <c r="M50" s="272" t="str">
        <f>"SELISIH"&amp;CHAR(10)&amp;TEXT($H$41,"0%")</f>
        <v>SELISIH
90%</v>
      </c>
      <c r="N50" s="272" t="str">
        <f>"PER HARI"&amp;CHAR(10)&amp;TEXT($H$41,"0%")</f>
        <v>PER HARI
90%</v>
      </c>
      <c r="O50" s="274" t="str">
        <f>"SELISIH"&amp;CHAR(10)&amp;TEXT($J$41,"0%")</f>
        <v>SELISIH
95%</v>
      </c>
      <c r="P50" s="274" t="str">
        <f>"PER HARI"&amp;CHAR(10)&amp;TEXT($J$41,"0%")</f>
        <v>PER HARI
95%</v>
      </c>
      <c r="Q50" s="276" t="str">
        <f>"SELISIH"&amp;CHAR(10)&amp;TEXT($L$41,"0%")</f>
        <v>SELISIH
100%</v>
      </c>
      <c r="R50" s="276" t="str">
        <f>"PER HARI"&amp;CHAR(10)&amp;TEXT($L$41,"0%")</f>
        <v>PER HARI
100%</v>
      </c>
    </row>
    <row r="51" spans="2:18" ht="17.100000000000001" customHeight="1" x14ac:dyDescent="0.25">
      <c r="B51" s="268"/>
      <c r="C51" s="268"/>
      <c r="D51" s="70" t="s">
        <v>149</v>
      </c>
      <c r="E51" s="70" t="s">
        <v>150</v>
      </c>
      <c r="F51" s="70" t="s">
        <v>211</v>
      </c>
      <c r="G51" s="70" t="s">
        <v>130</v>
      </c>
      <c r="H51" s="113" t="s">
        <v>149</v>
      </c>
      <c r="I51" s="113" t="s">
        <v>150</v>
      </c>
      <c r="J51" s="113" t="s">
        <v>211</v>
      </c>
      <c r="K51" s="113" t="s">
        <v>130</v>
      </c>
      <c r="L51" s="292"/>
      <c r="M51" s="273"/>
      <c r="N51" s="273"/>
      <c r="O51" s="275"/>
      <c r="P51" s="275"/>
      <c r="Q51" s="277"/>
      <c r="R51" s="277"/>
    </row>
    <row r="52" spans="2:18" ht="15.95" customHeight="1" x14ac:dyDescent="0.25">
      <c r="B52" s="50" t="s">
        <v>67</v>
      </c>
      <c r="C52" s="55" t="s">
        <v>68</v>
      </c>
      <c r="D52" s="118">
        <f>TARGETS!AE5</f>
        <v>0</v>
      </c>
      <c r="E52" s="118">
        <f>TARGETS!AF5</f>
        <v>0</v>
      </c>
      <c r="F52" s="118">
        <f>TARGETS!AG5</f>
        <v>0</v>
      </c>
      <c r="G52" s="118">
        <f t="shared" ref="G52:G65" si="1">SUM(D52:F52)</f>
        <v>0</v>
      </c>
      <c r="H52" s="114">
        <f>M8</f>
        <v>0</v>
      </c>
      <c r="I52" s="114">
        <f>N8</f>
        <v>0</v>
      </c>
      <c r="J52" s="114">
        <f>SUM(O8)</f>
        <v>0</v>
      </c>
      <c r="K52" s="114">
        <f t="shared" ref="K52:K65" si="2">SUM(H52:J52)</f>
        <v>0</v>
      </c>
      <c r="L52" s="187">
        <f t="shared" ref="L52:L66" si="3">IFERROR(K52/G52,0)</f>
        <v>0</v>
      </c>
      <c r="M52" s="184">
        <f t="shared" ref="M52:M65" si="4">G52*$H$41-K52</f>
        <v>0</v>
      </c>
      <c r="N52" s="184">
        <f t="shared" ref="N52:N66" ca="1" si="5">IFERROR(M52/$C$3,0)</f>
        <v>0</v>
      </c>
      <c r="O52" s="180">
        <f t="shared" ref="O52:O65" si="6">G52*$J$41-K52</f>
        <v>0</v>
      </c>
      <c r="P52" s="180">
        <f t="shared" ref="P52:P66" ca="1" si="7">IFERROR(O52/$C$3,0)</f>
        <v>0</v>
      </c>
      <c r="Q52" s="185">
        <f t="shared" ref="Q52:Q65" si="8">G52*$L$41-K52</f>
        <v>0</v>
      </c>
      <c r="R52" s="185">
        <f t="shared" ref="R52:R66" ca="1" si="9">IFERROR(Q52/$C$3,0)</f>
        <v>0</v>
      </c>
    </row>
    <row r="53" spans="2:18" ht="15.95" customHeight="1" x14ac:dyDescent="0.25">
      <c r="B53" s="53" t="s">
        <v>69</v>
      </c>
      <c r="C53" s="56" t="s">
        <v>70</v>
      </c>
      <c r="D53" s="119">
        <f>TARGETS!AE6</f>
        <v>0</v>
      </c>
      <c r="E53" s="119">
        <f>TARGETS!AF6</f>
        <v>0</v>
      </c>
      <c r="F53" s="119">
        <f>TARGETS!AG6</f>
        <v>0</v>
      </c>
      <c r="G53" s="119">
        <f t="shared" si="1"/>
        <v>0</v>
      </c>
      <c r="H53" s="114">
        <f>M9</f>
        <v>0</v>
      </c>
      <c r="I53" s="114">
        <f>N9</f>
        <v>0</v>
      </c>
      <c r="J53" s="114">
        <f>SUM(O9)</f>
        <v>0</v>
      </c>
      <c r="K53" s="114">
        <f t="shared" si="2"/>
        <v>0</v>
      </c>
      <c r="L53" s="187">
        <f t="shared" si="3"/>
        <v>0</v>
      </c>
      <c r="M53" s="184">
        <f t="shared" si="4"/>
        <v>0</v>
      </c>
      <c r="N53" s="184">
        <f t="shared" ca="1" si="5"/>
        <v>0</v>
      </c>
      <c r="O53" s="180">
        <f t="shared" si="6"/>
        <v>0</v>
      </c>
      <c r="P53" s="180">
        <f t="shared" ca="1" si="7"/>
        <v>0</v>
      </c>
      <c r="Q53" s="185">
        <f t="shared" si="8"/>
        <v>0</v>
      </c>
      <c r="R53" s="185">
        <f t="shared" ca="1" si="9"/>
        <v>0</v>
      </c>
    </row>
    <row r="54" spans="2:18" ht="15.95" customHeight="1" x14ac:dyDescent="0.25">
      <c r="B54" s="136" t="s">
        <v>173</v>
      </c>
      <c r="C54" s="137" t="s">
        <v>174</v>
      </c>
      <c r="D54" s="138">
        <f>TARGETS!AE7</f>
        <v>0</v>
      </c>
      <c r="E54" s="138">
        <f>TARGETS!AF7</f>
        <v>0</v>
      </c>
      <c r="F54" s="138">
        <f>TARGETS!AG7</f>
        <v>0</v>
      </c>
      <c r="G54" s="138">
        <f t="shared" si="1"/>
        <v>0</v>
      </c>
      <c r="H54" s="114">
        <f>SUM(C20)</f>
        <v>0</v>
      </c>
      <c r="I54" s="114">
        <f>SUM(D20)</f>
        <v>0</v>
      </c>
      <c r="J54" s="114">
        <f>SUM(E20)</f>
        <v>0</v>
      </c>
      <c r="K54" s="114">
        <f t="shared" si="2"/>
        <v>0</v>
      </c>
      <c r="L54" s="187">
        <f t="shared" si="3"/>
        <v>0</v>
      </c>
      <c r="M54" s="184">
        <f t="shared" si="4"/>
        <v>0</v>
      </c>
      <c r="N54" s="184">
        <f t="shared" ca="1" si="5"/>
        <v>0</v>
      </c>
      <c r="O54" s="180">
        <f t="shared" si="6"/>
        <v>0</v>
      </c>
      <c r="P54" s="180">
        <f t="shared" ca="1" si="7"/>
        <v>0</v>
      </c>
      <c r="Q54" s="185">
        <f t="shared" si="8"/>
        <v>0</v>
      </c>
      <c r="R54" s="185">
        <f t="shared" ca="1" si="9"/>
        <v>0</v>
      </c>
    </row>
    <row r="55" spans="2:18" ht="15.95" customHeight="1" x14ac:dyDescent="0.25">
      <c r="B55" s="53" t="s">
        <v>71</v>
      </c>
      <c r="C55" s="56" t="s">
        <v>72</v>
      </c>
      <c r="D55" s="119">
        <f>TARGETS!AE8</f>
        <v>0</v>
      </c>
      <c r="E55" s="119">
        <f>TARGETS!AF8</f>
        <v>0</v>
      </c>
      <c r="F55" s="119">
        <f>TARGETS!AG8</f>
        <v>0</v>
      </c>
      <c r="G55" s="119">
        <f t="shared" si="1"/>
        <v>0</v>
      </c>
      <c r="H55" s="114">
        <f t="shared" ref="H55:I59" si="10">M10</f>
        <v>0</v>
      </c>
      <c r="I55" s="114">
        <f t="shared" si="10"/>
        <v>0</v>
      </c>
      <c r="J55" s="114">
        <f>SUM(O10)</f>
        <v>0</v>
      </c>
      <c r="K55" s="114">
        <f t="shared" si="2"/>
        <v>0</v>
      </c>
      <c r="L55" s="187">
        <f t="shared" si="3"/>
        <v>0</v>
      </c>
      <c r="M55" s="184">
        <f t="shared" si="4"/>
        <v>0</v>
      </c>
      <c r="N55" s="184">
        <f t="shared" ca="1" si="5"/>
        <v>0</v>
      </c>
      <c r="O55" s="180">
        <f t="shared" si="6"/>
        <v>0</v>
      </c>
      <c r="P55" s="180">
        <f t="shared" ca="1" si="7"/>
        <v>0</v>
      </c>
      <c r="Q55" s="185">
        <f t="shared" si="8"/>
        <v>0</v>
      </c>
      <c r="R55" s="185">
        <f t="shared" ca="1" si="9"/>
        <v>0</v>
      </c>
    </row>
    <row r="56" spans="2:18" ht="15.95" customHeight="1" x14ac:dyDescent="0.25">
      <c r="B56" s="50" t="s">
        <v>73</v>
      </c>
      <c r="C56" s="55" t="s">
        <v>182</v>
      </c>
      <c r="D56" s="118">
        <f>TARGETS!AE9</f>
        <v>0</v>
      </c>
      <c r="E56" s="118">
        <f>TARGETS!AF9</f>
        <v>0</v>
      </c>
      <c r="F56" s="118">
        <f>TARGETS!AG9</f>
        <v>0</v>
      </c>
      <c r="G56" s="118">
        <f t="shared" si="1"/>
        <v>0</v>
      </c>
      <c r="H56" s="114">
        <f t="shared" si="10"/>
        <v>0</v>
      </c>
      <c r="I56" s="114">
        <f t="shared" si="10"/>
        <v>0</v>
      </c>
      <c r="J56" s="114">
        <f>SUM(O11)</f>
        <v>0</v>
      </c>
      <c r="K56" s="114">
        <f t="shared" si="2"/>
        <v>0</v>
      </c>
      <c r="L56" s="187">
        <f t="shared" si="3"/>
        <v>0</v>
      </c>
      <c r="M56" s="184">
        <f t="shared" si="4"/>
        <v>0</v>
      </c>
      <c r="N56" s="184">
        <f t="shared" ca="1" si="5"/>
        <v>0</v>
      </c>
      <c r="O56" s="180">
        <f t="shared" si="6"/>
        <v>0</v>
      </c>
      <c r="P56" s="180">
        <f t="shared" ca="1" si="7"/>
        <v>0</v>
      </c>
      <c r="Q56" s="185">
        <f t="shared" si="8"/>
        <v>0</v>
      </c>
      <c r="R56" s="185">
        <f t="shared" ca="1" si="9"/>
        <v>0</v>
      </c>
    </row>
    <row r="57" spans="2:18" ht="15.95" customHeight="1" x14ac:dyDescent="0.25">
      <c r="B57" s="53" t="s">
        <v>75</v>
      </c>
      <c r="C57" s="56" t="s">
        <v>99</v>
      </c>
      <c r="D57" s="119">
        <f>TARGETS!AE10</f>
        <v>0</v>
      </c>
      <c r="E57" s="119">
        <f>TARGETS!AF10</f>
        <v>0</v>
      </c>
      <c r="F57" s="119">
        <f>TARGETS!AG10</f>
        <v>0</v>
      </c>
      <c r="G57" s="119">
        <f t="shared" si="1"/>
        <v>0</v>
      </c>
      <c r="H57" s="114">
        <f t="shared" si="10"/>
        <v>0</v>
      </c>
      <c r="I57" s="114">
        <f t="shared" si="10"/>
        <v>0</v>
      </c>
      <c r="J57" s="114">
        <f>SUM(O12)</f>
        <v>0</v>
      </c>
      <c r="K57" s="114">
        <f t="shared" si="2"/>
        <v>0</v>
      </c>
      <c r="L57" s="187">
        <f t="shared" si="3"/>
        <v>0</v>
      </c>
      <c r="M57" s="184">
        <f t="shared" si="4"/>
        <v>0</v>
      </c>
      <c r="N57" s="184">
        <f t="shared" ca="1" si="5"/>
        <v>0</v>
      </c>
      <c r="O57" s="180">
        <f t="shared" si="6"/>
        <v>0</v>
      </c>
      <c r="P57" s="180">
        <f t="shared" ca="1" si="7"/>
        <v>0</v>
      </c>
      <c r="Q57" s="185">
        <f t="shared" si="8"/>
        <v>0</v>
      </c>
      <c r="R57" s="185">
        <f t="shared" ca="1" si="9"/>
        <v>0</v>
      </c>
    </row>
    <row r="58" spans="2:18" ht="15.95" customHeight="1" x14ac:dyDescent="0.25">
      <c r="B58" s="50" t="s">
        <v>76</v>
      </c>
      <c r="C58" s="55" t="s">
        <v>77</v>
      </c>
      <c r="D58" s="118">
        <f>TARGETS!AE11</f>
        <v>0</v>
      </c>
      <c r="E58" s="118">
        <f>TARGETS!AF11</f>
        <v>0</v>
      </c>
      <c r="F58" s="118">
        <f>TARGETS!AG11</f>
        <v>0</v>
      </c>
      <c r="G58" s="118">
        <f t="shared" si="1"/>
        <v>0</v>
      </c>
      <c r="H58" s="114">
        <f t="shared" si="10"/>
        <v>0</v>
      </c>
      <c r="I58" s="114">
        <f t="shared" si="10"/>
        <v>0</v>
      </c>
      <c r="J58" s="114">
        <f>SUM(O13)</f>
        <v>0</v>
      </c>
      <c r="K58" s="114">
        <f t="shared" si="2"/>
        <v>0</v>
      </c>
      <c r="L58" s="187">
        <f t="shared" si="3"/>
        <v>0</v>
      </c>
      <c r="M58" s="184">
        <f t="shared" si="4"/>
        <v>0</v>
      </c>
      <c r="N58" s="184">
        <f t="shared" ca="1" si="5"/>
        <v>0</v>
      </c>
      <c r="O58" s="180">
        <f t="shared" si="6"/>
        <v>0</v>
      </c>
      <c r="P58" s="180">
        <f t="shared" ca="1" si="7"/>
        <v>0</v>
      </c>
      <c r="Q58" s="185">
        <f t="shared" si="8"/>
        <v>0</v>
      </c>
      <c r="R58" s="185">
        <f t="shared" ca="1" si="9"/>
        <v>0</v>
      </c>
    </row>
    <row r="59" spans="2:18" ht="15.95" customHeight="1" x14ac:dyDescent="0.25">
      <c r="B59" s="53" t="s">
        <v>78</v>
      </c>
      <c r="C59" s="56" t="s">
        <v>79</v>
      </c>
      <c r="D59" s="119">
        <f>TARGETS!AE12</f>
        <v>0</v>
      </c>
      <c r="E59" s="119">
        <f>TARGETS!AF12</f>
        <v>0</v>
      </c>
      <c r="F59" s="119">
        <f>TARGETS!AG12</f>
        <v>0</v>
      </c>
      <c r="G59" s="119">
        <f t="shared" si="1"/>
        <v>0</v>
      </c>
      <c r="H59" s="114">
        <f t="shared" si="10"/>
        <v>0</v>
      </c>
      <c r="I59" s="114">
        <f t="shared" si="10"/>
        <v>0</v>
      </c>
      <c r="J59" s="114">
        <f>SUM(O14)</f>
        <v>0</v>
      </c>
      <c r="K59" s="114">
        <f t="shared" si="2"/>
        <v>0</v>
      </c>
      <c r="L59" s="187">
        <f t="shared" si="3"/>
        <v>0</v>
      </c>
      <c r="M59" s="184">
        <f t="shared" si="4"/>
        <v>0</v>
      </c>
      <c r="N59" s="184">
        <f t="shared" ca="1" si="5"/>
        <v>0</v>
      </c>
      <c r="O59" s="180">
        <f t="shared" si="6"/>
        <v>0</v>
      </c>
      <c r="P59" s="180">
        <f t="shared" ca="1" si="7"/>
        <v>0</v>
      </c>
      <c r="Q59" s="185">
        <f t="shared" si="8"/>
        <v>0</v>
      </c>
      <c r="R59" s="185">
        <f t="shared" ca="1" si="9"/>
        <v>0</v>
      </c>
    </row>
    <row r="60" spans="2:18" ht="15.95" customHeight="1" x14ac:dyDescent="0.25">
      <c r="B60" s="136" t="s">
        <v>173</v>
      </c>
      <c r="C60" s="137" t="s">
        <v>175</v>
      </c>
      <c r="D60" s="138">
        <f>TARGETS!AE13</f>
        <v>0</v>
      </c>
      <c r="E60" s="138">
        <f>TARGETS!AF13</f>
        <v>0</v>
      </c>
      <c r="F60" s="138">
        <f>TARGETS!AG13</f>
        <v>0</v>
      </c>
      <c r="G60" s="138">
        <f t="shared" si="1"/>
        <v>0</v>
      </c>
      <c r="H60" s="114">
        <f>SUM(C21)</f>
        <v>0</v>
      </c>
      <c r="I60" s="114">
        <f>SUM(D21)</f>
        <v>0</v>
      </c>
      <c r="J60" s="114">
        <f>SUM(E21)</f>
        <v>0</v>
      </c>
      <c r="K60" s="114">
        <f t="shared" si="2"/>
        <v>0</v>
      </c>
      <c r="L60" s="187">
        <f t="shared" si="3"/>
        <v>0</v>
      </c>
      <c r="M60" s="184">
        <f t="shared" si="4"/>
        <v>0</v>
      </c>
      <c r="N60" s="184">
        <f t="shared" ca="1" si="5"/>
        <v>0</v>
      </c>
      <c r="O60" s="180">
        <f t="shared" si="6"/>
        <v>0</v>
      </c>
      <c r="P60" s="180">
        <f t="shared" ca="1" si="7"/>
        <v>0</v>
      </c>
      <c r="Q60" s="185">
        <f t="shared" si="8"/>
        <v>0</v>
      </c>
      <c r="R60" s="185">
        <f t="shared" ca="1" si="9"/>
        <v>0</v>
      </c>
    </row>
    <row r="61" spans="2:18" ht="15.95" customHeight="1" x14ac:dyDescent="0.25">
      <c r="B61" s="53" t="s">
        <v>80</v>
      </c>
      <c r="C61" s="56" t="s">
        <v>81</v>
      </c>
      <c r="D61" s="119">
        <f>TARGETS!AE14</f>
        <v>0</v>
      </c>
      <c r="E61" s="119">
        <f>TARGETS!AF14</f>
        <v>0</v>
      </c>
      <c r="F61" s="119">
        <f>TARGETS!AG14</f>
        <v>0</v>
      </c>
      <c r="G61" s="119">
        <f t="shared" si="1"/>
        <v>0</v>
      </c>
      <c r="H61" s="114">
        <f t="shared" ref="H61:I65" si="11">M15</f>
        <v>0</v>
      </c>
      <c r="I61" s="114">
        <f t="shared" si="11"/>
        <v>0</v>
      </c>
      <c r="J61" s="114">
        <f>SUM(O15)</f>
        <v>0</v>
      </c>
      <c r="K61" s="114">
        <f t="shared" si="2"/>
        <v>0</v>
      </c>
      <c r="L61" s="187">
        <f t="shared" si="3"/>
        <v>0</v>
      </c>
      <c r="M61" s="184">
        <f t="shared" si="4"/>
        <v>0</v>
      </c>
      <c r="N61" s="184">
        <f t="shared" ca="1" si="5"/>
        <v>0</v>
      </c>
      <c r="O61" s="180">
        <f t="shared" si="6"/>
        <v>0</v>
      </c>
      <c r="P61" s="180">
        <f t="shared" ca="1" si="7"/>
        <v>0</v>
      </c>
      <c r="Q61" s="185">
        <f t="shared" si="8"/>
        <v>0</v>
      </c>
      <c r="R61" s="185">
        <f t="shared" ca="1" si="9"/>
        <v>0</v>
      </c>
    </row>
    <row r="62" spans="2:18" ht="15.95" customHeight="1" x14ac:dyDescent="0.25">
      <c r="B62" s="50" t="s">
        <v>82</v>
      </c>
      <c r="C62" s="55" t="s">
        <v>83</v>
      </c>
      <c r="D62" s="118">
        <f>TARGETS!AE15</f>
        <v>0</v>
      </c>
      <c r="E62" s="118">
        <f>TARGETS!AF15</f>
        <v>0</v>
      </c>
      <c r="F62" s="118">
        <f>TARGETS!AG15</f>
        <v>0</v>
      </c>
      <c r="G62" s="118">
        <f t="shared" si="1"/>
        <v>0</v>
      </c>
      <c r="H62" s="114">
        <f t="shared" si="11"/>
        <v>0</v>
      </c>
      <c r="I62" s="114">
        <f t="shared" si="11"/>
        <v>0</v>
      </c>
      <c r="J62" s="114">
        <f>SUM(O16)</f>
        <v>0</v>
      </c>
      <c r="K62" s="114">
        <f t="shared" si="2"/>
        <v>0</v>
      </c>
      <c r="L62" s="187">
        <f t="shared" si="3"/>
        <v>0</v>
      </c>
      <c r="M62" s="184">
        <f t="shared" si="4"/>
        <v>0</v>
      </c>
      <c r="N62" s="184">
        <f t="shared" ca="1" si="5"/>
        <v>0</v>
      </c>
      <c r="O62" s="180">
        <f t="shared" si="6"/>
        <v>0</v>
      </c>
      <c r="P62" s="180">
        <f t="shared" ca="1" si="7"/>
        <v>0</v>
      </c>
      <c r="Q62" s="185">
        <f t="shared" si="8"/>
        <v>0</v>
      </c>
      <c r="R62" s="185">
        <f t="shared" ca="1" si="9"/>
        <v>0</v>
      </c>
    </row>
    <row r="63" spans="2:18" ht="15.95" customHeight="1" x14ac:dyDescent="0.25">
      <c r="B63" s="53" t="s">
        <v>84</v>
      </c>
      <c r="C63" s="56" t="s">
        <v>85</v>
      </c>
      <c r="D63" s="119">
        <f>TARGETS!AE16</f>
        <v>0</v>
      </c>
      <c r="E63" s="119">
        <f>TARGETS!AF16</f>
        <v>0</v>
      </c>
      <c r="F63" s="119">
        <f>TARGETS!AG16</f>
        <v>0</v>
      </c>
      <c r="G63" s="119">
        <f t="shared" si="1"/>
        <v>0</v>
      </c>
      <c r="H63" s="114">
        <f t="shared" si="11"/>
        <v>0</v>
      </c>
      <c r="I63" s="114">
        <f t="shared" si="11"/>
        <v>0</v>
      </c>
      <c r="J63" s="114">
        <f>SUM(O17)</f>
        <v>0</v>
      </c>
      <c r="K63" s="114">
        <f t="shared" si="2"/>
        <v>0</v>
      </c>
      <c r="L63" s="187">
        <f t="shared" si="3"/>
        <v>0</v>
      </c>
      <c r="M63" s="184">
        <f t="shared" si="4"/>
        <v>0</v>
      </c>
      <c r="N63" s="184">
        <f t="shared" ca="1" si="5"/>
        <v>0</v>
      </c>
      <c r="O63" s="180">
        <f t="shared" si="6"/>
        <v>0</v>
      </c>
      <c r="P63" s="180">
        <f t="shared" ca="1" si="7"/>
        <v>0</v>
      </c>
      <c r="Q63" s="185">
        <f t="shared" si="8"/>
        <v>0</v>
      </c>
      <c r="R63" s="185">
        <f t="shared" ca="1" si="9"/>
        <v>0</v>
      </c>
    </row>
    <row r="64" spans="2:18" ht="15.95" customHeight="1" x14ac:dyDescent="0.25">
      <c r="B64" s="50" t="s">
        <v>86</v>
      </c>
      <c r="C64" s="55" t="s">
        <v>87</v>
      </c>
      <c r="D64" s="118">
        <f>TARGETS!AE17</f>
        <v>0</v>
      </c>
      <c r="E64" s="118">
        <f>TARGETS!AF17</f>
        <v>0</v>
      </c>
      <c r="F64" s="118">
        <f>TARGETS!AG17</f>
        <v>0</v>
      </c>
      <c r="G64" s="118">
        <f t="shared" si="1"/>
        <v>0</v>
      </c>
      <c r="H64" s="114">
        <f t="shared" si="11"/>
        <v>0</v>
      </c>
      <c r="I64" s="114">
        <f t="shared" si="11"/>
        <v>0</v>
      </c>
      <c r="J64" s="114">
        <f>SUM(O18)</f>
        <v>0</v>
      </c>
      <c r="K64" s="114">
        <f t="shared" si="2"/>
        <v>0</v>
      </c>
      <c r="L64" s="187">
        <f t="shared" si="3"/>
        <v>0</v>
      </c>
      <c r="M64" s="184">
        <f t="shared" si="4"/>
        <v>0</v>
      </c>
      <c r="N64" s="184">
        <f t="shared" ca="1" si="5"/>
        <v>0</v>
      </c>
      <c r="O64" s="180">
        <f t="shared" si="6"/>
        <v>0</v>
      </c>
      <c r="P64" s="180">
        <f t="shared" ca="1" si="7"/>
        <v>0</v>
      </c>
      <c r="Q64" s="185">
        <f t="shared" si="8"/>
        <v>0</v>
      </c>
      <c r="R64" s="185">
        <f t="shared" ca="1" si="9"/>
        <v>0</v>
      </c>
    </row>
    <row r="65" spans="2:18" ht="15.95" customHeight="1" x14ac:dyDescent="0.25">
      <c r="B65" s="53" t="s">
        <v>88</v>
      </c>
      <c r="C65" s="56" t="s">
        <v>89</v>
      </c>
      <c r="D65" s="119">
        <f>TARGETS!AE18</f>
        <v>0</v>
      </c>
      <c r="E65" s="119">
        <f>TARGETS!AF18</f>
        <v>0</v>
      </c>
      <c r="F65" s="119">
        <f>TARGETS!AG18</f>
        <v>0</v>
      </c>
      <c r="G65" s="119">
        <f t="shared" si="1"/>
        <v>0</v>
      </c>
      <c r="H65" s="114">
        <f t="shared" si="11"/>
        <v>0</v>
      </c>
      <c r="I65" s="114">
        <f t="shared" si="11"/>
        <v>0</v>
      </c>
      <c r="J65" s="114">
        <f>SUM(O19)</f>
        <v>0</v>
      </c>
      <c r="K65" s="114">
        <f t="shared" si="2"/>
        <v>0</v>
      </c>
      <c r="L65" s="187">
        <f t="shared" si="3"/>
        <v>0</v>
      </c>
      <c r="M65" s="184">
        <f t="shared" si="4"/>
        <v>0</v>
      </c>
      <c r="N65" s="184">
        <f t="shared" ca="1" si="5"/>
        <v>0</v>
      </c>
      <c r="O65" s="180">
        <f t="shared" si="6"/>
        <v>0</v>
      </c>
      <c r="P65" s="180">
        <f t="shared" ca="1" si="7"/>
        <v>0</v>
      </c>
      <c r="Q65" s="185">
        <f t="shared" si="8"/>
        <v>0</v>
      </c>
      <c r="R65" s="185">
        <f t="shared" ca="1" si="9"/>
        <v>0</v>
      </c>
    </row>
    <row r="66" spans="2:18" ht="15.95" customHeight="1" x14ac:dyDescent="0.25">
      <c r="B66" s="57" t="s">
        <v>151</v>
      </c>
      <c r="C66" s="58"/>
      <c r="D66" s="134">
        <f t="shared" ref="D66:K66" si="12">SUM(D52:D65)</f>
        <v>0</v>
      </c>
      <c r="E66" s="134">
        <f t="shared" si="12"/>
        <v>0</v>
      </c>
      <c r="F66" s="134">
        <f t="shared" si="12"/>
        <v>0</v>
      </c>
      <c r="G66" s="134">
        <f t="shared" si="12"/>
        <v>0</v>
      </c>
      <c r="H66" s="135">
        <f t="shared" si="12"/>
        <v>0</v>
      </c>
      <c r="I66" s="135">
        <f t="shared" si="12"/>
        <v>0</v>
      </c>
      <c r="J66" s="135">
        <f t="shared" si="12"/>
        <v>0</v>
      </c>
      <c r="K66" s="135">
        <f t="shared" si="12"/>
        <v>0</v>
      </c>
      <c r="L66" s="189">
        <f t="shared" si="3"/>
        <v>0</v>
      </c>
      <c r="M66" s="181">
        <f>SUM(M52:M65)</f>
        <v>0</v>
      </c>
      <c r="N66" s="181">
        <f t="shared" ca="1" si="5"/>
        <v>0</v>
      </c>
      <c r="O66" s="181">
        <f>SUM(O52:O65)</f>
        <v>0</v>
      </c>
      <c r="P66" s="181">
        <f t="shared" ca="1" si="7"/>
        <v>0</v>
      </c>
      <c r="Q66" s="186">
        <f>SUM(Q52:Q65)</f>
        <v>0</v>
      </c>
      <c r="R66" s="186">
        <f t="shared" ca="1" si="9"/>
        <v>0</v>
      </c>
    </row>
    <row r="67" spans="2:18" ht="15" customHeight="1" x14ac:dyDescent="0.25">
      <c r="G67" s="111"/>
      <c r="H67" s="111"/>
      <c r="I67" s="111"/>
    </row>
    <row r="68" spans="2:18" ht="18.95" customHeight="1" x14ac:dyDescent="0.25">
      <c r="B68" s="283" t="s">
        <v>144</v>
      </c>
      <c r="C68" s="284"/>
      <c r="D68" s="284"/>
      <c r="E68" s="284"/>
      <c r="F68" s="293"/>
      <c r="G68" s="269" t="s">
        <v>187</v>
      </c>
      <c r="H68" s="270"/>
      <c r="I68" s="270"/>
      <c r="J68" s="270"/>
      <c r="K68" s="270"/>
      <c r="L68" s="271"/>
    </row>
    <row r="69" spans="2:18" ht="30" customHeight="1" x14ac:dyDescent="0.25">
      <c r="B69" s="223" t="s">
        <v>152</v>
      </c>
      <c r="C69" s="223" t="s">
        <v>42</v>
      </c>
      <c r="D69" s="223" t="s">
        <v>137</v>
      </c>
      <c r="E69" s="223" t="s">
        <v>138</v>
      </c>
      <c r="F69" s="231" t="s">
        <v>139</v>
      </c>
      <c r="G69" s="232" t="str">
        <f>"SELISIH"&amp;CHAR(10)&amp;TEXT($H$41,"0%")</f>
        <v>SELISIH
90%</v>
      </c>
      <c r="H69" s="232" t="str">
        <f>"PER HARI"&amp;CHAR(10)&amp;TEXT($H$41,"0%")</f>
        <v>PER HARI
90%</v>
      </c>
      <c r="I69" s="229" t="str">
        <f>"SELISIH"&amp;CHAR(10)&amp;TEXT($J$41,"0%")</f>
        <v>SELISIH
95%</v>
      </c>
      <c r="J69" s="230" t="str">
        <f>"PER HARI"&amp;CHAR(10)&amp;TEXT($J$41,"0%")</f>
        <v>PER HARI
95%</v>
      </c>
      <c r="K69" s="222" t="str">
        <f>"SELISIH"&amp;CHAR(10)&amp;TEXT($L$41,"0%")</f>
        <v>SELISIH
100%</v>
      </c>
      <c r="L69" s="222" t="str">
        <f>"PER HARI"&amp;CHAR(10)&amp;TEXT($L$41,"0%")</f>
        <v>PER HARI
100%</v>
      </c>
    </row>
    <row r="70" spans="2:18" ht="15.95" customHeight="1" x14ac:dyDescent="0.25">
      <c r="B70" s="50" t="s">
        <v>92</v>
      </c>
      <c r="C70" s="55" t="s">
        <v>93</v>
      </c>
      <c r="D70" s="116">
        <f>TARGETS!M22</f>
        <v>0</v>
      </c>
      <c r="E70" s="114">
        <f>IFERROR(C32,0)</f>
        <v>0</v>
      </c>
      <c r="F70" s="187">
        <f t="shared" ref="F70:F75" si="13">IFERROR(E70/D70,0)</f>
        <v>0</v>
      </c>
      <c r="G70" s="184">
        <f>D70*$H$41-E70</f>
        <v>0</v>
      </c>
      <c r="H70" s="184">
        <f t="shared" ref="H70:H75" ca="1" si="14">IFERROR(G70/$C$3,0)</f>
        <v>0</v>
      </c>
      <c r="I70" s="204">
        <f>D70*$J$41-E70</f>
        <v>0</v>
      </c>
      <c r="J70" s="204">
        <f t="shared" ref="J70:J75" ca="1" si="15">IFERROR(I70/$C$3,0)</f>
        <v>0</v>
      </c>
      <c r="K70" s="185">
        <f>D70*$L$41-E70</f>
        <v>0</v>
      </c>
      <c r="L70" s="185">
        <f t="shared" ref="L70:L75" ca="1" si="16">IFERROR(K70/$C$3,0)</f>
        <v>0</v>
      </c>
    </row>
    <row r="71" spans="2:18" ht="15.95" customHeight="1" x14ac:dyDescent="0.25">
      <c r="B71" s="53" t="s">
        <v>94</v>
      </c>
      <c r="C71" s="56" t="s">
        <v>95</v>
      </c>
      <c r="D71" s="117">
        <f>TARGETS!M23</f>
        <v>0</v>
      </c>
      <c r="E71" s="114">
        <f>IFERROR(C33,0)</f>
        <v>0</v>
      </c>
      <c r="F71" s="187">
        <f t="shared" si="13"/>
        <v>0</v>
      </c>
      <c r="G71" s="184">
        <f>D71*$H$41-E71</f>
        <v>0</v>
      </c>
      <c r="H71" s="184">
        <f t="shared" ca="1" si="14"/>
        <v>0</v>
      </c>
      <c r="I71" s="204">
        <f>D71*$J$41-E71</f>
        <v>0</v>
      </c>
      <c r="J71" s="204">
        <f t="shared" ca="1" si="15"/>
        <v>0</v>
      </c>
      <c r="K71" s="185">
        <f>D71*$L$41-E71</f>
        <v>0</v>
      </c>
      <c r="L71" s="185">
        <f t="shared" ca="1" si="16"/>
        <v>0</v>
      </c>
    </row>
    <row r="72" spans="2:18" ht="15.95" customHeight="1" x14ac:dyDescent="0.25">
      <c r="B72" s="50" t="s">
        <v>96</v>
      </c>
      <c r="C72" s="55" t="s">
        <v>97</v>
      </c>
      <c r="D72" s="116">
        <f>TARGETS!M24</f>
        <v>0</v>
      </c>
      <c r="E72" s="114">
        <f>M21+M7</f>
        <v>0</v>
      </c>
      <c r="F72" s="187">
        <f t="shared" si="13"/>
        <v>0</v>
      </c>
      <c r="G72" s="184">
        <f>D72*$H$41-E72</f>
        <v>0</v>
      </c>
      <c r="H72" s="184">
        <f t="shared" ca="1" si="14"/>
        <v>0</v>
      </c>
      <c r="I72" s="204">
        <f>D72*$J$41-E72</f>
        <v>0</v>
      </c>
      <c r="J72" s="204">
        <f t="shared" ca="1" si="15"/>
        <v>0</v>
      </c>
      <c r="K72" s="185">
        <f>D72*$L$41-E72</f>
        <v>0</v>
      </c>
      <c r="L72" s="185">
        <f t="shared" ca="1" si="16"/>
        <v>0</v>
      </c>
    </row>
    <row r="73" spans="2:18" hidden="1" x14ac:dyDescent="0.25">
      <c r="B73" s="53" t="s">
        <v>98</v>
      </c>
      <c r="C73" s="56" t="s">
        <v>99</v>
      </c>
      <c r="D73" s="117">
        <f>TARGETS!M25</f>
        <v>0</v>
      </c>
      <c r="E73" s="114">
        <f>0</f>
        <v>0</v>
      </c>
      <c r="F73" s="187">
        <f t="shared" si="13"/>
        <v>0</v>
      </c>
      <c r="G73" s="184">
        <f>D73*$H$41-E73</f>
        <v>0</v>
      </c>
      <c r="H73" s="184">
        <f t="shared" ca="1" si="14"/>
        <v>0</v>
      </c>
      <c r="I73" s="204">
        <f>D73*$J$41-E73</f>
        <v>0</v>
      </c>
      <c r="J73" s="204">
        <f t="shared" ca="1" si="15"/>
        <v>0</v>
      </c>
      <c r="K73" s="185">
        <f>D73*$L$41-E73</f>
        <v>0</v>
      </c>
      <c r="L73" s="185">
        <f t="shared" ca="1" si="16"/>
        <v>0</v>
      </c>
    </row>
    <row r="74" spans="2:18" hidden="1" x14ac:dyDescent="0.25">
      <c r="B74" s="50" t="s">
        <v>100</v>
      </c>
      <c r="C74" s="108" t="s">
        <v>101</v>
      </c>
      <c r="D74" s="116">
        <f>TARGETS!M26</f>
        <v>0</v>
      </c>
      <c r="E74" s="114">
        <f>0</f>
        <v>0</v>
      </c>
      <c r="F74" s="187">
        <f t="shared" si="13"/>
        <v>0</v>
      </c>
      <c r="G74" s="184">
        <f>D74*$H$41-E74</f>
        <v>0</v>
      </c>
      <c r="H74" s="184">
        <f t="shared" ca="1" si="14"/>
        <v>0</v>
      </c>
      <c r="I74" s="204">
        <f>D74*$J$41-E74</f>
        <v>0</v>
      </c>
      <c r="J74" s="204">
        <f t="shared" ca="1" si="15"/>
        <v>0</v>
      </c>
      <c r="K74" s="185">
        <f>D74*$L$41-E74</f>
        <v>0</v>
      </c>
      <c r="L74" s="185">
        <f t="shared" ca="1" si="16"/>
        <v>0</v>
      </c>
    </row>
    <row r="75" spans="2:18" ht="15.95" customHeight="1" x14ac:dyDescent="0.25">
      <c r="B75" s="57" t="s">
        <v>151</v>
      </c>
      <c r="C75" s="58"/>
      <c r="D75" s="115">
        <f>SUM(D70:D74)</f>
        <v>0</v>
      </c>
      <c r="E75" s="115">
        <f>SUM(E70:E74)</f>
        <v>0</v>
      </c>
      <c r="F75" s="177">
        <f t="shared" si="13"/>
        <v>0</v>
      </c>
      <c r="G75" s="181">
        <f>SUM(G70:G74)</f>
        <v>0</v>
      </c>
      <c r="H75" s="181">
        <f t="shared" ca="1" si="14"/>
        <v>0</v>
      </c>
      <c r="I75" s="186">
        <f>SUM(I70:I74)</f>
        <v>0</v>
      </c>
      <c r="J75" s="186">
        <f t="shared" ca="1" si="15"/>
        <v>0</v>
      </c>
      <c r="K75" s="186">
        <f>SUM(K70:K74)</f>
        <v>0</v>
      </c>
      <c r="L75" s="186">
        <f t="shared" ca="1" si="16"/>
        <v>0</v>
      </c>
    </row>
    <row r="76" spans="2:18" ht="15" customHeight="1" x14ac:dyDescent="0.25"/>
    <row r="77" spans="2:18" ht="15" customHeight="1" x14ac:dyDescent="0.25"/>
    <row r="78" spans="2:18" ht="20.100000000000001" customHeight="1" x14ac:dyDescent="0.25">
      <c r="B78" s="249" t="s">
        <v>172</v>
      </c>
      <c r="C78" s="250"/>
      <c r="D78" s="251"/>
    </row>
    <row r="79" spans="2:18" ht="17.100000000000001" customHeight="1" x14ac:dyDescent="0.25">
      <c r="B79" s="268" t="s">
        <v>41</v>
      </c>
      <c r="C79" s="268" t="s">
        <v>42</v>
      </c>
      <c r="D79" s="231" t="s">
        <v>138</v>
      </c>
    </row>
    <row r="80" spans="2:18" ht="17.100000000000001" customHeight="1" x14ac:dyDescent="0.25">
      <c r="B80" s="258"/>
      <c r="C80" s="258"/>
      <c r="D80" s="70" t="s">
        <v>169</v>
      </c>
    </row>
    <row r="81" spans="2:4" ht="15.95" customHeight="1" x14ac:dyDescent="0.25">
      <c r="B81" s="50" t="s">
        <v>67</v>
      </c>
      <c r="C81" s="55" t="s">
        <v>68</v>
      </c>
      <c r="D81" s="131">
        <f>SUM(F22)</f>
        <v>0</v>
      </c>
    </row>
    <row r="82" spans="2:4" ht="15.95" customHeight="1" x14ac:dyDescent="0.25">
      <c r="B82" s="53" t="s">
        <v>69</v>
      </c>
      <c r="C82" s="56" t="s">
        <v>70</v>
      </c>
      <c r="D82" s="132">
        <f>SUM(F13,F14)</f>
        <v>0</v>
      </c>
    </row>
    <row r="83" spans="2:4" ht="15.95" customHeight="1" x14ac:dyDescent="0.25">
      <c r="B83" s="53" t="s">
        <v>173</v>
      </c>
      <c r="C83" s="56" t="s">
        <v>174</v>
      </c>
      <c r="D83" s="132">
        <f>SUM(F20)</f>
        <v>0</v>
      </c>
    </row>
    <row r="84" spans="2:4" ht="15.95" customHeight="1" x14ac:dyDescent="0.25">
      <c r="B84" s="50" t="s">
        <v>71</v>
      </c>
      <c r="C84" s="55" t="s">
        <v>72</v>
      </c>
      <c r="D84" s="131">
        <f>SUM(F15)</f>
        <v>0</v>
      </c>
    </row>
    <row r="85" spans="2:4" ht="15.95" customHeight="1" x14ac:dyDescent="0.25">
      <c r="B85" s="53" t="s">
        <v>73</v>
      </c>
      <c r="C85" s="56" t="s">
        <v>74</v>
      </c>
      <c r="D85" s="132">
        <f>0</f>
        <v>0</v>
      </c>
    </row>
    <row r="86" spans="2:4" ht="15.95" customHeight="1" x14ac:dyDescent="0.25">
      <c r="B86" s="50" t="s">
        <v>75</v>
      </c>
      <c r="C86" s="55" t="s">
        <v>74</v>
      </c>
      <c r="D86" s="131">
        <f>SUM(F25,F26)</f>
        <v>0</v>
      </c>
    </row>
    <row r="87" spans="2:4" ht="15.95" customHeight="1" x14ac:dyDescent="0.25">
      <c r="B87" s="53" t="s">
        <v>76</v>
      </c>
      <c r="C87" s="56" t="s">
        <v>77</v>
      </c>
      <c r="D87" s="132">
        <f>SUM(F17)</f>
        <v>0</v>
      </c>
    </row>
    <row r="88" spans="2:4" ht="15.95" customHeight="1" x14ac:dyDescent="0.25">
      <c r="B88" s="50" t="s">
        <v>78</v>
      </c>
      <c r="C88" s="55" t="s">
        <v>79</v>
      </c>
      <c r="D88" s="131">
        <f>SUM(F23)</f>
        <v>0</v>
      </c>
    </row>
    <row r="89" spans="2:4" ht="15.95" customHeight="1" x14ac:dyDescent="0.25">
      <c r="B89" s="53" t="s">
        <v>173</v>
      </c>
      <c r="C89" s="56" t="s">
        <v>175</v>
      </c>
      <c r="D89" s="132">
        <f>SUM(F21)</f>
        <v>0</v>
      </c>
    </row>
    <row r="90" spans="2:4" ht="15.95" customHeight="1" x14ac:dyDescent="0.25">
      <c r="B90" s="53" t="s">
        <v>80</v>
      </c>
      <c r="C90" s="56" t="s">
        <v>81</v>
      </c>
      <c r="D90" s="132">
        <f>SUM(F11)</f>
        <v>0</v>
      </c>
    </row>
    <row r="91" spans="2:4" ht="15.95" customHeight="1" x14ac:dyDescent="0.25">
      <c r="B91" s="50" t="s">
        <v>82</v>
      </c>
      <c r="C91" s="55" t="s">
        <v>83</v>
      </c>
      <c r="D91" s="131">
        <f>SUM(F24)</f>
        <v>0</v>
      </c>
    </row>
    <row r="92" spans="2:4" ht="15.95" customHeight="1" x14ac:dyDescent="0.25">
      <c r="B92" s="53" t="s">
        <v>84</v>
      </c>
      <c r="C92" s="56" t="s">
        <v>85</v>
      </c>
      <c r="D92" s="132">
        <f>SUM(F10)</f>
        <v>0</v>
      </c>
    </row>
    <row r="93" spans="2:4" ht="15.95" customHeight="1" x14ac:dyDescent="0.25">
      <c r="B93" s="50" t="s">
        <v>86</v>
      </c>
      <c r="C93" s="55" t="s">
        <v>87</v>
      </c>
      <c r="D93" s="131">
        <f>SUM(F27)</f>
        <v>0</v>
      </c>
    </row>
    <row r="94" spans="2:4" ht="15.95" customHeight="1" x14ac:dyDescent="0.25">
      <c r="B94" s="53" t="s">
        <v>88</v>
      </c>
      <c r="C94" s="56" t="s">
        <v>89</v>
      </c>
      <c r="D94" s="132">
        <f>SUM(F18,F19)</f>
        <v>0</v>
      </c>
    </row>
    <row r="95" spans="2:4" ht="15.95" customHeight="1" x14ac:dyDescent="0.25">
      <c r="B95" s="57" t="s">
        <v>151</v>
      </c>
      <c r="C95" s="58"/>
      <c r="D95" s="120">
        <f>SUM(D81:D94)</f>
        <v>0</v>
      </c>
    </row>
    <row r="96" spans="2:4" ht="15" customHeight="1" x14ac:dyDescent="0.25"/>
  </sheetData>
  <mergeCells count="20">
    <mergeCell ref="G68:L68"/>
    <mergeCell ref="B49:L49"/>
    <mergeCell ref="M49:R49"/>
    <mergeCell ref="B50:B51"/>
    <mergeCell ref="C50:C51"/>
    <mergeCell ref="D50:G50"/>
    <mergeCell ref="H50:K50"/>
    <mergeCell ref="Q50:Q51"/>
    <mergeCell ref="R50:R51"/>
    <mergeCell ref="N50:N51"/>
    <mergeCell ref="L50:L51"/>
    <mergeCell ref="M50:M51"/>
    <mergeCell ref="O50:O51"/>
    <mergeCell ref="P50:P51"/>
    <mergeCell ref="B41:D41"/>
    <mergeCell ref="B47:C47"/>
    <mergeCell ref="B79:B80"/>
    <mergeCell ref="C79:C80"/>
    <mergeCell ref="B68:F68"/>
    <mergeCell ref="B78:D78"/>
  </mergeCells>
  <conditionalFormatting sqref="L52:L65">
    <cfRule type="expression" dxfId="8" priority="1">
      <formula>L52&gt;=$F$42-0.05</formula>
    </cfRule>
    <cfRule type="expression" dxfId="7" priority="2">
      <formula>AND(L52&gt;=$F$42-0.2,L52&lt;$F$42-0.05)</formula>
    </cfRule>
    <cfRule type="expression" dxfId="6" priority="3">
      <formula>L52&lt;$F$42-0.2</formula>
    </cfRule>
  </conditionalFormatting>
  <dataValidations count="1">
    <dataValidation type="list" allowBlank="1" showInputMessage="1" showErrorMessage="1" sqref="H41 J41" xr:uid="{00000000-0002-0000-0B00-000000000000}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S96"/>
  <sheetViews>
    <sheetView showGridLines="0" topLeftCell="B39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165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193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194</v>
      </c>
      <c r="H3" s="111"/>
      <c r="I3" s="111"/>
      <c r="J3" s="218">
        <v>0</v>
      </c>
    </row>
    <row r="4" spans="2:15" ht="15" customHeight="1" x14ac:dyDescent="0.25">
      <c r="G4" s="221" t="s">
        <v>195</v>
      </c>
      <c r="H4" s="111"/>
      <c r="I4" s="111"/>
      <c r="J4" s="218">
        <v>0</v>
      </c>
    </row>
    <row r="5" spans="2:15" ht="15" customHeight="1" x14ac:dyDescent="0.25">
      <c r="G5" s="221" t="s">
        <v>196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>
        <f>SUM(C22)</f>
        <v>0</v>
      </c>
      <c r="N8" s="11">
        <f>SUM(D22)</f>
        <v>0</v>
      </c>
      <c r="O8" s="171">
        <f>SUM(E22)</f>
        <v>0</v>
      </c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>
        <f>SUM(C13,C14)</f>
        <v>0</v>
      </c>
      <c r="N9" s="11">
        <f>SUM(D13,D14)</f>
        <v>0</v>
      </c>
      <c r="O9" s="171">
        <f>SUM(E13,E14)</f>
        <v>0</v>
      </c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7" si="0">SUM(C10:F10)</f>
        <v>0</v>
      </c>
      <c r="H10" s="111"/>
      <c r="I10" s="111"/>
      <c r="J10" s="111"/>
      <c r="M10" s="11">
        <f>SUM(C15)</f>
        <v>0</v>
      </c>
      <c r="N10" s="11">
        <f>SUM(D15)</f>
        <v>0</v>
      </c>
      <c r="O10" s="171">
        <f>SUM(E15)</f>
        <v>0</v>
      </c>
    </row>
    <row r="11" spans="2:15" ht="15" customHeight="1" x14ac:dyDescent="0.25">
      <c r="B11" s="72" t="s">
        <v>113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>
        <f>SUM(C12)</f>
        <v>0</v>
      </c>
      <c r="N11" s="11">
        <f>SUM(D12)</f>
        <v>0</v>
      </c>
      <c r="O11" s="171">
        <f>SUM(E12)</f>
        <v>0</v>
      </c>
    </row>
    <row r="12" spans="2:15" ht="15" customHeight="1" x14ac:dyDescent="0.25">
      <c r="B12" s="72" t="s">
        <v>183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>
        <f>SUM(C25,C26)</f>
        <v>0</v>
      </c>
      <c r="N12" s="11">
        <f>SUM(D25,D26)</f>
        <v>0</v>
      </c>
      <c r="O12" s="171">
        <f>SUM(E25,E26)</f>
        <v>0</v>
      </c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>
        <f>SUM(C17)</f>
        <v>0</v>
      </c>
      <c r="N13" s="11">
        <f>SUM(D17)</f>
        <v>0</v>
      </c>
      <c r="O13" s="171">
        <f>SUM(E17)</f>
        <v>0</v>
      </c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>
        <f>SUM(C23)</f>
        <v>0</v>
      </c>
      <c r="N14" s="11">
        <f>SUM(D23)</f>
        <v>0</v>
      </c>
      <c r="O14" s="171">
        <f>SUM(E23)</f>
        <v>0</v>
      </c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>
        <f>SUM(C11)</f>
        <v>0</v>
      </c>
      <c r="N15" s="11">
        <f>SUM(D11)</f>
        <v>0</v>
      </c>
      <c r="O15" s="171">
        <f>SUM(E11)</f>
        <v>0</v>
      </c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>
        <f>SUM(C24)</f>
        <v>0</v>
      </c>
      <c r="N16" s="11">
        <f>SUM(D24)</f>
        <v>0</v>
      </c>
      <c r="O16" s="171">
        <f>SUM(E24)</f>
        <v>0</v>
      </c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>
        <f>SUM(C10)</f>
        <v>0</v>
      </c>
      <c r="N17" s="11">
        <f>SUM(D10)</f>
        <v>0</v>
      </c>
      <c r="O17" s="171">
        <f>SUM(E10)</f>
        <v>0</v>
      </c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>
        <f>SUM(C27)</f>
        <v>0</v>
      </c>
      <c r="N18" s="11">
        <f>SUM(D27)</f>
        <v>0</v>
      </c>
      <c r="O18" s="171">
        <f>SUM(E27)</f>
        <v>0</v>
      </c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>
        <f>SUM(C18,C19)</f>
        <v>0</v>
      </c>
      <c r="N19" s="11">
        <f>SUM(D18,D19)</f>
        <v>0</v>
      </c>
      <c r="O19" s="171">
        <f>SUM(E18,E19)</f>
        <v>0</v>
      </c>
    </row>
    <row r="20" spans="2:15" ht="15" customHeight="1" x14ac:dyDescent="0.25">
      <c r="B20" s="72" t="s">
        <v>170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SUM(C31,C36)</f>
        <v>0</v>
      </c>
      <c r="N20" s="10" t="s">
        <v>119</v>
      </c>
    </row>
    <row r="21" spans="2:15" ht="15" customHeight="1" x14ac:dyDescent="0.25">
      <c r="B21" s="72" t="s">
        <v>171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SUM(C34,C35)+M20</f>
        <v>0</v>
      </c>
      <c r="N21" s="10" t="s">
        <v>121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185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B27" s="72" t="s">
        <v>127</v>
      </c>
      <c r="C27" s="15"/>
      <c r="D27" s="15"/>
      <c r="E27" s="15"/>
      <c r="F27" s="15"/>
      <c r="G27" s="15">
        <f t="shared" si="0"/>
        <v>0</v>
      </c>
      <c r="H27" s="111"/>
      <c r="I27" s="111"/>
      <c r="J27" s="111"/>
    </row>
    <row r="28" spans="2:15" ht="15" customHeight="1" x14ac:dyDescent="0.25">
      <c r="G28" s="111"/>
      <c r="H28" s="111"/>
      <c r="I28" s="111"/>
    </row>
    <row r="29" spans="2:15" ht="15" customHeight="1" x14ac:dyDescent="0.25">
      <c r="B29" s="79" t="s">
        <v>128</v>
      </c>
      <c r="C29" s="79"/>
      <c r="G29" s="111"/>
      <c r="H29" s="111"/>
      <c r="I29" s="111"/>
    </row>
    <row r="30" spans="2:15" ht="15" customHeight="1" x14ac:dyDescent="0.25">
      <c r="B30" s="80" t="s">
        <v>129</v>
      </c>
      <c r="C30" s="80" t="s">
        <v>130</v>
      </c>
      <c r="G30" s="111"/>
      <c r="H30" s="111"/>
      <c r="I30" s="111"/>
    </row>
    <row r="31" spans="2:15" ht="15" customHeight="1" x14ac:dyDescent="0.25">
      <c r="B31" s="73"/>
      <c r="C31" s="107"/>
      <c r="G31" s="111"/>
      <c r="H31" s="111"/>
      <c r="I31" s="111"/>
    </row>
    <row r="32" spans="2:15" ht="15" customHeight="1" x14ac:dyDescent="0.25">
      <c r="B32" s="81" t="s">
        <v>131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132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133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134</v>
      </c>
      <c r="C35" s="15">
        <v>0</v>
      </c>
      <c r="G35" s="111"/>
      <c r="H35" s="111"/>
      <c r="I35" s="111"/>
    </row>
    <row r="36" spans="2:19" ht="15" customHeight="1" x14ac:dyDescent="0.25">
      <c r="B36" s="81" t="s">
        <v>135</v>
      </c>
      <c r="C36" s="15">
        <v>0</v>
      </c>
      <c r="G36" s="111"/>
      <c r="H36" s="111"/>
      <c r="I36" s="111"/>
    </row>
    <row r="37" spans="2:19" ht="15" customHeight="1" x14ac:dyDescent="0.25">
      <c r="B37" s="81"/>
      <c r="C37" s="82"/>
      <c r="G37" s="111"/>
      <c r="H37" s="111"/>
      <c r="I37" s="111"/>
    </row>
    <row r="38" spans="2:19" ht="15" customHeight="1" x14ac:dyDescent="0.25">
      <c r="B38" s="73"/>
      <c r="C38" s="82"/>
      <c r="G38" s="111"/>
      <c r="H38" s="111"/>
      <c r="I38" s="111"/>
    </row>
    <row r="39" spans="2:19" ht="15" customHeight="1" x14ac:dyDescent="0.25">
      <c r="G39" s="111"/>
      <c r="H39" s="111"/>
      <c r="I39" s="111"/>
    </row>
    <row r="40" spans="2:19" ht="15" customHeight="1" x14ac:dyDescent="0.25">
      <c r="G40" s="111"/>
      <c r="H40" s="111"/>
      <c r="I40" s="111"/>
      <c r="S40" s="172" t="s">
        <v>186</v>
      </c>
    </row>
    <row r="41" spans="2:19" ht="20.100000000000001" customHeight="1" x14ac:dyDescent="0.25">
      <c r="B41" s="259" t="s">
        <v>176</v>
      </c>
      <c r="C41" s="260"/>
      <c r="D41" s="261"/>
      <c r="E41" s="66" t="s">
        <v>137</v>
      </c>
      <c r="F41" s="174">
        <f ca="1">IF(MONTH(TODAY())=11,DAY(TODAY())/DAY(EOMONTH(TODAY(),0)),IF(MONTH(TODAY())&gt;11,1,0))</f>
        <v>0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0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90">
        <v>0.75</v>
      </c>
    </row>
    <row r="43" spans="2:19" ht="15.95" customHeight="1" x14ac:dyDescent="0.25">
      <c r="B43" s="109" t="s">
        <v>142</v>
      </c>
      <c r="C43" s="41" t="s">
        <v>143</v>
      </c>
      <c r="D43" s="45">
        <f>SUM(TARGETS!AH5:AH18)</f>
        <v>0</v>
      </c>
      <c r="E43" s="46">
        <f>H66</f>
        <v>0</v>
      </c>
      <c r="F43" s="176">
        <f>IFERROR(E43/D43,0)</f>
        <v>0</v>
      </c>
      <c r="G43" s="184">
        <f>D43*$H$41-E43</f>
        <v>0</v>
      </c>
      <c r="H43" s="184">
        <f ca="1">IFERROR(G43/$C$3,0)</f>
        <v>0</v>
      </c>
      <c r="I43" s="204">
        <f>D43*$J$41-E43</f>
        <v>0</v>
      </c>
      <c r="J43" s="204">
        <f ca="1">IFERROR(I43/$C$3,0)</f>
        <v>0</v>
      </c>
      <c r="K43" s="185">
        <f>D43*$L$41-E43</f>
        <v>0</v>
      </c>
      <c r="L43" s="185">
        <f ca="1">IFERROR(K43/$C$3,0)</f>
        <v>0</v>
      </c>
      <c r="S43" s="173">
        <v>0.8</v>
      </c>
    </row>
    <row r="44" spans="2:19" ht="15.95" customHeight="1" x14ac:dyDescent="0.25">
      <c r="B44" s="109" t="s">
        <v>110</v>
      </c>
      <c r="C44" s="41" t="s">
        <v>143</v>
      </c>
      <c r="D44" s="45">
        <f>SUM(TARGETS!AI5:AI18)</f>
        <v>0</v>
      </c>
      <c r="E44" s="46">
        <f>I66</f>
        <v>0</v>
      </c>
      <c r="F44" s="176">
        <f>IFERROR(E44/D44,0)</f>
        <v>0</v>
      </c>
      <c r="G44" s="184">
        <f>D44*$H$41-E44</f>
        <v>0</v>
      </c>
      <c r="H44" s="184">
        <f ca="1">IFERROR(G44/$C$3,0)</f>
        <v>0</v>
      </c>
      <c r="I44" s="204">
        <f>D44*$J$41-E44</f>
        <v>0</v>
      </c>
      <c r="J44" s="204">
        <f ca="1">IFERROR(I44/$C$3,0)</f>
        <v>0</v>
      </c>
      <c r="K44" s="185">
        <f>D44*$L$41-E44</f>
        <v>0</v>
      </c>
      <c r="L44" s="185">
        <f ca="1">IFERROR(K44/$C$3,0)</f>
        <v>0</v>
      </c>
      <c r="S44" s="173">
        <v>0.85</v>
      </c>
    </row>
    <row r="45" spans="2:19" ht="15.95" customHeight="1" x14ac:dyDescent="0.25">
      <c r="B45" s="109" t="s">
        <v>209</v>
      </c>
      <c r="C45" s="41" t="s">
        <v>143</v>
      </c>
      <c r="D45" s="45">
        <f>SUM(TARGETS!AJ5:AJ18)</f>
        <v>0</v>
      </c>
      <c r="E45" s="46">
        <f>J66</f>
        <v>0</v>
      </c>
      <c r="F45" s="176">
        <f>IFERROR(E45/D45,0)</f>
        <v>0</v>
      </c>
      <c r="G45" s="184">
        <f>IF(D45=0,0,D45*$H$41-E45)</f>
        <v>0</v>
      </c>
      <c r="H45" s="184">
        <f ca="1">IFERROR(G45/$C$3,0)</f>
        <v>0</v>
      </c>
      <c r="I45" s="204">
        <f>IF(D45=0,0,D45*$J$41-E45)</f>
        <v>0</v>
      </c>
      <c r="J45" s="204">
        <f ca="1">IFERROR(I45/$C$3,0)</f>
        <v>0</v>
      </c>
      <c r="K45" s="185">
        <f>IF(D45=0,0,D45*$L$41-E45)</f>
        <v>0</v>
      </c>
      <c r="L45" s="185">
        <f ca="1">IFERROR(K45/$C$3,0)</f>
        <v>0</v>
      </c>
      <c r="S45" s="173">
        <v>0.9</v>
      </c>
    </row>
    <row r="46" spans="2:19" ht="15.95" customHeight="1" x14ac:dyDescent="0.25">
      <c r="B46" s="109" t="s">
        <v>144</v>
      </c>
      <c r="C46" s="41" t="s">
        <v>143</v>
      </c>
      <c r="D46" s="45">
        <f>SUM(TARGETS!N22:N26)</f>
        <v>0</v>
      </c>
      <c r="E46" s="46">
        <f>SUM(C32,C33)+M21</f>
        <v>0</v>
      </c>
      <c r="F46" s="176">
        <f>IFERROR(E46/D46,0)</f>
        <v>0</v>
      </c>
      <c r="G46" s="184">
        <f>D46*$H$41-E46</f>
        <v>0</v>
      </c>
      <c r="H46" s="184">
        <f ca="1">IFERROR(G46/$C$3,0)</f>
        <v>0</v>
      </c>
      <c r="I46" s="204">
        <f>D46*$J$41-E46</f>
        <v>0</v>
      </c>
      <c r="J46" s="204">
        <f ca="1">IFERROR(I46/$C$3,0)</f>
        <v>0</v>
      </c>
      <c r="K46" s="185">
        <f>D46*$L$41-E46</f>
        <v>0</v>
      </c>
      <c r="L46" s="185">
        <f ca="1">IFERROR(K46/$C$3,0)</f>
        <v>0</v>
      </c>
      <c r="S46" s="173">
        <v>0.95</v>
      </c>
    </row>
    <row r="47" spans="2:19" ht="15" customHeight="1" x14ac:dyDescent="0.25">
      <c r="B47" s="256" t="s">
        <v>145</v>
      </c>
      <c r="C47" s="257"/>
      <c r="D47" s="47">
        <f>SUM(D43:D46)</f>
        <v>0</v>
      </c>
      <c r="E47" s="47">
        <f>SUM(E43:E46)</f>
        <v>0</v>
      </c>
      <c r="F47" s="177">
        <f>IFERROR(E47/D47,0)</f>
        <v>0</v>
      </c>
      <c r="G47" s="181">
        <f>SUM(G43:G46)</f>
        <v>0</v>
      </c>
      <c r="H47" s="181">
        <f ca="1">IFERROR(G47/$C$3,0)</f>
        <v>0</v>
      </c>
      <c r="I47" s="186">
        <f>SUM(I43:I46)</f>
        <v>0</v>
      </c>
      <c r="J47" s="186">
        <f ca="1">IFERROR(I47/$C$3,0)</f>
        <v>0</v>
      </c>
      <c r="K47" s="186">
        <f>SUM(K43:K46)</f>
        <v>0</v>
      </c>
      <c r="L47" s="186">
        <f ca="1">IFERROR(K47/$C$3,0)</f>
        <v>0</v>
      </c>
      <c r="S47" s="173">
        <v>1</v>
      </c>
    </row>
    <row r="48" spans="2:19" ht="15" customHeight="1" x14ac:dyDescent="0.25">
      <c r="G48" s="111"/>
      <c r="H48" s="111"/>
      <c r="I48" s="111"/>
      <c r="S48" s="173"/>
    </row>
    <row r="49" spans="2:18" ht="18.95" customHeight="1" x14ac:dyDescent="0.25">
      <c r="B49" s="262" t="s">
        <v>146</v>
      </c>
      <c r="C49" s="263"/>
      <c r="D49" s="263"/>
      <c r="E49" s="263"/>
      <c r="F49" s="263"/>
      <c r="G49" s="263"/>
      <c r="H49" s="263"/>
      <c r="I49" s="263"/>
      <c r="J49" s="263"/>
      <c r="K49" s="263"/>
      <c r="L49" s="286"/>
      <c r="M49" s="269" t="s">
        <v>187</v>
      </c>
      <c r="N49" s="270"/>
      <c r="O49" s="270"/>
      <c r="P49" s="270"/>
      <c r="Q49" s="270"/>
      <c r="R49" s="271"/>
    </row>
    <row r="50" spans="2:18" ht="17.100000000000001" customHeight="1" x14ac:dyDescent="0.25">
      <c r="B50" s="287" t="s">
        <v>41</v>
      </c>
      <c r="C50" s="287" t="s">
        <v>42</v>
      </c>
      <c r="D50" s="253" t="s">
        <v>137</v>
      </c>
      <c r="E50" s="254"/>
      <c r="F50" s="254"/>
      <c r="G50" s="255"/>
      <c r="H50" s="288" t="s">
        <v>138</v>
      </c>
      <c r="I50" s="289"/>
      <c r="J50" s="289"/>
      <c r="K50" s="290"/>
      <c r="L50" s="291" t="s">
        <v>139</v>
      </c>
      <c r="M50" s="272" t="str">
        <f>"SELISIH"&amp;CHAR(10)&amp;TEXT($H$41,"0%")</f>
        <v>SELISIH
90%</v>
      </c>
      <c r="N50" s="272" t="str">
        <f>"PER HARI"&amp;CHAR(10)&amp;TEXT($H$41,"0%")</f>
        <v>PER HARI
90%</v>
      </c>
      <c r="O50" s="274" t="str">
        <f>"SELISIH"&amp;CHAR(10)&amp;TEXT($J$41,"0%")</f>
        <v>SELISIH
95%</v>
      </c>
      <c r="P50" s="274" t="str">
        <f>"PER HARI"&amp;CHAR(10)&amp;TEXT($J$41,"0%")</f>
        <v>PER HARI
95%</v>
      </c>
      <c r="Q50" s="276" t="str">
        <f>"SELISIH"&amp;CHAR(10)&amp;TEXT($L$41,"0%")</f>
        <v>SELISIH
100%</v>
      </c>
      <c r="R50" s="276" t="str">
        <f>"PER HARI"&amp;CHAR(10)&amp;TEXT($L$41,"0%")</f>
        <v>PER HARI
100%</v>
      </c>
    </row>
    <row r="51" spans="2:18" ht="17.100000000000001" customHeight="1" x14ac:dyDescent="0.25">
      <c r="B51" s="268"/>
      <c r="C51" s="268"/>
      <c r="D51" s="70" t="s">
        <v>149</v>
      </c>
      <c r="E51" s="70" t="s">
        <v>150</v>
      </c>
      <c r="F51" s="70" t="s">
        <v>211</v>
      </c>
      <c r="G51" s="70" t="s">
        <v>130</v>
      </c>
      <c r="H51" s="113" t="s">
        <v>149</v>
      </c>
      <c r="I51" s="113" t="s">
        <v>150</v>
      </c>
      <c r="J51" s="113" t="s">
        <v>211</v>
      </c>
      <c r="K51" s="113" t="s">
        <v>130</v>
      </c>
      <c r="L51" s="292"/>
      <c r="M51" s="273"/>
      <c r="N51" s="273"/>
      <c r="O51" s="275"/>
      <c r="P51" s="275"/>
      <c r="Q51" s="277"/>
      <c r="R51" s="277"/>
    </row>
    <row r="52" spans="2:18" ht="15.95" customHeight="1" x14ac:dyDescent="0.25">
      <c r="B52" s="50" t="s">
        <v>67</v>
      </c>
      <c r="C52" s="55" t="s">
        <v>68</v>
      </c>
      <c r="D52" s="118">
        <f>TARGETS!AH5</f>
        <v>0</v>
      </c>
      <c r="E52" s="118">
        <f>TARGETS!AI5</f>
        <v>0</v>
      </c>
      <c r="F52" s="118">
        <f>TARGETS!AJ5</f>
        <v>0</v>
      </c>
      <c r="G52" s="118">
        <f t="shared" ref="G52:G65" si="1">SUM(D52:F52)</f>
        <v>0</v>
      </c>
      <c r="H52" s="114">
        <f>M8</f>
        <v>0</v>
      </c>
      <c r="I52" s="114">
        <f>N8</f>
        <v>0</v>
      </c>
      <c r="J52" s="114">
        <f>SUM(O8)</f>
        <v>0</v>
      </c>
      <c r="K52" s="114">
        <f t="shared" ref="K52:K65" si="2">SUM(H52:J52)</f>
        <v>0</v>
      </c>
      <c r="L52" s="187">
        <f t="shared" ref="L52:L66" si="3">IFERROR(K52/G52,0)</f>
        <v>0</v>
      </c>
      <c r="M52" s="184">
        <f t="shared" ref="M52:M65" si="4">G52*$H$41-K52</f>
        <v>0</v>
      </c>
      <c r="N52" s="184">
        <f t="shared" ref="N52:N66" ca="1" si="5">IFERROR(M52/$C$3,0)</f>
        <v>0</v>
      </c>
      <c r="O52" s="180">
        <f t="shared" ref="O52:O65" si="6">G52*$J$41-K52</f>
        <v>0</v>
      </c>
      <c r="P52" s="180">
        <f t="shared" ref="P52:P66" ca="1" si="7">IFERROR(O52/$C$3,0)</f>
        <v>0</v>
      </c>
      <c r="Q52" s="185">
        <f t="shared" ref="Q52:Q65" si="8">G52*$L$41-K52</f>
        <v>0</v>
      </c>
      <c r="R52" s="185">
        <f t="shared" ref="R52:R66" ca="1" si="9">IFERROR(Q52/$C$3,0)</f>
        <v>0</v>
      </c>
    </row>
    <row r="53" spans="2:18" ht="15.95" customHeight="1" x14ac:dyDescent="0.25">
      <c r="B53" s="53" t="s">
        <v>69</v>
      </c>
      <c r="C53" s="56" t="s">
        <v>70</v>
      </c>
      <c r="D53" s="119">
        <f>TARGETS!AH6</f>
        <v>0</v>
      </c>
      <c r="E53" s="119">
        <f>TARGETS!AI6</f>
        <v>0</v>
      </c>
      <c r="F53" s="119">
        <f>TARGETS!AJ6</f>
        <v>0</v>
      </c>
      <c r="G53" s="119">
        <f t="shared" si="1"/>
        <v>0</v>
      </c>
      <c r="H53" s="114">
        <f>M9</f>
        <v>0</v>
      </c>
      <c r="I53" s="114">
        <f>N9</f>
        <v>0</v>
      </c>
      <c r="J53" s="114">
        <f>SUM(O9)</f>
        <v>0</v>
      </c>
      <c r="K53" s="114">
        <f t="shared" si="2"/>
        <v>0</v>
      </c>
      <c r="L53" s="187">
        <f t="shared" si="3"/>
        <v>0</v>
      </c>
      <c r="M53" s="184">
        <f t="shared" si="4"/>
        <v>0</v>
      </c>
      <c r="N53" s="184">
        <f t="shared" ca="1" si="5"/>
        <v>0</v>
      </c>
      <c r="O53" s="180">
        <f t="shared" si="6"/>
        <v>0</v>
      </c>
      <c r="P53" s="180">
        <f t="shared" ca="1" si="7"/>
        <v>0</v>
      </c>
      <c r="Q53" s="185">
        <f t="shared" si="8"/>
        <v>0</v>
      </c>
      <c r="R53" s="185">
        <f t="shared" ca="1" si="9"/>
        <v>0</v>
      </c>
    </row>
    <row r="54" spans="2:18" ht="15.95" customHeight="1" x14ac:dyDescent="0.25">
      <c r="B54" s="136" t="s">
        <v>173</v>
      </c>
      <c r="C54" s="137" t="s">
        <v>174</v>
      </c>
      <c r="D54" s="138">
        <f>TARGETS!AH7</f>
        <v>0</v>
      </c>
      <c r="E54" s="138">
        <f>TARGETS!AI7</f>
        <v>0</v>
      </c>
      <c r="F54" s="138">
        <f>TARGETS!AJ7</f>
        <v>0</v>
      </c>
      <c r="G54" s="138">
        <f t="shared" si="1"/>
        <v>0</v>
      </c>
      <c r="H54" s="114">
        <f>SUM(C20)</f>
        <v>0</v>
      </c>
      <c r="I54" s="114">
        <f>SUM(D20)</f>
        <v>0</v>
      </c>
      <c r="J54" s="114">
        <f>SUM(E20)</f>
        <v>0</v>
      </c>
      <c r="K54" s="114">
        <f t="shared" si="2"/>
        <v>0</v>
      </c>
      <c r="L54" s="187">
        <f t="shared" si="3"/>
        <v>0</v>
      </c>
      <c r="M54" s="184">
        <f t="shared" si="4"/>
        <v>0</v>
      </c>
      <c r="N54" s="184">
        <f t="shared" ca="1" si="5"/>
        <v>0</v>
      </c>
      <c r="O54" s="180">
        <f t="shared" si="6"/>
        <v>0</v>
      </c>
      <c r="P54" s="180">
        <f t="shared" ca="1" si="7"/>
        <v>0</v>
      </c>
      <c r="Q54" s="185">
        <f t="shared" si="8"/>
        <v>0</v>
      </c>
      <c r="R54" s="185">
        <f t="shared" ca="1" si="9"/>
        <v>0</v>
      </c>
    </row>
    <row r="55" spans="2:18" ht="15.95" customHeight="1" x14ac:dyDescent="0.25">
      <c r="B55" s="53" t="s">
        <v>71</v>
      </c>
      <c r="C55" s="56" t="s">
        <v>72</v>
      </c>
      <c r="D55" s="119">
        <f>TARGETS!AH8</f>
        <v>0</v>
      </c>
      <c r="E55" s="119">
        <f>TARGETS!AI8</f>
        <v>0</v>
      </c>
      <c r="F55" s="119">
        <f>TARGETS!AJ8</f>
        <v>0</v>
      </c>
      <c r="G55" s="119">
        <f t="shared" si="1"/>
        <v>0</v>
      </c>
      <c r="H55" s="114">
        <f t="shared" ref="H55:I59" si="10">M10</f>
        <v>0</v>
      </c>
      <c r="I55" s="114">
        <f t="shared" si="10"/>
        <v>0</v>
      </c>
      <c r="J55" s="114">
        <f>SUM(O10)</f>
        <v>0</v>
      </c>
      <c r="K55" s="114">
        <f t="shared" si="2"/>
        <v>0</v>
      </c>
      <c r="L55" s="187">
        <f t="shared" si="3"/>
        <v>0</v>
      </c>
      <c r="M55" s="184">
        <f t="shared" si="4"/>
        <v>0</v>
      </c>
      <c r="N55" s="184">
        <f t="shared" ca="1" si="5"/>
        <v>0</v>
      </c>
      <c r="O55" s="180">
        <f t="shared" si="6"/>
        <v>0</v>
      </c>
      <c r="P55" s="180">
        <f t="shared" ca="1" si="7"/>
        <v>0</v>
      </c>
      <c r="Q55" s="185">
        <f t="shared" si="8"/>
        <v>0</v>
      </c>
      <c r="R55" s="185">
        <f t="shared" ca="1" si="9"/>
        <v>0</v>
      </c>
    </row>
    <row r="56" spans="2:18" ht="15.95" customHeight="1" x14ac:dyDescent="0.25">
      <c r="B56" s="50" t="s">
        <v>73</v>
      </c>
      <c r="C56" s="55" t="s">
        <v>182</v>
      </c>
      <c r="D56" s="118">
        <f>TARGETS!AH9</f>
        <v>0</v>
      </c>
      <c r="E56" s="118">
        <f>TARGETS!AI9</f>
        <v>0</v>
      </c>
      <c r="F56" s="118">
        <f>TARGETS!AJ9</f>
        <v>0</v>
      </c>
      <c r="G56" s="118">
        <f t="shared" si="1"/>
        <v>0</v>
      </c>
      <c r="H56" s="114">
        <f t="shared" si="10"/>
        <v>0</v>
      </c>
      <c r="I56" s="114">
        <f t="shared" si="10"/>
        <v>0</v>
      </c>
      <c r="J56" s="114">
        <f>SUM(O11)</f>
        <v>0</v>
      </c>
      <c r="K56" s="114">
        <f t="shared" si="2"/>
        <v>0</v>
      </c>
      <c r="L56" s="187">
        <f t="shared" si="3"/>
        <v>0</v>
      </c>
      <c r="M56" s="184">
        <f t="shared" si="4"/>
        <v>0</v>
      </c>
      <c r="N56" s="184">
        <f t="shared" ca="1" si="5"/>
        <v>0</v>
      </c>
      <c r="O56" s="180">
        <f t="shared" si="6"/>
        <v>0</v>
      </c>
      <c r="P56" s="180">
        <f t="shared" ca="1" si="7"/>
        <v>0</v>
      </c>
      <c r="Q56" s="185">
        <f t="shared" si="8"/>
        <v>0</v>
      </c>
      <c r="R56" s="185">
        <f t="shared" ca="1" si="9"/>
        <v>0</v>
      </c>
    </row>
    <row r="57" spans="2:18" ht="15.95" customHeight="1" x14ac:dyDescent="0.25">
      <c r="B57" s="53" t="s">
        <v>75</v>
      </c>
      <c r="C57" s="56" t="s">
        <v>99</v>
      </c>
      <c r="D57" s="119">
        <f>TARGETS!AH10</f>
        <v>0</v>
      </c>
      <c r="E57" s="119">
        <f>TARGETS!AI10</f>
        <v>0</v>
      </c>
      <c r="F57" s="119">
        <f>TARGETS!AJ10</f>
        <v>0</v>
      </c>
      <c r="G57" s="119">
        <f t="shared" si="1"/>
        <v>0</v>
      </c>
      <c r="H57" s="114">
        <f t="shared" si="10"/>
        <v>0</v>
      </c>
      <c r="I57" s="114">
        <f t="shared" si="10"/>
        <v>0</v>
      </c>
      <c r="J57" s="114">
        <f>SUM(O12)</f>
        <v>0</v>
      </c>
      <c r="K57" s="114">
        <f t="shared" si="2"/>
        <v>0</v>
      </c>
      <c r="L57" s="187">
        <f t="shared" si="3"/>
        <v>0</v>
      </c>
      <c r="M57" s="184">
        <f t="shared" si="4"/>
        <v>0</v>
      </c>
      <c r="N57" s="184">
        <f t="shared" ca="1" si="5"/>
        <v>0</v>
      </c>
      <c r="O57" s="180">
        <f t="shared" si="6"/>
        <v>0</v>
      </c>
      <c r="P57" s="180">
        <f t="shared" ca="1" si="7"/>
        <v>0</v>
      </c>
      <c r="Q57" s="185">
        <f t="shared" si="8"/>
        <v>0</v>
      </c>
      <c r="R57" s="185">
        <f t="shared" ca="1" si="9"/>
        <v>0</v>
      </c>
    </row>
    <row r="58" spans="2:18" ht="15.95" customHeight="1" x14ac:dyDescent="0.25">
      <c r="B58" s="50" t="s">
        <v>76</v>
      </c>
      <c r="C58" s="55" t="s">
        <v>77</v>
      </c>
      <c r="D58" s="118">
        <f>TARGETS!AH11</f>
        <v>0</v>
      </c>
      <c r="E58" s="118">
        <f>TARGETS!AI11</f>
        <v>0</v>
      </c>
      <c r="F58" s="118">
        <f>TARGETS!AJ11</f>
        <v>0</v>
      </c>
      <c r="G58" s="118">
        <f t="shared" si="1"/>
        <v>0</v>
      </c>
      <c r="H58" s="114">
        <f t="shared" si="10"/>
        <v>0</v>
      </c>
      <c r="I58" s="114">
        <f t="shared" si="10"/>
        <v>0</v>
      </c>
      <c r="J58" s="114">
        <f>SUM(O13)</f>
        <v>0</v>
      </c>
      <c r="K58" s="114">
        <f t="shared" si="2"/>
        <v>0</v>
      </c>
      <c r="L58" s="187">
        <f t="shared" si="3"/>
        <v>0</v>
      </c>
      <c r="M58" s="184">
        <f t="shared" si="4"/>
        <v>0</v>
      </c>
      <c r="N58" s="184">
        <f t="shared" ca="1" si="5"/>
        <v>0</v>
      </c>
      <c r="O58" s="180">
        <f t="shared" si="6"/>
        <v>0</v>
      </c>
      <c r="P58" s="180">
        <f t="shared" ca="1" si="7"/>
        <v>0</v>
      </c>
      <c r="Q58" s="185">
        <f t="shared" si="8"/>
        <v>0</v>
      </c>
      <c r="R58" s="185">
        <f t="shared" ca="1" si="9"/>
        <v>0</v>
      </c>
    </row>
    <row r="59" spans="2:18" ht="15.95" customHeight="1" x14ac:dyDescent="0.25">
      <c r="B59" s="53" t="s">
        <v>78</v>
      </c>
      <c r="C59" s="56" t="s">
        <v>79</v>
      </c>
      <c r="D59" s="119">
        <f>TARGETS!AH12</f>
        <v>0</v>
      </c>
      <c r="E59" s="119">
        <f>TARGETS!AI12</f>
        <v>0</v>
      </c>
      <c r="F59" s="119">
        <f>TARGETS!AJ12</f>
        <v>0</v>
      </c>
      <c r="G59" s="119">
        <f t="shared" si="1"/>
        <v>0</v>
      </c>
      <c r="H59" s="114">
        <f t="shared" si="10"/>
        <v>0</v>
      </c>
      <c r="I59" s="114">
        <f t="shared" si="10"/>
        <v>0</v>
      </c>
      <c r="J59" s="114">
        <f>SUM(O14)</f>
        <v>0</v>
      </c>
      <c r="K59" s="114">
        <f t="shared" si="2"/>
        <v>0</v>
      </c>
      <c r="L59" s="187">
        <f t="shared" si="3"/>
        <v>0</v>
      </c>
      <c r="M59" s="184">
        <f t="shared" si="4"/>
        <v>0</v>
      </c>
      <c r="N59" s="184">
        <f t="shared" ca="1" si="5"/>
        <v>0</v>
      </c>
      <c r="O59" s="180">
        <f t="shared" si="6"/>
        <v>0</v>
      </c>
      <c r="P59" s="180">
        <f t="shared" ca="1" si="7"/>
        <v>0</v>
      </c>
      <c r="Q59" s="185">
        <f t="shared" si="8"/>
        <v>0</v>
      </c>
      <c r="R59" s="185">
        <f t="shared" ca="1" si="9"/>
        <v>0</v>
      </c>
    </row>
    <row r="60" spans="2:18" ht="15.95" customHeight="1" x14ac:dyDescent="0.25">
      <c r="B60" s="136" t="s">
        <v>173</v>
      </c>
      <c r="C60" s="137" t="s">
        <v>175</v>
      </c>
      <c r="D60" s="138">
        <f>TARGETS!AH13</f>
        <v>0</v>
      </c>
      <c r="E60" s="138">
        <f>TARGETS!AI13</f>
        <v>0</v>
      </c>
      <c r="F60" s="138">
        <f>TARGETS!AJ13</f>
        <v>0</v>
      </c>
      <c r="G60" s="138">
        <f t="shared" si="1"/>
        <v>0</v>
      </c>
      <c r="H60" s="114">
        <f>SUM(C21)</f>
        <v>0</v>
      </c>
      <c r="I60" s="114">
        <f>SUM(D21)</f>
        <v>0</v>
      </c>
      <c r="J60" s="114">
        <f>SUM(E21)</f>
        <v>0</v>
      </c>
      <c r="K60" s="114">
        <f t="shared" si="2"/>
        <v>0</v>
      </c>
      <c r="L60" s="187">
        <f t="shared" si="3"/>
        <v>0</v>
      </c>
      <c r="M60" s="184">
        <f t="shared" si="4"/>
        <v>0</v>
      </c>
      <c r="N60" s="184">
        <f t="shared" ca="1" si="5"/>
        <v>0</v>
      </c>
      <c r="O60" s="180">
        <f t="shared" si="6"/>
        <v>0</v>
      </c>
      <c r="P60" s="180">
        <f t="shared" ca="1" si="7"/>
        <v>0</v>
      </c>
      <c r="Q60" s="185">
        <f t="shared" si="8"/>
        <v>0</v>
      </c>
      <c r="R60" s="185">
        <f t="shared" ca="1" si="9"/>
        <v>0</v>
      </c>
    </row>
    <row r="61" spans="2:18" ht="15.95" customHeight="1" x14ac:dyDescent="0.25">
      <c r="B61" s="53" t="s">
        <v>80</v>
      </c>
      <c r="C61" s="56" t="s">
        <v>81</v>
      </c>
      <c r="D61" s="119">
        <f>TARGETS!AH14</f>
        <v>0</v>
      </c>
      <c r="E61" s="119">
        <f>TARGETS!AI14</f>
        <v>0</v>
      </c>
      <c r="F61" s="119">
        <f>TARGETS!AJ14</f>
        <v>0</v>
      </c>
      <c r="G61" s="119">
        <f t="shared" si="1"/>
        <v>0</v>
      </c>
      <c r="H61" s="114">
        <f t="shared" ref="H61:I65" si="11">M15</f>
        <v>0</v>
      </c>
      <c r="I61" s="114">
        <f t="shared" si="11"/>
        <v>0</v>
      </c>
      <c r="J61" s="114">
        <f>SUM(O15)</f>
        <v>0</v>
      </c>
      <c r="K61" s="114">
        <f t="shared" si="2"/>
        <v>0</v>
      </c>
      <c r="L61" s="187">
        <f t="shared" si="3"/>
        <v>0</v>
      </c>
      <c r="M61" s="184">
        <f t="shared" si="4"/>
        <v>0</v>
      </c>
      <c r="N61" s="184">
        <f t="shared" ca="1" si="5"/>
        <v>0</v>
      </c>
      <c r="O61" s="180">
        <f t="shared" si="6"/>
        <v>0</v>
      </c>
      <c r="P61" s="180">
        <f t="shared" ca="1" si="7"/>
        <v>0</v>
      </c>
      <c r="Q61" s="185">
        <f t="shared" si="8"/>
        <v>0</v>
      </c>
      <c r="R61" s="185">
        <f t="shared" ca="1" si="9"/>
        <v>0</v>
      </c>
    </row>
    <row r="62" spans="2:18" ht="15.95" customHeight="1" x14ac:dyDescent="0.25">
      <c r="B62" s="50" t="s">
        <v>82</v>
      </c>
      <c r="C62" s="55" t="s">
        <v>83</v>
      </c>
      <c r="D62" s="118">
        <f>TARGETS!AH15</f>
        <v>0</v>
      </c>
      <c r="E62" s="118">
        <f>TARGETS!AI15</f>
        <v>0</v>
      </c>
      <c r="F62" s="118">
        <f>TARGETS!AJ15</f>
        <v>0</v>
      </c>
      <c r="G62" s="118">
        <f t="shared" si="1"/>
        <v>0</v>
      </c>
      <c r="H62" s="114">
        <f t="shared" si="11"/>
        <v>0</v>
      </c>
      <c r="I62" s="114">
        <f t="shared" si="11"/>
        <v>0</v>
      </c>
      <c r="J62" s="114">
        <f>SUM(O16)</f>
        <v>0</v>
      </c>
      <c r="K62" s="114">
        <f t="shared" si="2"/>
        <v>0</v>
      </c>
      <c r="L62" s="187">
        <f t="shared" si="3"/>
        <v>0</v>
      </c>
      <c r="M62" s="184">
        <f t="shared" si="4"/>
        <v>0</v>
      </c>
      <c r="N62" s="184">
        <f t="shared" ca="1" si="5"/>
        <v>0</v>
      </c>
      <c r="O62" s="180">
        <f t="shared" si="6"/>
        <v>0</v>
      </c>
      <c r="P62" s="180">
        <f t="shared" ca="1" si="7"/>
        <v>0</v>
      </c>
      <c r="Q62" s="185">
        <f t="shared" si="8"/>
        <v>0</v>
      </c>
      <c r="R62" s="185">
        <f t="shared" ca="1" si="9"/>
        <v>0</v>
      </c>
    </row>
    <row r="63" spans="2:18" ht="15.95" customHeight="1" x14ac:dyDescent="0.25">
      <c r="B63" s="53" t="s">
        <v>84</v>
      </c>
      <c r="C63" s="56" t="s">
        <v>85</v>
      </c>
      <c r="D63" s="119">
        <f>TARGETS!AH16</f>
        <v>0</v>
      </c>
      <c r="E63" s="119">
        <f>TARGETS!AI16</f>
        <v>0</v>
      </c>
      <c r="F63" s="119">
        <f>TARGETS!AJ16</f>
        <v>0</v>
      </c>
      <c r="G63" s="119">
        <f t="shared" si="1"/>
        <v>0</v>
      </c>
      <c r="H63" s="114">
        <f t="shared" si="11"/>
        <v>0</v>
      </c>
      <c r="I63" s="114">
        <f t="shared" si="11"/>
        <v>0</v>
      </c>
      <c r="J63" s="114">
        <f>SUM(O17)</f>
        <v>0</v>
      </c>
      <c r="K63" s="114">
        <f t="shared" si="2"/>
        <v>0</v>
      </c>
      <c r="L63" s="187">
        <f t="shared" si="3"/>
        <v>0</v>
      </c>
      <c r="M63" s="184">
        <f t="shared" si="4"/>
        <v>0</v>
      </c>
      <c r="N63" s="184">
        <f t="shared" ca="1" si="5"/>
        <v>0</v>
      </c>
      <c r="O63" s="180">
        <f t="shared" si="6"/>
        <v>0</v>
      </c>
      <c r="P63" s="180">
        <f t="shared" ca="1" si="7"/>
        <v>0</v>
      </c>
      <c r="Q63" s="185">
        <f t="shared" si="8"/>
        <v>0</v>
      </c>
      <c r="R63" s="185">
        <f t="shared" ca="1" si="9"/>
        <v>0</v>
      </c>
    </row>
    <row r="64" spans="2:18" ht="15.95" customHeight="1" x14ac:dyDescent="0.25">
      <c r="B64" s="50" t="s">
        <v>86</v>
      </c>
      <c r="C64" s="55" t="s">
        <v>87</v>
      </c>
      <c r="D64" s="118">
        <f>TARGETS!AH17</f>
        <v>0</v>
      </c>
      <c r="E64" s="118">
        <f>TARGETS!AI17</f>
        <v>0</v>
      </c>
      <c r="F64" s="118">
        <f>TARGETS!AJ17</f>
        <v>0</v>
      </c>
      <c r="G64" s="118">
        <f t="shared" si="1"/>
        <v>0</v>
      </c>
      <c r="H64" s="114">
        <f t="shared" si="11"/>
        <v>0</v>
      </c>
      <c r="I64" s="114">
        <f t="shared" si="11"/>
        <v>0</v>
      </c>
      <c r="J64" s="114">
        <f>SUM(O18)</f>
        <v>0</v>
      </c>
      <c r="K64" s="114">
        <f t="shared" si="2"/>
        <v>0</v>
      </c>
      <c r="L64" s="187">
        <f t="shared" si="3"/>
        <v>0</v>
      </c>
      <c r="M64" s="184">
        <f t="shared" si="4"/>
        <v>0</v>
      </c>
      <c r="N64" s="184">
        <f t="shared" ca="1" si="5"/>
        <v>0</v>
      </c>
      <c r="O64" s="180">
        <f t="shared" si="6"/>
        <v>0</v>
      </c>
      <c r="P64" s="180">
        <f t="shared" ca="1" si="7"/>
        <v>0</v>
      </c>
      <c r="Q64" s="185">
        <f t="shared" si="8"/>
        <v>0</v>
      </c>
      <c r="R64" s="185">
        <f t="shared" ca="1" si="9"/>
        <v>0</v>
      </c>
    </row>
    <row r="65" spans="2:18" ht="15.95" customHeight="1" x14ac:dyDescent="0.25">
      <c r="B65" s="53" t="s">
        <v>88</v>
      </c>
      <c r="C65" s="56" t="s">
        <v>89</v>
      </c>
      <c r="D65" s="119">
        <f>TARGETS!AH18</f>
        <v>0</v>
      </c>
      <c r="E65" s="119">
        <f>TARGETS!AI18</f>
        <v>0</v>
      </c>
      <c r="F65" s="119">
        <f>TARGETS!AJ18</f>
        <v>0</v>
      </c>
      <c r="G65" s="119">
        <f t="shared" si="1"/>
        <v>0</v>
      </c>
      <c r="H65" s="114">
        <f t="shared" si="11"/>
        <v>0</v>
      </c>
      <c r="I65" s="114">
        <f t="shared" si="11"/>
        <v>0</v>
      </c>
      <c r="J65" s="114">
        <f>SUM(O19)</f>
        <v>0</v>
      </c>
      <c r="K65" s="114">
        <f t="shared" si="2"/>
        <v>0</v>
      </c>
      <c r="L65" s="187">
        <f t="shared" si="3"/>
        <v>0</v>
      </c>
      <c r="M65" s="184">
        <f t="shared" si="4"/>
        <v>0</v>
      </c>
      <c r="N65" s="184">
        <f t="shared" ca="1" si="5"/>
        <v>0</v>
      </c>
      <c r="O65" s="180">
        <f t="shared" si="6"/>
        <v>0</v>
      </c>
      <c r="P65" s="180">
        <f t="shared" ca="1" si="7"/>
        <v>0</v>
      </c>
      <c r="Q65" s="185">
        <f t="shared" si="8"/>
        <v>0</v>
      </c>
      <c r="R65" s="185">
        <f t="shared" ca="1" si="9"/>
        <v>0</v>
      </c>
    </row>
    <row r="66" spans="2:18" ht="15.95" customHeight="1" x14ac:dyDescent="0.25">
      <c r="B66" s="57" t="s">
        <v>151</v>
      </c>
      <c r="C66" s="58"/>
      <c r="D66" s="134">
        <f t="shared" ref="D66:K66" si="12">SUM(D52:D65)</f>
        <v>0</v>
      </c>
      <c r="E66" s="134">
        <f t="shared" si="12"/>
        <v>0</v>
      </c>
      <c r="F66" s="134">
        <f t="shared" si="12"/>
        <v>0</v>
      </c>
      <c r="G66" s="134">
        <f t="shared" si="12"/>
        <v>0</v>
      </c>
      <c r="H66" s="135">
        <f t="shared" si="12"/>
        <v>0</v>
      </c>
      <c r="I66" s="135">
        <f t="shared" si="12"/>
        <v>0</v>
      </c>
      <c r="J66" s="135">
        <f t="shared" si="12"/>
        <v>0</v>
      </c>
      <c r="K66" s="135">
        <f t="shared" si="12"/>
        <v>0</v>
      </c>
      <c r="L66" s="189">
        <f t="shared" si="3"/>
        <v>0</v>
      </c>
      <c r="M66" s="181">
        <f>SUM(M52:M65)</f>
        <v>0</v>
      </c>
      <c r="N66" s="181">
        <f t="shared" ca="1" si="5"/>
        <v>0</v>
      </c>
      <c r="O66" s="181">
        <f>SUM(O52:O65)</f>
        <v>0</v>
      </c>
      <c r="P66" s="181">
        <f t="shared" ca="1" si="7"/>
        <v>0</v>
      </c>
      <c r="Q66" s="186">
        <f>SUM(Q52:Q65)</f>
        <v>0</v>
      </c>
      <c r="R66" s="186">
        <f t="shared" ca="1" si="9"/>
        <v>0</v>
      </c>
    </row>
    <row r="67" spans="2:18" ht="15" customHeight="1" x14ac:dyDescent="0.25">
      <c r="G67" s="111"/>
      <c r="H67" s="111"/>
      <c r="I67" s="111"/>
    </row>
    <row r="68" spans="2:18" ht="18.95" customHeight="1" x14ac:dyDescent="0.25">
      <c r="B68" s="283" t="s">
        <v>144</v>
      </c>
      <c r="C68" s="284"/>
      <c r="D68" s="284"/>
      <c r="E68" s="284"/>
      <c r="F68" s="293"/>
      <c r="G68" s="269" t="s">
        <v>187</v>
      </c>
      <c r="H68" s="270"/>
      <c r="I68" s="270"/>
      <c r="J68" s="270"/>
      <c r="K68" s="270"/>
      <c r="L68" s="271"/>
    </row>
    <row r="69" spans="2:18" ht="30" customHeight="1" x14ac:dyDescent="0.25">
      <c r="B69" s="223" t="s">
        <v>152</v>
      </c>
      <c r="C69" s="223" t="s">
        <v>42</v>
      </c>
      <c r="D69" s="223" t="s">
        <v>137</v>
      </c>
      <c r="E69" s="223" t="s">
        <v>138</v>
      </c>
      <c r="F69" s="231" t="s">
        <v>139</v>
      </c>
      <c r="G69" s="232" t="str">
        <f>"SELISIH"&amp;CHAR(10)&amp;TEXT($H$41,"0%")</f>
        <v>SELISIH
90%</v>
      </c>
      <c r="H69" s="232" t="str">
        <f>"PER HARI"&amp;CHAR(10)&amp;TEXT($H$41,"0%")</f>
        <v>PER HARI
90%</v>
      </c>
      <c r="I69" s="229" t="str">
        <f>"SELISIH"&amp;CHAR(10)&amp;TEXT($J$41,"0%")</f>
        <v>SELISIH
95%</v>
      </c>
      <c r="J69" s="230" t="str">
        <f>"PER HARI"&amp;CHAR(10)&amp;TEXT($J$41,"0%")</f>
        <v>PER HARI
95%</v>
      </c>
      <c r="K69" s="222" t="str">
        <f>"SELISIH"&amp;CHAR(10)&amp;TEXT($L$41,"0%")</f>
        <v>SELISIH
100%</v>
      </c>
      <c r="L69" s="222" t="str">
        <f>"PER HARI"&amp;CHAR(10)&amp;TEXT($L$41,"0%")</f>
        <v>PER HARI
100%</v>
      </c>
    </row>
    <row r="70" spans="2:18" ht="15.95" customHeight="1" x14ac:dyDescent="0.25">
      <c r="B70" s="50" t="s">
        <v>92</v>
      </c>
      <c r="C70" s="55" t="s">
        <v>93</v>
      </c>
      <c r="D70" s="116">
        <f>TARGETS!N22</f>
        <v>0</v>
      </c>
      <c r="E70" s="114">
        <f>IFERROR(C32,0)</f>
        <v>0</v>
      </c>
      <c r="F70" s="187">
        <f t="shared" ref="F70:F75" si="13">IFERROR(E70/D70,0)</f>
        <v>0</v>
      </c>
      <c r="G70" s="184">
        <f>D70*$H$41-E70</f>
        <v>0</v>
      </c>
      <c r="H70" s="184">
        <f t="shared" ref="H70:H75" ca="1" si="14">IFERROR(G70/$C$3,0)</f>
        <v>0</v>
      </c>
      <c r="I70" s="204">
        <f>D70*$J$41-E70</f>
        <v>0</v>
      </c>
      <c r="J70" s="204">
        <f t="shared" ref="J70:J75" ca="1" si="15">IFERROR(I70/$C$3,0)</f>
        <v>0</v>
      </c>
      <c r="K70" s="185">
        <f>D70*$L$41-E70</f>
        <v>0</v>
      </c>
      <c r="L70" s="185">
        <f t="shared" ref="L70:L75" ca="1" si="16">IFERROR(K70/$C$3,0)</f>
        <v>0</v>
      </c>
    </row>
    <row r="71" spans="2:18" ht="15.95" customHeight="1" x14ac:dyDescent="0.25">
      <c r="B71" s="53" t="s">
        <v>94</v>
      </c>
      <c r="C71" s="56" t="s">
        <v>95</v>
      </c>
      <c r="D71" s="117">
        <f>TARGETS!N23</f>
        <v>0</v>
      </c>
      <c r="E71" s="114">
        <f>IFERROR(C33,0)</f>
        <v>0</v>
      </c>
      <c r="F71" s="187">
        <f t="shared" si="13"/>
        <v>0</v>
      </c>
      <c r="G71" s="184">
        <f>D71*$H$41-E71</f>
        <v>0</v>
      </c>
      <c r="H71" s="184">
        <f t="shared" ca="1" si="14"/>
        <v>0</v>
      </c>
      <c r="I71" s="204">
        <f>D71*$J$41-E71</f>
        <v>0</v>
      </c>
      <c r="J71" s="204">
        <f t="shared" ca="1" si="15"/>
        <v>0</v>
      </c>
      <c r="K71" s="185">
        <f>D71*$L$41-E71</f>
        <v>0</v>
      </c>
      <c r="L71" s="185">
        <f t="shared" ca="1" si="16"/>
        <v>0</v>
      </c>
    </row>
    <row r="72" spans="2:18" ht="15.95" customHeight="1" x14ac:dyDescent="0.25">
      <c r="B72" s="50" t="s">
        <v>96</v>
      </c>
      <c r="C72" s="55" t="s">
        <v>97</v>
      </c>
      <c r="D72" s="116">
        <f>TARGETS!N24</f>
        <v>0</v>
      </c>
      <c r="E72" s="114">
        <f>M21+M7</f>
        <v>0</v>
      </c>
      <c r="F72" s="187">
        <f t="shared" si="13"/>
        <v>0</v>
      </c>
      <c r="G72" s="184">
        <f>D72*$H$41-E72</f>
        <v>0</v>
      </c>
      <c r="H72" s="184">
        <f t="shared" ca="1" si="14"/>
        <v>0</v>
      </c>
      <c r="I72" s="204">
        <f>D72*$J$41-E72</f>
        <v>0</v>
      </c>
      <c r="J72" s="204">
        <f t="shared" ca="1" si="15"/>
        <v>0</v>
      </c>
      <c r="K72" s="185">
        <f>D72*$L$41-E72</f>
        <v>0</v>
      </c>
      <c r="L72" s="185">
        <f t="shared" ca="1" si="16"/>
        <v>0</v>
      </c>
    </row>
    <row r="73" spans="2:18" hidden="1" x14ac:dyDescent="0.25">
      <c r="B73" s="53" t="s">
        <v>98</v>
      </c>
      <c r="C73" s="56" t="s">
        <v>99</v>
      </c>
      <c r="D73" s="117">
        <f>TARGETS!N25</f>
        <v>0</v>
      </c>
      <c r="E73" s="114">
        <f>0</f>
        <v>0</v>
      </c>
      <c r="F73" s="187">
        <f t="shared" si="13"/>
        <v>0</v>
      </c>
      <c r="G73" s="184">
        <f>D73*$H$41-E73</f>
        <v>0</v>
      </c>
      <c r="H73" s="184">
        <f t="shared" ca="1" si="14"/>
        <v>0</v>
      </c>
      <c r="I73" s="204">
        <f>D73*$J$41-E73</f>
        <v>0</v>
      </c>
      <c r="J73" s="204">
        <f t="shared" ca="1" si="15"/>
        <v>0</v>
      </c>
      <c r="K73" s="185">
        <f>D73*$L$41-E73</f>
        <v>0</v>
      </c>
      <c r="L73" s="185">
        <f t="shared" ca="1" si="16"/>
        <v>0</v>
      </c>
    </row>
    <row r="74" spans="2:18" hidden="1" x14ac:dyDescent="0.25">
      <c r="B74" s="50" t="s">
        <v>100</v>
      </c>
      <c r="C74" s="108" t="s">
        <v>101</v>
      </c>
      <c r="D74" s="116">
        <f>TARGETS!N26</f>
        <v>0</v>
      </c>
      <c r="E74" s="114">
        <f>0</f>
        <v>0</v>
      </c>
      <c r="F74" s="187">
        <f t="shared" si="13"/>
        <v>0</v>
      </c>
      <c r="G74" s="184">
        <f>D74*$H$41-E74</f>
        <v>0</v>
      </c>
      <c r="H74" s="184">
        <f t="shared" ca="1" si="14"/>
        <v>0</v>
      </c>
      <c r="I74" s="204">
        <f>D74*$J$41-E74</f>
        <v>0</v>
      </c>
      <c r="J74" s="204">
        <f t="shared" ca="1" si="15"/>
        <v>0</v>
      </c>
      <c r="K74" s="185">
        <f>D74*$L$41-E74</f>
        <v>0</v>
      </c>
      <c r="L74" s="185">
        <f t="shared" ca="1" si="16"/>
        <v>0</v>
      </c>
    </row>
    <row r="75" spans="2:18" ht="15.95" customHeight="1" x14ac:dyDescent="0.25">
      <c r="B75" s="57" t="s">
        <v>151</v>
      </c>
      <c r="C75" s="58"/>
      <c r="D75" s="115">
        <f>SUM(D70:D74)</f>
        <v>0</v>
      </c>
      <c r="E75" s="115">
        <f>SUM(E70:E74)</f>
        <v>0</v>
      </c>
      <c r="F75" s="177">
        <f t="shared" si="13"/>
        <v>0</v>
      </c>
      <c r="G75" s="181">
        <f>SUM(G70:G74)</f>
        <v>0</v>
      </c>
      <c r="H75" s="181">
        <f t="shared" ca="1" si="14"/>
        <v>0</v>
      </c>
      <c r="I75" s="186">
        <f>SUM(I70:I74)</f>
        <v>0</v>
      </c>
      <c r="J75" s="186">
        <f t="shared" ca="1" si="15"/>
        <v>0</v>
      </c>
      <c r="K75" s="186">
        <f>SUM(K70:K74)</f>
        <v>0</v>
      </c>
      <c r="L75" s="186">
        <f t="shared" ca="1" si="16"/>
        <v>0</v>
      </c>
    </row>
    <row r="76" spans="2:18" ht="15" customHeight="1" x14ac:dyDescent="0.25"/>
    <row r="77" spans="2:18" ht="15" customHeight="1" x14ac:dyDescent="0.25"/>
    <row r="78" spans="2:18" ht="20.100000000000001" customHeight="1" x14ac:dyDescent="0.25">
      <c r="B78" s="249" t="s">
        <v>172</v>
      </c>
      <c r="C78" s="250"/>
      <c r="D78" s="251"/>
    </row>
    <row r="79" spans="2:18" ht="17.100000000000001" customHeight="1" x14ac:dyDescent="0.25">
      <c r="B79" s="268" t="s">
        <v>41</v>
      </c>
      <c r="C79" s="268" t="s">
        <v>42</v>
      </c>
      <c r="D79" s="231" t="s">
        <v>138</v>
      </c>
    </row>
    <row r="80" spans="2:18" ht="17.100000000000001" customHeight="1" x14ac:dyDescent="0.25">
      <c r="B80" s="258"/>
      <c r="C80" s="258"/>
      <c r="D80" s="70" t="s">
        <v>169</v>
      </c>
    </row>
    <row r="81" spans="2:4" ht="15.95" customHeight="1" x14ac:dyDescent="0.25">
      <c r="B81" s="50" t="s">
        <v>67</v>
      </c>
      <c r="C81" s="55" t="s">
        <v>68</v>
      </c>
      <c r="D81" s="131">
        <f>SUM(F22)</f>
        <v>0</v>
      </c>
    </row>
    <row r="82" spans="2:4" ht="15.95" customHeight="1" x14ac:dyDescent="0.25">
      <c r="B82" s="53" t="s">
        <v>69</v>
      </c>
      <c r="C82" s="56" t="s">
        <v>70</v>
      </c>
      <c r="D82" s="132">
        <f>SUM(F13,F14)</f>
        <v>0</v>
      </c>
    </row>
    <row r="83" spans="2:4" ht="15.95" customHeight="1" x14ac:dyDescent="0.25">
      <c r="B83" s="53" t="s">
        <v>173</v>
      </c>
      <c r="C83" s="56" t="s">
        <v>174</v>
      </c>
      <c r="D83" s="132">
        <f>SUM(F20)</f>
        <v>0</v>
      </c>
    </row>
    <row r="84" spans="2:4" ht="15.95" customHeight="1" x14ac:dyDescent="0.25">
      <c r="B84" s="50" t="s">
        <v>71</v>
      </c>
      <c r="C84" s="55" t="s">
        <v>72</v>
      </c>
      <c r="D84" s="131">
        <f>SUM(F15)</f>
        <v>0</v>
      </c>
    </row>
    <row r="85" spans="2:4" ht="15.95" customHeight="1" x14ac:dyDescent="0.25">
      <c r="B85" s="53" t="s">
        <v>73</v>
      </c>
      <c r="C85" s="56" t="s">
        <v>74</v>
      </c>
      <c r="D85" s="132">
        <f>0</f>
        <v>0</v>
      </c>
    </row>
    <row r="86" spans="2:4" ht="15.95" customHeight="1" x14ac:dyDescent="0.25">
      <c r="B86" s="50" t="s">
        <v>75</v>
      </c>
      <c r="C86" s="55" t="s">
        <v>74</v>
      </c>
      <c r="D86" s="131">
        <f>SUM(F25,F26)</f>
        <v>0</v>
      </c>
    </row>
    <row r="87" spans="2:4" ht="15.95" customHeight="1" x14ac:dyDescent="0.25">
      <c r="B87" s="53" t="s">
        <v>76</v>
      </c>
      <c r="C87" s="56" t="s">
        <v>77</v>
      </c>
      <c r="D87" s="132">
        <f>SUM(F17)</f>
        <v>0</v>
      </c>
    </row>
    <row r="88" spans="2:4" ht="15.95" customHeight="1" x14ac:dyDescent="0.25">
      <c r="B88" s="50" t="s">
        <v>78</v>
      </c>
      <c r="C88" s="55" t="s">
        <v>79</v>
      </c>
      <c r="D88" s="131">
        <f>SUM(F23)</f>
        <v>0</v>
      </c>
    </row>
    <row r="89" spans="2:4" ht="15.95" customHeight="1" x14ac:dyDescent="0.25">
      <c r="B89" s="53" t="s">
        <v>173</v>
      </c>
      <c r="C89" s="56" t="s">
        <v>175</v>
      </c>
      <c r="D89" s="132">
        <f>SUM(F21)</f>
        <v>0</v>
      </c>
    </row>
    <row r="90" spans="2:4" ht="15.95" customHeight="1" x14ac:dyDescent="0.25">
      <c r="B90" s="53" t="s">
        <v>80</v>
      </c>
      <c r="C90" s="56" t="s">
        <v>81</v>
      </c>
      <c r="D90" s="132">
        <f>SUM(F11)</f>
        <v>0</v>
      </c>
    </row>
    <row r="91" spans="2:4" ht="15.95" customHeight="1" x14ac:dyDescent="0.25">
      <c r="B91" s="50" t="s">
        <v>82</v>
      </c>
      <c r="C91" s="55" t="s">
        <v>83</v>
      </c>
      <c r="D91" s="131">
        <f>SUM(F24)</f>
        <v>0</v>
      </c>
    </row>
    <row r="92" spans="2:4" ht="15.95" customHeight="1" x14ac:dyDescent="0.25">
      <c r="B92" s="53" t="s">
        <v>84</v>
      </c>
      <c r="C92" s="56" t="s">
        <v>85</v>
      </c>
      <c r="D92" s="132">
        <f>SUM(F10)</f>
        <v>0</v>
      </c>
    </row>
    <row r="93" spans="2:4" ht="15.95" customHeight="1" x14ac:dyDescent="0.25">
      <c r="B93" s="50" t="s">
        <v>86</v>
      </c>
      <c r="C93" s="55" t="s">
        <v>87</v>
      </c>
      <c r="D93" s="131">
        <f>SUM(F27)</f>
        <v>0</v>
      </c>
    </row>
    <row r="94" spans="2:4" ht="15.95" customHeight="1" x14ac:dyDescent="0.25">
      <c r="B94" s="53" t="s">
        <v>88</v>
      </c>
      <c r="C94" s="56" t="s">
        <v>89</v>
      </c>
      <c r="D94" s="132">
        <f>SUM(F18,F19)</f>
        <v>0</v>
      </c>
    </row>
    <row r="95" spans="2:4" ht="15.95" customHeight="1" x14ac:dyDescent="0.25">
      <c r="B95" s="57" t="s">
        <v>151</v>
      </c>
      <c r="C95" s="58"/>
      <c r="D95" s="120">
        <f>SUM(D81:D94)</f>
        <v>0</v>
      </c>
    </row>
    <row r="96" spans="2:4" ht="15" customHeight="1" x14ac:dyDescent="0.25"/>
  </sheetData>
  <mergeCells count="20">
    <mergeCell ref="G68:L68"/>
    <mergeCell ref="B49:L49"/>
    <mergeCell ref="M49:R49"/>
    <mergeCell ref="B50:B51"/>
    <mergeCell ref="C50:C51"/>
    <mergeCell ref="D50:G50"/>
    <mergeCell ref="H50:K50"/>
    <mergeCell ref="Q50:Q51"/>
    <mergeCell ref="R50:R51"/>
    <mergeCell ref="N50:N51"/>
    <mergeCell ref="L50:L51"/>
    <mergeCell ref="M50:M51"/>
    <mergeCell ref="O50:O51"/>
    <mergeCell ref="P50:P51"/>
    <mergeCell ref="B41:D41"/>
    <mergeCell ref="B47:C47"/>
    <mergeCell ref="B79:B80"/>
    <mergeCell ref="C79:C80"/>
    <mergeCell ref="B68:F68"/>
    <mergeCell ref="B78:D78"/>
  </mergeCells>
  <conditionalFormatting sqref="L52:L65">
    <cfRule type="expression" dxfId="5" priority="1">
      <formula>L52&gt;=$F$42-0.05</formula>
    </cfRule>
    <cfRule type="expression" dxfId="4" priority="2">
      <formula>AND(L52&gt;=$F$42-0.2,L52&lt;$F$42-0.05)</formula>
    </cfRule>
    <cfRule type="expression" dxfId="3" priority="3">
      <formula>L52&lt;$F$42-0.2</formula>
    </cfRule>
  </conditionalFormatting>
  <dataValidations count="1">
    <dataValidation type="list" allowBlank="1" showInputMessage="1" showErrorMessage="1" sqref="H41 J41" xr:uid="{00000000-0002-0000-0C00-000000000000}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S96"/>
  <sheetViews>
    <sheetView showGridLines="0" topLeftCell="B47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177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193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194</v>
      </c>
      <c r="H3" s="111"/>
      <c r="I3" s="111"/>
      <c r="J3" s="218">
        <v>0</v>
      </c>
    </row>
    <row r="4" spans="2:15" ht="15" customHeight="1" x14ac:dyDescent="0.25">
      <c r="G4" s="221" t="s">
        <v>195</v>
      </c>
      <c r="H4" s="111"/>
      <c r="I4" s="111"/>
      <c r="J4" s="218">
        <v>0</v>
      </c>
    </row>
    <row r="5" spans="2:15" ht="15" customHeight="1" x14ac:dyDescent="0.25">
      <c r="G5" s="221" t="s">
        <v>196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>
        <f>SUM(C22)</f>
        <v>0</v>
      </c>
      <c r="N8" s="11">
        <f>SUM(D22)</f>
        <v>0</v>
      </c>
      <c r="O8" s="171">
        <f>SUM(E22)</f>
        <v>0</v>
      </c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>
        <f>SUM(C13,C14)</f>
        <v>0</v>
      </c>
      <c r="N9" s="11">
        <f>SUM(D13,D14)</f>
        <v>0</v>
      </c>
      <c r="O9" s="171">
        <f>SUM(E13,E14)</f>
        <v>0</v>
      </c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7" si="0">SUM(C10:F10)</f>
        <v>0</v>
      </c>
      <c r="H10" s="111"/>
      <c r="I10" s="111"/>
      <c r="J10" s="111"/>
      <c r="M10" s="11">
        <f>SUM(C15)</f>
        <v>0</v>
      </c>
      <c r="N10" s="11">
        <f>SUM(D15)</f>
        <v>0</v>
      </c>
      <c r="O10" s="171">
        <f>SUM(E15)</f>
        <v>0</v>
      </c>
    </row>
    <row r="11" spans="2:15" ht="15" customHeight="1" x14ac:dyDescent="0.25">
      <c r="B11" s="72" t="s">
        <v>113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>
        <f>SUM(C12)</f>
        <v>0</v>
      </c>
      <c r="N11" s="11">
        <f>SUM(D12)</f>
        <v>0</v>
      </c>
      <c r="O11" s="171">
        <f>SUM(E12)</f>
        <v>0</v>
      </c>
    </row>
    <row r="12" spans="2:15" ht="15" customHeight="1" x14ac:dyDescent="0.25">
      <c r="B12" s="72" t="s">
        <v>183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>
        <f>SUM(C25,C26)</f>
        <v>0</v>
      </c>
      <c r="N12" s="11">
        <f>SUM(D25,D26)</f>
        <v>0</v>
      </c>
      <c r="O12" s="171">
        <f>SUM(E25,E26)</f>
        <v>0</v>
      </c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>
        <f>SUM(C17)</f>
        <v>0</v>
      </c>
      <c r="N13" s="11">
        <f>SUM(D17)</f>
        <v>0</v>
      </c>
      <c r="O13" s="171">
        <f>SUM(E17)</f>
        <v>0</v>
      </c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>
        <f>SUM(C23)</f>
        <v>0</v>
      </c>
      <c r="N14" s="11">
        <f>SUM(D23)</f>
        <v>0</v>
      </c>
      <c r="O14" s="171">
        <f>SUM(E23)</f>
        <v>0</v>
      </c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>
        <f>SUM(C11)</f>
        <v>0</v>
      </c>
      <c r="N15" s="11">
        <f>SUM(D11)</f>
        <v>0</v>
      </c>
      <c r="O15" s="171">
        <f>SUM(E11)</f>
        <v>0</v>
      </c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>
        <f>SUM(C24)</f>
        <v>0</v>
      </c>
      <c r="N16" s="11">
        <f>SUM(D24)</f>
        <v>0</v>
      </c>
      <c r="O16" s="171">
        <f>SUM(E24)</f>
        <v>0</v>
      </c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>
        <f>SUM(C10)</f>
        <v>0</v>
      </c>
      <c r="N17" s="11">
        <f>SUM(D10)</f>
        <v>0</v>
      </c>
      <c r="O17" s="171">
        <f>SUM(E10)</f>
        <v>0</v>
      </c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>
        <f>SUM(C27)</f>
        <v>0</v>
      </c>
      <c r="N18" s="11">
        <f>SUM(D27)</f>
        <v>0</v>
      </c>
      <c r="O18" s="171">
        <f>SUM(E27)</f>
        <v>0</v>
      </c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>
        <f>SUM(C18,C19)</f>
        <v>0</v>
      </c>
      <c r="N19" s="11">
        <f>SUM(D18,D19)</f>
        <v>0</v>
      </c>
      <c r="O19" s="171">
        <f>SUM(E18,E19)</f>
        <v>0</v>
      </c>
    </row>
    <row r="20" spans="2:15" ht="15" customHeight="1" x14ac:dyDescent="0.25">
      <c r="B20" s="72" t="s">
        <v>170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SUM(C31,C36)</f>
        <v>0</v>
      </c>
      <c r="N20" s="10" t="s">
        <v>119</v>
      </c>
    </row>
    <row r="21" spans="2:15" ht="15" customHeight="1" x14ac:dyDescent="0.25">
      <c r="B21" s="72" t="s">
        <v>171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SUM(C34,C35)+M20</f>
        <v>0</v>
      </c>
      <c r="N21" s="10" t="s">
        <v>121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185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B27" s="72" t="s">
        <v>127</v>
      </c>
      <c r="C27" s="15"/>
      <c r="D27" s="15"/>
      <c r="E27" s="15"/>
      <c r="F27" s="15"/>
      <c r="G27" s="15">
        <f t="shared" si="0"/>
        <v>0</v>
      </c>
      <c r="H27" s="111"/>
      <c r="I27" s="111"/>
      <c r="J27" s="111"/>
    </row>
    <row r="28" spans="2:15" ht="15" customHeight="1" x14ac:dyDescent="0.25">
      <c r="G28" s="111"/>
      <c r="H28" s="111"/>
      <c r="I28" s="111"/>
    </row>
    <row r="29" spans="2:15" ht="15" customHeight="1" x14ac:dyDescent="0.25">
      <c r="B29" s="79" t="s">
        <v>128</v>
      </c>
      <c r="C29" s="79"/>
      <c r="G29" s="111"/>
      <c r="H29" s="111"/>
      <c r="I29" s="111"/>
    </row>
    <row r="30" spans="2:15" ht="15" customHeight="1" x14ac:dyDescent="0.25">
      <c r="B30" s="80" t="s">
        <v>129</v>
      </c>
      <c r="C30" s="80" t="s">
        <v>130</v>
      </c>
      <c r="G30" s="111"/>
      <c r="H30" s="111"/>
      <c r="I30" s="111"/>
    </row>
    <row r="31" spans="2:15" ht="15" customHeight="1" x14ac:dyDescent="0.25">
      <c r="B31" s="73"/>
      <c r="C31" s="107"/>
      <c r="G31" s="111"/>
      <c r="H31" s="111"/>
      <c r="I31" s="111"/>
    </row>
    <row r="32" spans="2:15" ht="15" customHeight="1" x14ac:dyDescent="0.25">
      <c r="B32" s="81" t="s">
        <v>131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132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133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134</v>
      </c>
      <c r="C35" s="15">
        <v>0</v>
      </c>
      <c r="G35" s="111"/>
      <c r="H35" s="111"/>
      <c r="I35" s="111"/>
    </row>
    <row r="36" spans="2:19" ht="15" customHeight="1" x14ac:dyDescent="0.25">
      <c r="B36" s="81" t="s">
        <v>135</v>
      </c>
      <c r="C36" s="15">
        <v>0</v>
      </c>
      <c r="G36" s="111"/>
      <c r="H36" s="111"/>
      <c r="I36" s="111"/>
    </row>
    <row r="37" spans="2:19" ht="15" customHeight="1" x14ac:dyDescent="0.25">
      <c r="B37" s="81"/>
      <c r="C37" s="82"/>
      <c r="G37" s="111"/>
      <c r="H37" s="111"/>
      <c r="I37" s="111"/>
    </row>
    <row r="38" spans="2:19" ht="15" customHeight="1" x14ac:dyDescent="0.25">
      <c r="B38" s="73"/>
      <c r="C38" s="82"/>
      <c r="G38" s="111"/>
      <c r="H38" s="111"/>
      <c r="I38" s="111"/>
    </row>
    <row r="39" spans="2:19" ht="15" customHeight="1" x14ac:dyDescent="0.25">
      <c r="G39" s="111"/>
      <c r="H39" s="111"/>
      <c r="I39" s="111"/>
    </row>
    <row r="40" spans="2:19" ht="15" customHeight="1" x14ac:dyDescent="0.25">
      <c r="G40" s="111"/>
      <c r="H40" s="111"/>
      <c r="I40" s="111"/>
      <c r="S40" s="172" t="s">
        <v>186</v>
      </c>
    </row>
    <row r="41" spans="2:19" ht="20.100000000000001" customHeight="1" x14ac:dyDescent="0.25">
      <c r="B41" s="259" t="s">
        <v>178</v>
      </c>
      <c r="C41" s="260"/>
      <c r="D41" s="261"/>
      <c r="E41" s="66" t="s">
        <v>137</v>
      </c>
      <c r="F41" s="174">
        <f ca="1">IF(MONTH(TODAY())=12,DAY(TODAY())/DAY(EOMONTH(TODAY(),0)),IF(MONTH(TODAY())&gt;12,1,0))</f>
        <v>0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0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90">
        <v>0.75</v>
      </c>
    </row>
    <row r="43" spans="2:19" ht="15.95" customHeight="1" x14ac:dyDescent="0.25">
      <c r="B43" s="109" t="s">
        <v>142</v>
      </c>
      <c r="C43" s="41" t="s">
        <v>143</v>
      </c>
      <c r="D43" s="45">
        <f>SUM(TARGETS!AK5:AK18)</f>
        <v>0</v>
      </c>
      <c r="E43" s="46">
        <f>H66</f>
        <v>0</v>
      </c>
      <c r="F43" s="176">
        <f>IFERROR(E43/D43,0)</f>
        <v>0</v>
      </c>
      <c r="G43" s="184">
        <f>D43*$H$41-E43</f>
        <v>0</v>
      </c>
      <c r="H43" s="184">
        <f ca="1">IFERROR(G43/$C$3,0)</f>
        <v>0</v>
      </c>
      <c r="I43" s="204">
        <f>D43*$J$41-E43</f>
        <v>0</v>
      </c>
      <c r="J43" s="204">
        <f ca="1">IFERROR(I43/$C$3,0)</f>
        <v>0</v>
      </c>
      <c r="K43" s="185">
        <f>D43*$L$41-E43</f>
        <v>0</v>
      </c>
      <c r="L43" s="185">
        <f ca="1">IFERROR(K43/$C$3,0)</f>
        <v>0</v>
      </c>
      <c r="S43" s="173">
        <v>0.8</v>
      </c>
    </row>
    <row r="44" spans="2:19" ht="15.95" customHeight="1" x14ac:dyDescent="0.25">
      <c r="B44" s="109" t="s">
        <v>110</v>
      </c>
      <c r="C44" s="41" t="s">
        <v>143</v>
      </c>
      <c r="D44" s="45">
        <f>SUM(TARGETS!AL5:AL18)</f>
        <v>0</v>
      </c>
      <c r="E44" s="46">
        <f>I66</f>
        <v>0</v>
      </c>
      <c r="F44" s="176">
        <f>IFERROR(E44/D44,0)</f>
        <v>0</v>
      </c>
      <c r="G44" s="184">
        <f>D44*$H$41-E44</f>
        <v>0</v>
      </c>
      <c r="H44" s="184">
        <f ca="1">IFERROR(G44/$C$3,0)</f>
        <v>0</v>
      </c>
      <c r="I44" s="204">
        <f>D44*$J$41-E44</f>
        <v>0</v>
      </c>
      <c r="J44" s="204">
        <f ca="1">IFERROR(I44/$C$3,0)</f>
        <v>0</v>
      </c>
      <c r="K44" s="185">
        <f>D44*$L$41-E44</f>
        <v>0</v>
      </c>
      <c r="L44" s="185">
        <f ca="1">IFERROR(K44/$C$3,0)</f>
        <v>0</v>
      </c>
      <c r="S44" s="173">
        <v>0.85</v>
      </c>
    </row>
    <row r="45" spans="2:19" ht="15.95" customHeight="1" x14ac:dyDescent="0.25">
      <c r="B45" s="109" t="s">
        <v>209</v>
      </c>
      <c r="C45" s="41" t="s">
        <v>143</v>
      </c>
      <c r="D45" s="45">
        <f>SUM(TARGETS!AM5:AM18)</f>
        <v>0</v>
      </c>
      <c r="E45" s="46">
        <f>J66</f>
        <v>0</v>
      </c>
      <c r="F45" s="176">
        <f>IFERROR(E45/D45,0)</f>
        <v>0</v>
      </c>
      <c r="G45" s="184">
        <f>IF(D45=0,0,D45*$H$41-E45)</f>
        <v>0</v>
      </c>
      <c r="H45" s="184">
        <f ca="1">IFERROR(G45/$C$3,0)</f>
        <v>0</v>
      </c>
      <c r="I45" s="204">
        <f>IF(D45=0,0,D45*$J$41-E45)</f>
        <v>0</v>
      </c>
      <c r="J45" s="204">
        <f ca="1">IFERROR(I45/$C$3,0)</f>
        <v>0</v>
      </c>
      <c r="K45" s="185">
        <f>IF(D45=0,0,D45*$L$41-E45)</f>
        <v>0</v>
      </c>
      <c r="L45" s="185">
        <f ca="1">IFERROR(K45/$C$3,0)</f>
        <v>0</v>
      </c>
      <c r="S45" s="173">
        <v>0.9</v>
      </c>
    </row>
    <row r="46" spans="2:19" ht="15.95" customHeight="1" x14ac:dyDescent="0.25">
      <c r="B46" s="109" t="s">
        <v>144</v>
      </c>
      <c r="C46" s="41" t="s">
        <v>143</v>
      </c>
      <c r="D46" s="45">
        <f>SUM(TARGETS!O22:O26)</f>
        <v>0</v>
      </c>
      <c r="E46" s="46">
        <f>SUM(C32,C33)+M21</f>
        <v>0</v>
      </c>
      <c r="F46" s="176">
        <f>IFERROR(E46/D46,0)</f>
        <v>0</v>
      </c>
      <c r="G46" s="184">
        <f>D46*$H$41-E46</f>
        <v>0</v>
      </c>
      <c r="H46" s="184">
        <f ca="1">IFERROR(G46/$C$3,0)</f>
        <v>0</v>
      </c>
      <c r="I46" s="204">
        <f>D46*$J$41-E46</f>
        <v>0</v>
      </c>
      <c r="J46" s="204">
        <f ca="1">IFERROR(I46/$C$3,0)</f>
        <v>0</v>
      </c>
      <c r="K46" s="185">
        <f>D46*$L$41-E46</f>
        <v>0</v>
      </c>
      <c r="L46" s="185">
        <f ca="1">IFERROR(K46/$C$3,0)</f>
        <v>0</v>
      </c>
      <c r="S46" s="173">
        <v>0.95</v>
      </c>
    </row>
    <row r="47" spans="2:19" ht="15" customHeight="1" x14ac:dyDescent="0.25">
      <c r="B47" s="256" t="s">
        <v>145</v>
      </c>
      <c r="C47" s="257"/>
      <c r="D47" s="47">
        <f>SUM(D43:D46)</f>
        <v>0</v>
      </c>
      <c r="E47" s="47">
        <f>SUM(E43:E46)</f>
        <v>0</v>
      </c>
      <c r="F47" s="177">
        <f>IFERROR(E47/D47,0)</f>
        <v>0</v>
      </c>
      <c r="G47" s="181">
        <f>SUM(G43:G46)</f>
        <v>0</v>
      </c>
      <c r="H47" s="181">
        <f ca="1">IFERROR(G47/$C$3,0)</f>
        <v>0</v>
      </c>
      <c r="I47" s="186">
        <f>SUM(I43:I46)</f>
        <v>0</v>
      </c>
      <c r="J47" s="186">
        <f ca="1">IFERROR(I47/$C$3,0)</f>
        <v>0</v>
      </c>
      <c r="K47" s="186">
        <f>SUM(K43:K46)</f>
        <v>0</v>
      </c>
      <c r="L47" s="186">
        <f ca="1">IFERROR(K47/$C$3,0)</f>
        <v>0</v>
      </c>
      <c r="S47" s="173">
        <v>1</v>
      </c>
    </row>
    <row r="48" spans="2:19" ht="15" customHeight="1" x14ac:dyDescent="0.25">
      <c r="G48" s="111"/>
      <c r="H48" s="111"/>
      <c r="I48" s="111"/>
      <c r="S48" s="173"/>
    </row>
    <row r="49" spans="2:18" ht="18.95" customHeight="1" x14ac:dyDescent="0.25">
      <c r="B49" s="262" t="s">
        <v>146</v>
      </c>
      <c r="C49" s="263"/>
      <c r="D49" s="263"/>
      <c r="E49" s="263"/>
      <c r="F49" s="263"/>
      <c r="G49" s="263"/>
      <c r="H49" s="263"/>
      <c r="I49" s="263"/>
      <c r="J49" s="263"/>
      <c r="K49" s="263"/>
      <c r="L49" s="286"/>
      <c r="M49" s="269" t="s">
        <v>187</v>
      </c>
      <c r="N49" s="270"/>
      <c r="O49" s="270"/>
      <c r="P49" s="270"/>
      <c r="Q49" s="270"/>
      <c r="R49" s="271"/>
    </row>
    <row r="50" spans="2:18" ht="17.100000000000001" customHeight="1" x14ac:dyDescent="0.25">
      <c r="B50" s="287" t="s">
        <v>41</v>
      </c>
      <c r="C50" s="287" t="s">
        <v>42</v>
      </c>
      <c r="D50" s="253" t="s">
        <v>137</v>
      </c>
      <c r="E50" s="254"/>
      <c r="F50" s="254"/>
      <c r="G50" s="255"/>
      <c r="H50" s="288" t="s">
        <v>138</v>
      </c>
      <c r="I50" s="289"/>
      <c r="J50" s="289"/>
      <c r="K50" s="290"/>
      <c r="L50" s="291" t="s">
        <v>139</v>
      </c>
      <c r="M50" s="272" t="str">
        <f>"SELISIH"&amp;CHAR(10)&amp;TEXT($H$41,"0%")</f>
        <v>SELISIH
90%</v>
      </c>
      <c r="N50" s="272" t="str">
        <f>"PER HARI"&amp;CHAR(10)&amp;TEXT($H$41,"0%")</f>
        <v>PER HARI
90%</v>
      </c>
      <c r="O50" s="274" t="str">
        <f>"SELISIH"&amp;CHAR(10)&amp;TEXT($J$41,"0%")</f>
        <v>SELISIH
95%</v>
      </c>
      <c r="P50" s="274" t="str">
        <f>"PER HARI"&amp;CHAR(10)&amp;TEXT($J$41,"0%")</f>
        <v>PER HARI
95%</v>
      </c>
      <c r="Q50" s="276" t="str">
        <f>"SELISIH"&amp;CHAR(10)&amp;TEXT($L$41,"0%")</f>
        <v>SELISIH
100%</v>
      </c>
      <c r="R50" s="276" t="str">
        <f>"PER HARI"&amp;CHAR(10)&amp;TEXT($L$41,"0%")</f>
        <v>PER HARI
100%</v>
      </c>
    </row>
    <row r="51" spans="2:18" ht="17.100000000000001" customHeight="1" x14ac:dyDescent="0.25">
      <c r="B51" s="268"/>
      <c r="C51" s="268"/>
      <c r="D51" s="70" t="s">
        <v>149</v>
      </c>
      <c r="E51" s="70" t="s">
        <v>150</v>
      </c>
      <c r="F51" s="70" t="s">
        <v>211</v>
      </c>
      <c r="G51" s="70" t="s">
        <v>130</v>
      </c>
      <c r="H51" s="113" t="s">
        <v>149</v>
      </c>
      <c r="I51" s="113" t="s">
        <v>150</v>
      </c>
      <c r="J51" s="113" t="s">
        <v>211</v>
      </c>
      <c r="K51" s="113" t="s">
        <v>130</v>
      </c>
      <c r="L51" s="292"/>
      <c r="M51" s="273"/>
      <c r="N51" s="273"/>
      <c r="O51" s="275"/>
      <c r="P51" s="275"/>
      <c r="Q51" s="277"/>
      <c r="R51" s="277"/>
    </row>
    <row r="52" spans="2:18" ht="15.95" customHeight="1" x14ac:dyDescent="0.25">
      <c r="B52" s="50" t="s">
        <v>67</v>
      </c>
      <c r="C52" s="55" t="s">
        <v>68</v>
      </c>
      <c r="D52" s="118">
        <f>TARGETS!AK5</f>
        <v>0</v>
      </c>
      <c r="E52" s="118">
        <v>0</v>
      </c>
      <c r="F52" s="118">
        <f>TARGETS!AM5</f>
        <v>0</v>
      </c>
      <c r="G52" s="118">
        <f t="shared" ref="G52:G65" si="1">SUM(D52:F52)</f>
        <v>0</v>
      </c>
      <c r="H52" s="114">
        <f>M8</f>
        <v>0</v>
      </c>
      <c r="I52" s="114">
        <f>N8</f>
        <v>0</v>
      </c>
      <c r="J52" s="114">
        <f>SUM(O8)</f>
        <v>0</v>
      </c>
      <c r="K52" s="114">
        <f t="shared" ref="K52:K65" si="2">SUM(H52:J52)</f>
        <v>0</v>
      </c>
      <c r="L52" s="187">
        <f t="shared" ref="L52:L66" si="3">IFERROR(K52/G52,0)</f>
        <v>0</v>
      </c>
      <c r="M52" s="184">
        <f t="shared" ref="M52:M65" si="4">G52*$H$41-K52</f>
        <v>0</v>
      </c>
      <c r="N52" s="184">
        <f t="shared" ref="N52:N66" ca="1" si="5">IFERROR(M52/$C$3,0)</f>
        <v>0</v>
      </c>
      <c r="O52" s="180">
        <f t="shared" ref="O52:O65" si="6">G52*$J$41-K52</f>
        <v>0</v>
      </c>
      <c r="P52" s="180">
        <f t="shared" ref="P52:P66" ca="1" si="7">IFERROR(O52/$C$3,0)</f>
        <v>0</v>
      </c>
      <c r="Q52" s="185">
        <f t="shared" ref="Q52:Q65" si="8">G52*$L$41-K52</f>
        <v>0</v>
      </c>
      <c r="R52" s="185">
        <f t="shared" ref="R52:R66" ca="1" si="9">IFERROR(Q52/$C$3,0)</f>
        <v>0</v>
      </c>
    </row>
    <row r="53" spans="2:18" ht="15.95" customHeight="1" x14ac:dyDescent="0.25">
      <c r="B53" s="53" t="s">
        <v>69</v>
      </c>
      <c r="C53" s="56" t="s">
        <v>70</v>
      </c>
      <c r="D53" s="119">
        <f>TARGETS!AK6</f>
        <v>0</v>
      </c>
      <c r="E53" s="119">
        <v>0</v>
      </c>
      <c r="F53" s="119">
        <f>TARGETS!AM6</f>
        <v>0</v>
      </c>
      <c r="G53" s="119">
        <f t="shared" si="1"/>
        <v>0</v>
      </c>
      <c r="H53" s="114">
        <f>M9</f>
        <v>0</v>
      </c>
      <c r="I53" s="114">
        <f>N9</f>
        <v>0</v>
      </c>
      <c r="J53" s="114">
        <f>SUM(O9)</f>
        <v>0</v>
      </c>
      <c r="K53" s="114">
        <f t="shared" si="2"/>
        <v>0</v>
      </c>
      <c r="L53" s="187">
        <f t="shared" si="3"/>
        <v>0</v>
      </c>
      <c r="M53" s="184">
        <f t="shared" si="4"/>
        <v>0</v>
      </c>
      <c r="N53" s="184">
        <f t="shared" ca="1" si="5"/>
        <v>0</v>
      </c>
      <c r="O53" s="180">
        <f t="shared" si="6"/>
        <v>0</v>
      </c>
      <c r="P53" s="180">
        <f t="shared" ca="1" si="7"/>
        <v>0</v>
      </c>
      <c r="Q53" s="185">
        <f t="shared" si="8"/>
        <v>0</v>
      </c>
      <c r="R53" s="185">
        <f t="shared" ca="1" si="9"/>
        <v>0</v>
      </c>
    </row>
    <row r="54" spans="2:18" ht="15.95" customHeight="1" x14ac:dyDescent="0.25">
      <c r="B54" s="136" t="s">
        <v>173</v>
      </c>
      <c r="C54" s="137" t="s">
        <v>174</v>
      </c>
      <c r="D54" s="138">
        <f>TARGETS!AK7</f>
        <v>0</v>
      </c>
      <c r="E54" s="138">
        <v>0</v>
      </c>
      <c r="F54" s="138">
        <f>TARGETS!AM7</f>
        <v>0</v>
      </c>
      <c r="G54" s="138">
        <f t="shared" si="1"/>
        <v>0</v>
      </c>
      <c r="H54" s="114">
        <f>SUM(C20)</f>
        <v>0</v>
      </c>
      <c r="I54" s="114">
        <f>SUM(D20)</f>
        <v>0</v>
      </c>
      <c r="J54" s="114">
        <f>SUM(E20)</f>
        <v>0</v>
      </c>
      <c r="K54" s="114">
        <f t="shared" si="2"/>
        <v>0</v>
      </c>
      <c r="L54" s="187">
        <f t="shared" si="3"/>
        <v>0</v>
      </c>
      <c r="M54" s="184">
        <f t="shared" si="4"/>
        <v>0</v>
      </c>
      <c r="N54" s="184">
        <f t="shared" ca="1" si="5"/>
        <v>0</v>
      </c>
      <c r="O54" s="180">
        <f t="shared" si="6"/>
        <v>0</v>
      </c>
      <c r="P54" s="180">
        <f t="shared" ca="1" si="7"/>
        <v>0</v>
      </c>
      <c r="Q54" s="185">
        <f t="shared" si="8"/>
        <v>0</v>
      </c>
      <c r="R54" s="185">
        <f t="shared" ca="1" si="9"/>
        <v>0</v>
      </c>
    </row>
    <row r="55" spans="2:18" ht="15.95" customHeight="1" x14ac:dyDescent="0.25">
      <c r="B55" s="53" t="s">
        <v>71</v>
      </c>
      <c r="C55" s="56" t="s">
        <v>72</v>
      </c>
      <c r="D55" s="119">
        <f>TARGETS!AK8</f>
        <v>0</v>
      </c>
      <c r="E55" s="119">
        <v>0</v>
      </c>
      <c r="F55" s="119">
        <f>TARGETS!AM8</f>
        <v>0</v>
      </c>
      <c r="G55" s="119">
        <f t="shared" si="1"/>
        <v>0</v>
      </c>
      <c r="H55" s="114">
        <f t="shared" ref="H55:I59" si="10">M10</f>
        <v>0</v>
      </c>
      <c r="I55" s="114">
        <f t="shared" si="10"/>
        <v>0</v>
      </c>
      <c r="J55" s="114">
        <f>SUM(O10)</f>
        <v>0</v>
      </c>
      <c r="K55" s="114">
        <f t="shared" si="2"/>
        <v>0</v>
      </c>
      <c r="L55" s="187">
        <f t="shared" si="3"/>
        <v>0</v>
      </c>
      <c r="M55" s="184">
        <f t="shared" si="4"/>
        <v>0</v>
      </c>
      <c r="N55" s="184">
        <f t="shared" ca="1" si="5"/>
        <v>0</v>
      </c>
      <c r="O55" s="180">
        <f t="shared" si="6"/>
        <v>0</v>
      </c>
      <c r="P55" s="180">
        <f t="shared" ca="1" si="7"/>
        <v>0</v>
      </c>
      <c r="Q55" s="185">
        <f t="shared" si="8"/>
        <v>0</v>
      </c>
      <c r="R55" s="185">
        <f t="shared" ca="1" si="9"/>
        <v>0</v>
      </c>
    </row>
    <row r="56" spans="2:18" ht="15.95" customHeight="1" x14ac:dyDescent="0.25">
      <c r="B56" s="50" t="s">
        <v>73</v>
      </c>
      <c r="C56" s="55" t="s">
        <v>182</v>
      </c>
      <c r="D56" s="118">
        <f>TARGETS!AK9</f>
        <v>0</v>
      </c>
      <c r="E56" s="118">
        <v>0</v>
      </c>
      <c r="F56" s="118">
        <f>TARGETS!AM9</f>
        <v>0</v>
      </c>
      <c r="G56" s="118">
        <f t="shared" si="1"/>
        <v>0</v>
      </c>
      <c r="H56" s="114">
        <f t="shared" si="10"/>
        <v>0</v>
      </c>
      <c r="I56" s="114">
        <f t="shared" si="10"/>
        <v>0</v>
      </c>
      <c r="J56" s="114">
        <f>SUM(O11)</f>
        <v>0</v>
      </c>
      <c r="K56" s="114">
        <f t="shared" si="2"/>
        <v>0</v>
      </c>
      <c r="L56" s="187">
        <f t="shared" si="3"/>
        <v>0</v>
      </c>
      <c r="M56" s="184">
        <f t="shared" si="4"/>
        <v>0</v>
      </c>
      <c r="N56" s="184">
        <f t="shared" ca="1" si="5"/>
        <v>0</v>
      </c>
      <c r="O56" s="180">
        <f t="shared" si="6"/>
        <v>0</v>
      </c>
      <c r="P56" s="180">
        <f t="shared" ca="1" si="7"/>
        <v>0</v>
      </c>
      <c r="Q56" s="185">
        <f t="shared" si="8"/>
        <v>0</v>
      </c>
      <c r="R56" s="185">
        <f t="shared" ca="1" si="9"/>
        <v>0</v>
      </c>
    </row>
    <row r="57" spans="2:18" ht="15.95" customHeight="1" x14ac:dyDescent="0.25">
      <c r="B57" s="53" t="s">
        <v>75</v>
      </c>
      <c r="C57" s="56" t="s">
        <v>99</v>
      </c>
      <c r="D57" s="119">
        <f>TARGETS!AK10</f>
        <v>0</v>
      </c>
      <c r="E57" s="119">
        <v>0</v>
      </c>
      <c r="F57" s="119">
        <f>TARGETS!AM10</f>
        <v>0</v>
      </c>
      <c r="G57" s="119">
        <f t="shared" si="1"/>
        <v>0</v>
      </c>
      <c r="H57" s="114">
        <f t="shared" si="10"/>
        <v>0</v>
      </c>
      <c r="I57" s="114">
        <f t="shared" si="10"/>
        <v>0</v>
      </c>
      <c r="J57" s="114">
        <f>SUM(O12)</f>
        <v>0</v>
      </c>
      <c r="K57" s="114">
        <f t="shared" si="2"/>
        <v>0</v>
      </c>
      <c r="L57" s="187">
        <f t="shared" si="3"/>
        <v>0</v>
      </c>
      <c r="M57" s="184">
        <f t="shared" si="4"/>
        <v>0</v>
      </c>
      <c r="N57" s="184">
        <f t="shared" ca="1" si="5"/>
        <v>0</v>
      </c>
      <c r="O57" s="180">
        <f t="shared" si="6"/>
        <v>0</v>
      </c>
      <c r="P57" s="180">
        <f t="shared" ca="1" si="7"/>
        <v>0</v>
      </c>
      <c r="Q57" s="185">
        <f t="shared" si="8"/>
        <v>0</v>
      </c>
      <c r="R57" s="185">
        <f t="shared" ca="1" si="9"/>
        <v>0</v>
      </c>
    </row>
    <row r="58" spans="2:18" ht="15.95" customHeight="1" x14ac:dyDescent="0.25">
      <c r="B58" s="50" t="s">
        <v>76</v>
      </c>
      <c r="C58" s="55" t="s">
        <v>77</v>
      </c>
      <c r="D58" s="118">
        <f>TARGETS!AK11</f>
        <v>0</v>
      </c>
      <c r="E58" s="118">
        <v>0</v>
      </c>
      <c r="F58" s="118">
        <f>TARGETS!AM11</f>
        <v>0</v>
      </c>
      <c r="G58" s="118">
        <f t="shared" si="1"/>
        <v>0</v>
      </c>
      <c r="H58" s="114">
        <f t="shared" si="10"/>
        <v>0</v>
      </c>
      <c r="I58" s="114">
        <f t="shared" si="10"/>
        <v>0</v>
      </c>
      <c r="J58" s="114">
        <f>SUM(O13)</f>
        <v>0</v>
      </c>
      <c r="K58" s="114">
        <f t="shared" si="2"/>
        <v>0</v>
      </c>
      <c r="L58" s="187">
        <f t="shared" si="3"/>
        <v>0</v>
      </c>
      <c r="M58" s="184">
        <f t="shared" si="4"/>
        <v>0</v>
      </c>
      <c r="N58" s="184">
        <f t="shared" ca="1" si="5"/>
        <v>0</v>
      </c>
      <c r="O58" s="180">
        <f t="shared" si="6"/>
        <v>0</v>
      </c>
      <c r="P58" s="180">
        <f t="shared" ca="1" si="7"/>
        <v>0</v>
      </c>
      <c r="Q58" s="185">
        <f t="shared" si="8"/>
        <v>0</v>
      </c>
      <c r="R58" s="185">
        <f t="shared" ca="1" si="9"/>
        <v>0</v>
      </c>
    </row>
    <row r="59" spans="2:18" ht="15.95" customHeight="1" x14ac:dyDescent="0.25">
      <c r="B59" s="53" t="s">
        <v>78</v>
      </c>
      <c r="C59" s="56" t="s">
        <v>79</v>
      </c>
      <c r="D59" s="119">
        <f>TARGETS!AK12</f>
        <v>0</v>
      </c>
      <c r="E59" s="119">
        <v>0</v>
      </c>
      <c r="F59" s="119">
        <f>TARGETS!AM12</f>
        <v>0</v>
      </c>
      <c r="G59" s="119">
        <f t="shared" si="1"/>
        <v>0</v>
      </c>
      <c r="H59" s="114">
        <f t="shared" si="10"/>
        <v>0</v>
      </c>
      <c r="I59" s="114">
        <f t="shared" si="10"/>
        <v>0</v>
      </c>
      <c r="J59" s="114">
        <f>SUM(O14)</f>
        <v>0</v>
      </c>
      <c r="K59" s="114">
        <f t="shared" si="2"/>
        <v>0</v>
      </c>
      <c r="L59" s="187">
        <f t="shared" si="3"/>
        <v>0</v>
      </c>
      <c r="M59" s="184">
        <f t="shared" si="4"/>
        <v>0</v>
      </c>
      <c r="N59" s="184">
        <f t="shared" ca="1" si="5"/>
        <v>0</v>
      </c>
      <c r="O59" s="180">
        <f t="shared" si="6"/>
        <v>0</v>
      </c>
      <c r="P59" s="180">
        <f t="shared" ca="1" si="7"/>
        <v>0</v>
      </c>
      <c r="Q59" s="185">
        <f t="shared" si="8"/>
        <v>0</v>
      </c>
      <c r="R59" s="185">
        <f t="shared" ca="1" si="9"/>
        <v>0</v>
      </c>
    </row>
    <row r="60" spans="2:18" ht="15.95" customHeight="1" x14ac:dyDescent="0.25">
      <c r="B60" s="136" t="s">
        <v>173</v>
      </c>
      <c r="C60" s="137" t="s">
        <v>175</v>
      </c>
      <c r="D60" s="138">
        <f>TARGETS!AK13</f>
        <v>0</v>
      </c>
      <c r="E60" s="138">
        <v>0</v>
      </c>
      <c r="F60" s="138">
        <f>TARGETS!AM13</f>
        <v>0</v>
      </c>
      <c r="G60" s="138">
        <f t="shared" si="1"/>
        <v>0</v>
      </c>
      <c r="H60" s="114">
        <f>SUM(C21)</f>
        <v>0</v>
      </c>
      <c r="I60" s="114">
        <f>SUM(D21)</f>
        <v>0</v>
      </c>
      <c r="J60" s="114">
        <f>SUM(E21)</f>
        <v>0</v>
      </c>
      <c r="K60" s="114">
        <f t="shared" si="2"/>
        <v>0</v>
      </c>
      <c r="L60" s="187">
        <f t="shared" si="3"/>
        <v>0</v>
      </c>
      <c r="M60" s="184">
        <f t="shared" si="4"/>
        <v>0</v>
      </c>
      <c r="N60" s="184">
        <f t="shared" ca="1" si="5"/>
        <v>0</v>
      </c>
      <c r="O60" s="180">
        <f t="shared" si="6"/>
        <v>0</v>
      </c>
      <c r="P60" s="180">
        <f t="shared" ca="1" si="7"/>
        <v>0</v>
      </c>
      <c r="Q60" s="185">
        <f t="shared" si="8"/>
        <v>0</v>
      </c>
      <c r="R60" s="185">
        <f t="shared" ca="1" si="9"/>
        <v>0</v>
      </c>
    </row>
    <row r="61" spans="2:18" ht="15.95" customHeight="1" x14ac:dyDescent="0.25">
      <c r="B61" s="53" t="s">
        <v>80</v>
      </c>
      <c r="C61" s="56" t="s">
        <v>81</v>
      </c>
      <c r="D61" s="119">
        <f>TARGETS!AK14</f>
        <v>0</v>
      </c>
      <c r="E61" s="119">
        <v>0</v>
      </c>
      <c r="F61" s="119">
        <f>TARGETS!AM14</f>
        <v>0</v>
      </c>
      <c r="G61" s="119">
        <f t="shared" si="1"/>
        <v>0</v>
      </c>
      <c r="H61" s="114">
        <f t="shared" ref="H61:I65" si="11">M15</f>
        <v>0</v>
      </c>
      <c r="I61" s="114">
        <f t="shared" si="11"/>
        <v>0</v>
      </c>
      <c r="J61" s="114">
        <f>SUM(O15)</f>
        <v>0</v>
      </c>
      <c r="K61" s="114">
        <f t="shared" si="2"/>
        <v>0</v>
      </c>
      <c r="L61" s="187">
        <f t="shared" si="3"/>
        <v>0</v>
      </c>
      <c r="M61" s="184">
        <f t="shared" si="4"/>
        <v>0</v>
      </c>
      <c r="N61" s="184">
        <f t="shared" ca="1" si="5"/>
        <v>0</v>
      </c>
      <c r="O61" s="180">
        <f t="shared" si="6"/>
        <v>0</v>
      </c>
      <c r="P61" s="180">
        <f t="shared" ca="1" si="7"/>
        <v>0</v>
      </c>
      <c r="Q61" s="185">
        <f t="shared" si="8"/>
        <v>0</v>
      </c>
      <c r="R61" s="185">
        <f t="shared" ca="1" si="9"/>
        <v>0</v>
      </c>
    </row>
    <row r="62" spans="2:18" ht="15.95" customHeight="1" x14ac:dyDescent="0.25">
      <c r="B62" s="50" t="s">
        <v>82</v>
      </c>
      <c r="C62" s="55" t="s">
        <v>83</v>
      </c>
      <c r="D62" s="118">
        <f>TARGETS!AK15</f>
        <v>0</v>
      </c>
      <c r="E62" s="118">
        <v>0</v>
      </c>
      <c r="F62" s="118">
        <f>TARGETS!AM15</f>
        <v>0</v>
      </c>
      <c r="G62" s="118">
        <f t="shared" si="1"/>
        <v>0</v>
      </c>
      <c r="H62" s="114">
        <f t="shared" si="11"/>
        <v>0</v>
      </c>
      <c r="I62" s="114">
        <f t="shared" si="11"/>
        <v>0</v>
      </c>
      <c r="J62" s="114">
        <f>SUM(O16)</f>
        <v>0</v>
      </c>
      <c r="K62" s="114">
        <f t="shared" si="2"/>
        <v>0</v>
      </c>
      <c r="L62" s="187">
        <f t="shared" si="3"/>
        <v>0</v>
      </c>
      <c r="M62" s="184">
        <f t="shared" si="4"/>
        <v>0</v>
      </c>
      <c r="N62" s="184">
        <f t="shared" ca="1" si="5"/>
        <v>0</v>
      </c>
      <c r="O62" s="180">
        <f t="shared" si="6"/>
        <v>0</v>
      </c>
      <c r="P62" s="180">
        <f t="shared" ca="1" si="7"/>
        <v>0</v>
      </c>
      <c r="Q62" s="185">
        <f t="shared" si="8"/>
        <v>0</v>
      </c>
      <c r="R62" s="185">
        <f t="shared" ca="1" si="9"/>
        <v>0</v>
      </c>
    </row>
    <row r="63" spans="2:18" ht="15.95" customHeight="1" x14ac:dyDescent="0.25">
      <c r="B63" s="53" t="s">
        <v>84</v>
      </c>
      <c r="C63" s="56" t="s">
        <v>85</v>
      </c>
      <c r="D63" s="119">
        <f>TARGETS!AK16</f>
        <v>0</v>
      </c>
      <c r="E63" s="119">
        <v>0</v>
      </c>
      <c r="F63" s="119">
        <f>TARGETS!AM16</f>
        <v>0</v>
      </c>
      <c r="G63" s="119">
        <f t="shared" si="1"/>
        <v>0</v>
      </c>
      <c r="H63" s="114">
        <f t="shared" si="11"/>
        <v>0</v>
      </c>
      <c r="I63" s="114">
        <f t="shared" si="11"/>
        <v>0</v>
      </c>
      <c r="J63" s="114">
        <f>SUM(O17)</f>
        <v>0</v>
      </c>
      <c r="K63" s="114">
        <f t="shared" si="2"/>
        <v>0</v>
      </c>
      <c r="L63" s="187">
        <f t="shared" si="3"/>
        <v>0</v>
      </c>
      <c r="M63" s="184">
        <f t="shared" si="4"/>
        <v>0</v>
      </c>
      <c r="N63" s="184">
        <f t="shared" ca="1" si="5"/>
        <v>0</v>
      </c>
      <c r="O63" s="180">
        <f t="shared" si="6"/>
        <v>0</v>
      </c>
      <c r="P63" s="180">
        <f t="shared" ca="1" si="7"/>
        <v>0</v>
      </c>
      <c r="Q63" s="185">
        <f t="shared" si="8"/>
        <v>0</v>
      </c>
      <c r="R63" s="185">
        <f t="shared" ca="1" si="9"/>
        <v>0</v>
      </c>
    </row>
    <row r="64" spans="2:18" ht="15.95" customHeight="1" x14ac:dyDescent="0.25">
      <c r="B64" s="50" t="s">
        <v>86</v>
      </c>
      <c r="C64" s="55" t="s">
        <v>87</v>
      </c>
      <c r="D64" s="118">
        <f>TARGETS!AK17</f>
        <v>0</v>
      </c>
      <c r="E64" s="118">
        <v>0</v>
      </c>
      <c r="F64" s="118">
        <f>TARGETS!AM17</f>
        <v>0</v>
      </c>
      <c r="G64" s="118">
        <f t="shared" si="1"/>
        <v>0</v>
      </c>
      <c r="H64" s="114">
        <f t="shared" si="11"/>
        <v>0</v>
      </c>
      <c r="I64" s="114">
        <f t="shared" si="11"/>
        <v>0</v>
      </c>
      <c r="J64" s="114">
        <f>SUM(O18)</f>
        <v>0</v>
      </c>
      <c r="K64" s="114">
        <f t="shared" si="2"/>
        <v>0</v>
      </c>
      <c r="L64" s="187">
        <f t="shared" si="3"/>
        <v>0</v>
      </c>
      <c r="M64" s="184">
        <f t="shared" si="4"/>
        <v>0</v>
      </c>
      <c r="N64" s="184">
        <f t="shared" ca="1" si="5"/>
        <v>0</v>
      </c>
      <c r="O64" s="180">
        <f t="shared" si="6"/>
        <v>0</v>
      </c>
      <c r="P64" s="180">
        <f t="shared" ca="1" si="7"/>
        <v>0</v>
      </c>
      <c r="Q64" s="185">
        <f t="shared" si="8"/>
        <v>0</v>
      </c>
      <c r="R64" s="185">
        <f t="shared" ca="1" si="9"/>
        <v>0</v>
      </c>
    </row>
    <row r="65" spans="2:18" ht="15.95" customHeight="1" x14ac:dyDescent="0.25">
      <c r="B65" s="53" t="s">
        <v>88</v>
      </c>
      <c r="C65" s="56" t="s">
        <v>89</v>
      </c>
      <c r="D65" s="119">
        <f>TARGETS!AK18</f>
        <v>0</v>
      </c>
      <c r="E65" s="119">
        <v>0</v>
      </c>
      <c r="F65" s="119">
        <f>TARGETS!AM18</f>
        <v>0</v>
      </c>
      <c r="G65" s="119">
        <f t="shared" si="1"/>
        <v>0</v>
      </c>
      <c r="H65" s="114">
        <f t="shared" si="11"/>
        <v>0</v>
      </c>
      <c r="I65" s="114">
        <f t="shared" si="11"/>
        <v>0</v>
      </c>
      <c r="J65" s="114">
        <f>SUM(O19)</f>
        <v>0</v>
      </c>
      <c r="K65" s="114">
        <f t="shared" si="2"/>
        <v>0</v>
      </c>
      <c r="L65" s="187">
        <f t="shared" si="3"/>
        <v>0</v>
      </c>
      <c r="M65" s="184">
        <f t="shared" si="4"/>
        <v>0</v>
      </c>
      <c r="N65" s="184">
        <f t="shared" ca="1" si="5"/>
        <v>0</v>
      </c>
      <c r="O65" s="180">
        <f t="shared" si="6"/>
        <v>0</v>
      </c>
      <c r="P65" s="180">
        <f t="shared" ca="1" si="7"/>
        <v>0</v>
      </c>
      <c r="Q65" s="185">
        <f t="shared" si="8"/>
        <v>0</v>
      </c>
      <c r="R65" s="185">
        <f t="shared" ca="1" si="9"/>
        <v>0</v>
      </c>
    </row>
    <row r="66" spans="2:18" ht="15.95" customHeight="1" x14ac:dyDescent="0.25">
      <c r="B66" s="57" t="s">
        <v>151</v>
      </c>
      <c r="C66" s="58"/>
      <c r="D66" s="134">
        <f t="shared" ref="D66:K66" si="12">SUM(D52:D65)</f>
        <v>0</v>
      </c>
      <c r="E66" s="134">
        <f t="shared" si="12"/>
        <v>0</v>
      </c>
      <c r="F66" s="134">
        <f t="shared" si="12"/>
        <v>0</v>
      </c>
      <c r="G66" s="134">
        <f t="shared" si="12"/>
        <v>0</v>
      </c>
      <c r="H66" s="135">
        <f t="shared" si="12"/>
        <v>0</v>
      </c>
      <c r="I66" s="135">
        <f t="shared" si="12"/>
        <v>0</v>
      </c>
      <c r="J66" s="135">
        <f t="shared" si="12"/>
        <v>0</v>
      </c>
      <c r="K66" s="135">
        <f t="shared" si="12"/>
        <v>0</v>
      </c>
      <c r="L66" s="189">
        <f t="shared" si="3"/>
        <v>0</v>
      </c>
      <c r="M66" s="181">
        <f>SUM(M52:M65)</f>
        <v>0</v>
      </c>
      <c r="N66" s="181">
        <f t="shared" ca="1" si="5"/>
        <v>0</v>
      </c>
      <c r="O66" s="181">
        <f>SUM(O52:O65)</f>
        <v>0</v>
      </c>
      <c r="P66" s="181">
        <f t="shared" ca="1" si="7"/>
        <v>0</v>
      </c>
      <c r="Q66" s="186">
        <f>SUM(Q52:Q65)</f>
        <v>0</v>
      </c>
      <c r="R66" s="186">
        <f t="shared" ca="1" si="9"/>
        <v>0</v>
      </c>
    </row>
    <row r="67" spans="2:18" ht="15" customHeight="1" x14ac:dyDescent="0.25">
      <c r="G67" s="111"/>
      <c r="H67" s="111"/>
      <c r="I67" s="111"/>
    </row>
    <row r="68" spans="2:18" ht="18.95" customHeight="1" x14ac:dyDescent="0.25">
      <c r="B68" s="283" t="s">
        <v>144</v>
      </c>
      <c r="C68" s="284"/>
      <c r="D68" s="284"/>
      <c r="E68" s="284"/>
      <c r="F68" s="293"/>
      <c r="G68" s="269" t="s">
        <v>187</v>
      </c>
      <c r="H68" s="270"/>
      <c r="I68" s="270"/>
      <c r="J68" s="270"/>
      <c r="K68" s="270"/>
      <c r="L68" s="271"/>
    </row>
    <row r="69" spans="2:18" ht="30" customHeight="1" x14ac:dyDescent="0.25">
      <c r="B69" s="223" t="s">
        <v>152</v>
      </c>
      <c r="C69" s="223" t="s">
        <v>42</v>
      </c>
      <c r="D69" s="223" t="s">
        <v>137</v>
      </c>
      <c r="E69" s="223" t="s">
        <v>138</v>
      </c>
      <c r="F69" s="231" t="s">
        <v>139</v>
      </c>
      <c r="G69" s="232" t="str">
        <f>"SELISIH"&amp;CHAR(10)&amp;TEXT($H$41,"0%")</f>
        <v>SELISIH
90%</v>
      </c>
      <c r="H69" s="232" t="str">
        <f>"PER HARI"&amp;CHAR(10)&amp;TEXT($H$41,"0%")</f>
        <v>PER HARI
90%</v>
      </c>
      <c r="I69" s="229" t="str">
        <f>"SELISIH"&amp;CHAR(10)&amp;TEXT($J$41,"0%")</f>
        <v>SELISIH
95%</v>
      </c>
      <c r="J69" s="230" t="str">
        <f>"PER HARI"&amp;CHAR(10)&amp;TEXT($J$41,"0%")</f>
        <v>PER HARI
95%</v>
      </c>
      <c r="K69" s="222" t="str">
        <f>"SELISIH"&amp;CHAR(10)&amp;TEXT($L$41,"0%")</f>
        <v>SELISIH
100%</v>
      </c>
      <c r="L69" s="222" t="str">
        <f>"PER HARI"&amp;CHAR(10)&amp;TEXT($L$41,"0%")</f>
        <v>PER HARI
100%</v>
      </c>
    </row>
    <row r="70" spans="2:18" ht="15.95" customHeight="1" x14ac:dyDescent="0.25">
      <c r="B70" s="50" t="s">
        <v>92</v>
      </c>
      <c r="C70" s="55" t="s">
        <v>93</v>
      </c>
      <c r="D70" s="116">
        <f>TARGETS!O22</f>
        <v>0</v>
      </c>
      <c r="E70" s="114">
        <f>IFERROR(C32,0)</f>
        <v>0</v>
      </c>
      <c r="F70" s="187">
        <f t="shared" ref="F70:F75" si="13">IFERROR(E70/D70,0)</f>
        <v>0</v>
      </c>
      <c r="G70" s="184">
        <f>D70*$H$41-E70</f>
        <v>0</v>
      </c>
      <c r="H70" s="184">
        <f t="shared" ref="H70:H75" ca="1" si="14">IFERROR(G70/$C$3,0)</f>
        <v>0</v>
      </c>
      <c r="I70" s="204">
        <f>D70*$J$41-E70</f>
        <v>0</v>
      </c>
      <c r="J70" s="204">
        <f t="shared" ref="J70:J75" ca="1" si="15">IFERROR(I70/$C$3,0)</f>
        <v>0</v>
      </c>
      <c r="K70" s="185">
        <f>D70*$L$41-E70</f>
        <v>0</v>
      </c>
      <c r="L70" s="185">
        <f t="shared" ref="L70:L75" ca="1" si="16">IFERROR(K70/$C$3,0)</f>
        <v>0</v>
      </c>
    </row>
    <row r="71" spans="2:18" ht="15.95" customHeight="1" x14ac:dyDescent="0.25">
      <c r="B71" s="53" t="s">
        <v>94</v>
      </c>
      <c r="C71" s="56" t="s">
        <v>95</v>
      </c>
      <c r="D71" s="117">
        <f>TARGETS!O23</f>
        <v>0</v>
      </c>
      <c r="E71" s="114">
        <f>IFERROR(C33,0)</f>
        <v>0</v>
      </c>
      <c r="F71" s="187">
        <f t="shared" si="13"/>
        <v>0</v>
      </c>
      <c r="G71" s="184">
        <f>D71*$H$41-E71</f>
        <v>0</v>
      </c>
      <c r="H71" s="184">
        <f t="shared" ca="1" si="14"/>
        <v>0</v>
      </c>
      <c r="I71" s="204">
        <f>D71*$J$41-E71</f>
        <v>0</v>
      </c>
      <c r="J71" s="204">
        <f t="shared" ca="1" si="15"/>
        <v>0</v>
      </c>
      <c r="K71" s="185">
        <f>D71*$L$41-E71</f>
        <v>0</v>
      </c>
      <c r="L71" s="185">
        <f t="shared" ca="1" si="16"/>
        <v>0</v>
      </c>
    </row>
    <row r="72" spans="2:18" ht="15.95" customHeight="1" x14ac:dyDescent="0.25">
      <c r="B72" s="50" t="s">
        <v>96</v>
      </c>
      <c r="C72" s="55" t="s">
        <v>97</v>
      </c>
      <c r="D72" s="116">
        <f>TARGETS!O24</f>
        <v>0</v>
      </c>
      <c r="E72" s="114">
        <f>M21+M7</f>
        <v>0</v>
      </c>
      <c r="F72" s="187">
        <f t="shared" si="13"/>
        <v>0</v>
      </c>
      <c r="G72" s="184">
        <f>D72*$H$41-E72</f>
        <v>0</v>
      </c>
      <c r="H72" s="184">
        <f t="shared" ca="1" si="14"/>
        <v>0</v>
      </c>
      <c r="I72" s="204">
        <f>D72*$J$41-E72</f>
        <v>0</v>
      </c>
      <c r="J72" s="204">
        <f t="shared" ca="1" si="15"/>
        <v>0</v>
      </c>
      <c r="K72" s="185">
        <f>D72*$L$41-E72</f>
        <v>0</v>
      </c>
      <c r="L72" s="185">
        <f t="shared" ca="1" si="16"/>
        <v>0</v>
      </c>
    </row>
    <row r="73" spans="2:18" hidden="1" x14ac:dyDescent="0.25">
      <c r="B73" s="53" t="s">
        <v>98</v>
      </c>
      <c r="C73" s="56" t="s">
        <v>99</v>
      </c>
      <c r="D73" s="117">
        <f>TARGETS!O25</f>
        <v>0</v>
      </c>
      <c r="E73" s="114">
        <f>0</f>
        <v>0</v>
      </c>
      <c r="F73" s="187">
        <f t="shared" si="13"/>
        <v>0</v>
      </c>
      <c r="G73" s="184">
        <f>D73*$H$41-E73</f>
        <v>0</v>
      </c>
      <c r="H73" s="184">
        <f t="shared" ca="1" si="14"/>
        <v>0</v>
      </c>
      <c r="I73" s="204">
        <f>D73*$J$41-E73</f>
        <v>0</v>
      </c>
      <c r="J73" s="204">
        <f t="shared" ca="1" si="15"/>
        <v>0</v>
      </c>
      <c r="K73" s="185">
        <f>D73*$L$41-E73</f>
        <v>0</v>
      </c>
      <c r="L73" s="185">
        <f t="shared" ca="1" si="16"/>
        <v>0</v>
      </c>
    </row>
    <row r="74" spans="2:18" hidden="1" x14ac:dyDescent="0.25">
      <c r="B74" s="50" t="s">
        <v>100</v>
      </c>
      <c r="C74" s="108" t="s">
        <v>101</v>
      </c>
      <c r="D74" s="116">
        <f>TARGETS!O26</f>
        <v>0</v>
      </c>
      <c r="E74" s="114">
        <f>0</f>
        <v>0</v>
      </c>
      <c r="F74" s="187">
        <f t="shared" si="13"/>
        <v>0</v>
      </c>
      <c r="G74" s="184">
        <f>D74*$H$41-E74</f>
        <v>0</v>
      </c>
      <c r="H74" s="184">
        <f t="shared" ca="1" si="14"/>
        <v>0</v>
      </c>
      <c r="I74" s="204">
        <f>D74*$J$41-E74</f>
        <v>0</v>
      </c>
      <c r="J74" s="204">
        <f t="shared" ca="1" si="15"/>
        <v>0</v>
      </c>
      <c r="K74" s="185">
        <f>D74*$L$41-E74</f>
        <v>0</v>
      </c>
      <c r="L74" s="185">
        <f t="shared" ca="1" si="16"/>
        <v>0</v>
      </c>
    </row>
    <row r="75" spans="2:18" ht="15.95" customHeight="1" x14ac:dyDescent="0.25">
      <c r="B75" s="57" t="s">
        <v>151</v>
      </c>
      <c r="C75" s="58"/>
      <c r="D75" s="115">
        <f>SUM(D70:D74)</f>
        <v>0</v>
      </c>
      <c r="E75" s="115">
        <f>SUM(E70:E74)</f>
        <v>0</v>
      </c>
      <c r="F75" s="177">
        <f t="shared" si="13"/>
        <v>0</v>
      </c>
      <c r="G75" s="181">
        <f>SUM(G70:G74)</f>
        <v>0</v>
      </c>
      <c r="H75" s="181">
        <f t="shared" ca="1" si="14"/>
        <v>0</v>
      </c>
      <c r="I75" s="186">
        <f>SUM(I70:I74)</f>
        <v>0</v>
      </c>
      <c r="J75" s="186">
        <f t="shared" ca="1" si="15"/>
        <v>0</v>
      </c>
      <c r="K75" s="186">
        <f>SUM(K70:K74)</f>
        <v>0</v>
      </c>
      <c r="L75" s="186">
        <f t="shared" ca="1" si="16"/>
        <v>0</v>
      </c>
    </row>
    <row r="76" spans="2:18" ht="15" customHeight="1" x14ac:dyDescent="0.25"/>
    <row r="77" spans="2:18" ht="15" customHeight="1" x14ac:dyDescent="0.25"/>
    <row r="78" spans="2:18" ht="20.100000000000001" customHeight="1" x14ac:dyDescent="0.25">
      <c r="B78" s="249" t="s">
        <v>172</v>
      </c>
      <c r="C78" s="250"/>
      <c r="D78" s="251"/>
    </row>
    <row r="79" spans="2:18" ht="17.100000000000001" customHeight="1" x14ac:dyDescent="0.25">
      <c r="B79" s="268" t="s">
        <v>41</v>
      </c>
      <c r="C79" s="268" t="s">
        <v>42</v>
      </c>
      <c r="D79" s="231" t="s">
        <v>138</v>
      </c>
    </row>
    <row r="80" spans="2:18" ht="17.100000000000001" customHeight="1" x14ac:dyDescent="0.25">
      <c r="B80" s="258"/>
      <c r="C80" s="258"/>
      <c r="D80" s="70" t="s">
        <v>169</v>
      </c>
    </row>
    <row r="81" spans="2:4" ht="15.95" customHeight="1" x14ac:dyDescent="0.25">
      <c r="B81" s="50" t="s">
        <v>67</v>
      </c>
      <c r="C81" s="55" t="s">
        <v>68</v>
      </c>
      <c r="D81" s="131">
        <f>SUM(F22)</f>
        <v>0</v>
      </c>
    </row>
    <row r="82" spans="2:4" ht="15.95" customHeight="1" x14ac:dyDescent="0.25">
      <c r="B82" s="53" t="s">
        <v>69</v>
      </c>
      <c r="C82" s="56" t="s">
        <v>70</v>
      </c>
      <c r="D82" s="132">
        <f>SUM(F13,F14)</f>
        <v>0</v>
      </c>
    </row>
    <row r="83" spans="2:4" ht="15.95" customHeight="1" x14ac:dyDescent="0.25">
      <c r="B83" s="53" t="s">
        <v>173</v>
      </c>
      <c r="C83" s="56" t="s">
        <v>174</v>
      </c>
      <c r="D83" s="132">
        <f>SUM(F20)</f>
        <v>0</v>
      </c>
    </row>
    <row r="84" spans="2:4" ht="15.95" customHeight="1" x14ac:dyDescent="0.25">
      <c r="B84" s="50" t="s">
        <v>71</v>
      </c>
      <c r="C84" s="55" t="s">
        <v>72</v>
      </c>
      <c r="D84" s="131">
        <f>SUM(F15)</f>
        <v>0</v>
      </c>
    </row>
    <row r="85" spans="2:4" ht="15.95" customHeight="1" x14ac:dyDescent="0.25">
      <c r="B85" s="53" t="s">
        <v>73</v>
      </c>
      <c r="C85" s="56" t="s">
        <v>74</v>
      </c>
      <c r="D85" s="132">
        <f>0</f>
        <v>0</v>
      </c>
    </row>
    <row r="86" spans="2:4" ht="15.95" customHeight="1" x14ac:dyDescent="0.25">
      <c r="B86" s="50" t="s">
        <v>75</v>
      </c>
      <c r="C86" s="55" t="s">
        <v>74</v>
      </c>
      <c r="D86" s="131">
        <f>SUM(F25,F26)</f>
        <v>0</v>
      </c>
    </row>
    <row r="87" spans="2:4" ht="15.95" customHeight="1" x14ac:dyDescent="0.25">
      <c r="B87" s="53" t="s">
        <v>76</v>
      </c>
      <c r="C87" s="56" t="s">
        <v>77</v>
      </c>
      <c r="D87" s="132">
        <f>SUM(F17)</f>
        <v>0</v>
      </c>
    </row>
    <row r="88" spans="2:4" ht="15.95" customHeight="1" x14ac:dyDescent="0.25">
      <c r="B88" s="50" t="s">
        <v>78</v>
      </c>
      <c r="C88" s="55" t="s">
        <v>79</v>
      </c>
      <c r="D88" s="131">
        <f>SUM(F23)</f>
        <v>0</v>
      </c>
    </row>
    <row r="89" spans="2:4" ht="15.95" customHeight="1" x14ac:dyDescent="0.25">
      <c r="B89" s="53" t="s">
        <v>173</v>
      </c>
      <c r="C89" s="56" t="s">
        <v>175</v>
      </c>
      <c r="D89" s="132">
        <f>SUM(F21)</f>
        <v>0</v>
      </c>
    </row>
    <row r="90" spans="2:4" ht="15.95" customHeight="1" x14ac:dyDescent="0.25">
      <c r="B90" s="53" t="s">
        <v>80</v>
      </c>
      <c r="C90" s="56" t="s">
        <v>81</v>
      </c>
      <c r="D90" s="132">
        <f>SUM(F11)</f>
        <v>0</v>
      </c>
    </row>
    <row r="91" spans="2:4" ht="15.95" customHeight="1" x14ac:dyDescent="0.25">
      <c r="B91" s="50" t="s">
        <v>82</v>
      </c>
      <c r="C91" s="55" t="s">
        <v>83</v>
      </c>
      <c r="D91" s="131">
        <f>SUM(F24)</f>
        <v>0</v>
      </c>
    </row>
    <row r="92" spans="2:4" ht="15.95" customHeight="1" x14ac:dyDescent="0.25">
      <c r="B92" s="53" t="s">
        <v>84</v>
      </c>
      <c r="C92" s="56" t="s">
        <v>85</v>
      </c>
      <c r="D92" s="132">
        <f>SUM(F10)</f>
        <v>0</v>
      </c>
    </row>
    <row r="93" spans="2:4" ht="15.95" customHeight="1" x14ac:dyDescent="0.25">
      <c r="B93" s="50" t="s">
        <v>86</v>
      </c>
      <c r="C93" s="55" t="s">
        <v>87</v>
      </c>
      <c r="D93" s="131">
        <f>SUM(F27)</f>
        <v>0</v>
      </c>
    </row>
    <row r="94" spans="2:4" ht="15.95" customHeight="1" x14ac:dyDescent="0.25">
      <c r="B94" s="53" t="s">
        <v>88</v>
      </c>
      <c r="C94" s="56" t="s">
        <v>89</v>
      </c>
      <c r="D94" s="132">
        <f>SUM(F18,F19)</f>
        <v>0</v>
      </c>
    </row>
    <row r="95" spans="2:4" ht="15.95" customHeight="1" x14ac:dyDescent="0.25">
      <c r="B95" s="57" t="s">
        <v>151</v>
      </c>
      <c r="C95" s="58"/>
      <c r="D95" s="120">
        <f>SUM(D81:D94)</f>
        <v>0</v>
      </c>
    </row>
    <row r="96" spans="2:4" ht="15" customHeight="1" x14ac:dyDescent="0.25"/>
  </sheetData>
  <mergeCells count="20">
    <mergeCell ref="G68:L68"/>
    <mergeCell ref="B49:L49"/>
    <mergeCell ref="M49:R49"/>
    <mergeCell ref="B50:B51"/>
    <mergeCell ref="C50:C51"/>
    <mergeCell ref="D50:G50"/>
    <mergeCell ref="H50:K50"/>
    <mergeCell ref="Q50:Q51"/>
    <mergeCell ref="R50:R51"/>
    <mergeCell ref="N50:N51"/>
    <mergeCell ref="L50:L51"/>
    <mergeCell ref="M50:M51"/>
    <mergeCell ref="O50:O51"/>
    <mergeCell ref="P50:P51"/>
    <mergeCell ref="B41:D41"/>
    <mergeCell ref="B47:C47"/>
    <mergeCell ref="B79:B80"/>
    <mergeCell ref="C79:C80"/>
    <mergeCell ref="B68:F68"/>
    <mergeCell ref="B78:D78"/>
  </mergeCells>
  <conditionalFormatting sqref="L52:L65">
    <cfRule type="expression" dxfId="2" priority="1">
      <formula>L52&gt;=$F$42-0.05</formula>
    </cfRule>
    <cfRule type="expression" dxfId="1" priority="2">
      <formula>AND(L52&gt;=$F$42-0.2,L52&lt;$F$42-0.05)</formula>
    </cfRule>
    <cfRule type="expression" dxfId="0" priority="3">
      <formula>L52&lt;$F$42-0.2</formula>
    </cfRule>
  </conditionalFormatting>
  <dataValidations count="1">
    <dataValidation type="list" allowBlank="1" showInputMessage="1" showErrorMessage="1" sqref="H41 J41" xr:uid="{00000000-0002-0000-0D00-000000000000}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Admin-Sales</cp:lastModifiedBy>
  <cp:revision>0</cp:revision>
  <cp:lastPrinted>2026-08-08T02:50:28Z</cp:lastPrinted>
  <dcterms:created xsi:type="dcterms:W3CDTF">2026-03-24T08:59:20Z</dcterms:created>
  <dcterms:modified xsi:type="dcterms:W3CDTF">2026-08-19T01:05:01Z</dcterms:modified>
  <dc:language>en-US</dc:language>
</cp:coreProperties>
</file>