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firstSheet="1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4" i="8" l="1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D92" i="8"/>
  <c r="D91" i="8"/>
  <c r="D90" i="8"/>
  <c r="D94" i="8" s="1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1" i="8" l="1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F44" i="8" l="1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<sst xmlns="http://schemas.openxmlformats.org/spreadsheetml/2006/main" count="1875" uniqueCount="185">
  <si>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</si>
  <si>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</si>
  <si>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</si>
  <si>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</si>
  <si>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</si>
  <si>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</si>
  <si>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</si>
  <si>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</si>
  <si>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</si>
  <si>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</si>
  <si>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</si>
  <si>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</si>
  <si>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</si>
  <si>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</si>
  <si>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</si>
  <si>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</si>
  <si>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</si>
  <si>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</si>
  <si>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</si>
  <si>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</si>
  <si>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</si>
  <si>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</si>
  <si>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</si>
  <si>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</si>
  <si>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</si>
  <si>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</si>
  <si>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</si>
  <si>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</si>
  <si>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</si>
  <si>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</si>
  <si>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</si>
  <si>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</si>
  <si>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</si>
  <si>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</si>
  <si>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</si>
  <si>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</si>
  <si>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</si>
  <si>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</si>
  <si>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</si>
  <si>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</si>
  <si>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</si>
  <si>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</si>
  <si>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</si>
  <si>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</si>
  <si>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</si>
  <si>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</si>
  <si>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</si>
  <si>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</si>
  <si>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</si>
  <si>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</si>
  <si>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</si>
  <si>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</si>
  <si>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</si>
  <si>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</si>
  <si>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</si>
  <si>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</si>
  <si>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</si>
  <si>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</si>
  <si>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</si>
  <si>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</si>
  <si>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</si>
  <si>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</si>
  <si>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</si>
  <si>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</si>
  <si>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</si>
  <si>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</si>
  <si>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</si>
  <si>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</si>
  <si>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</si>
  <si>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</si>
  <si>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</si>
  <si>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</si>
  <si>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</si>
  <si>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</si>
  <si>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</si>
  <si>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</si>
  <si>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</si>
  <si>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</si>
  <si>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</si>
  <si>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</si>
  <si>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</si>
  <si>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</si>
  <si>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</si>
  <si>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</si>
  <si>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</si>
  <si>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</si>
  <si>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</si>
  <si>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</si>
  <si>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</si>
  <si>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</si>
  <si>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</si>
  <si>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</si>
  <si>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</si>
  <si>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</si>
  <si>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</si>
  <si>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</si>
  <si>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</si>
  <si>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</si>
  <si>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</si>
  <si>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</si>
  <si>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</si>
  <si>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</si>
  <si>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</si>
  <si>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</si>
  <si>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</si>
  <si>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</si>
  <si>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</si>
  <si>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</si>
  <si>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</si>
  <si>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</si>
  <si>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</si>
  <si>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</si>
  <si>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</si>
  <si>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</si>
  <si>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</si>
  <si>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</si>
  <si>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</si>
  <si>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</si>
  <si>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</si>
  <si>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</si>
  <si>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</si>
  <si>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</si>
  <si>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</si>
  <si>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</si>
  <si>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</si>
  <si>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</si>
  <si>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</si>
  <si>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</si>
  <si>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</si>
  <si>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</si>
  <si>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</si>
  <si>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</si>
  <si>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</si>
  <si>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</si>
  <si>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</si>
  <si>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</si>
  <si>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</si>
  <si>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</si>
  <si>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</si>
  <si>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</si>
  <si>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</si>
  <si>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</si>
  <si>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</si>
  <si>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</si>
  <si>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</si>
  <si>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</si>
  <si>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</si>
  <si>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</si>
  <si>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</si>
  <si>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</si>
  <si>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</si>
  <si>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</si>
  <si>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</si>
  <si>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</si>
  <si>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</si>
  <si>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</si>
  <si>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</si>
  <si>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</si>
  <si>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</si>
  <si>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</si>
  <si>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</si>
  <si>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</si>
  <si>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</si>
  <si>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</si>
  <si>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</si>
  <si>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</si>
  <si>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</si>
  <si>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</si>
  <si>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</si>
  <si>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</si>
  <si>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</si>
  <si>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</si>
  <si>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</si>
  <si>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</si>
  <si>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</si>
  <si>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</si>
  <si>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</si>
  <si>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</si>
  <si>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</si>
  <si>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</si>
  <si>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</si>
  <si>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</si>
  <si>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</si>
  <si>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</si>
  <si>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22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</si>
</sst>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164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182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8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9" t="s">
        <v>183</v>
      </c>
      <c r="C41" s="240"/>
      <c r="D41" s="241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79099260.026450872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69448416.214586347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13721564.342464089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162269240.58350131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18993015.415820412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16993704.37340875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5488177.7749999985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-5043588.4357533902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16349297.201440766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10085938.056867957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-3139641.9585924447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13851803.529411256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12951517.521253124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9451493.4571600482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22154519.675734781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14796791.020271607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4325710.3703744262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11288938.238640048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148547676.24103734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-1670372.2395340577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-2316185.3422353044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17708121.924233466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13721564.342464104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8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254247035.77657601</v>
      </c>
      <c r="N8" s="11">
        <f>D24</f>
        <v>42097257.998971999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379189288.75834596</v>
      </c>
      <c r="N9" s="11">
        <f>D12+D13</f>
        <v>112509187.672746</v>
      </c>
    </row>
    <row r="10" spans="2:14" x14ac:dyDescent="0.25">
      <c r="B10" s="74" t="s">
        <v>113</v>
      </c>
      <c r="C10" s="205">
        <v>239547739.734368</v>
      </c>
      <c r="D10" s="205">
        <v>29458987.892499</v>
      </c>
      <c r="E10" s="205">
        <v>116563996.94</v>
      </c>
      <c r="F10" s="205">
        <v>385570724.56686699</v>
      </c>
      <c r="H10" s="116"/>
      <c r="I10" s="116"/>
      <c r="J10" s="116"/>
      <c r="M10" s="11">
        <f>C14</f>
        <v>734162511.56037199</v>
      </c>
      <c r="N10" s="11">
        <f>D14</f>
        <v>22337883.425106</v>
      </c>
    </row>
    <row r="11" spans="2:14" x14ac:dyDescent="0.25">
      <c r="B11" s="74" t="s">
        <v>114</v>
      </c>
      <c r="C11" s="205">
        <v>261706349.523938</v>
      </c>
      <c r="D11" s="205">
        <v>61268244.690229997</v>
      </c>
      <c r="E11" s="205">
        <v>2984684.68</v>
      </c>
      <c r="F11" s="205">
        <v>325959278.89416802</v>
      </c>
      <c r="H11" s="116"/>
      <c r="I11" s="116"/>
      <c r="J11" s="116"/>
      <c r="M11" s="11">
        <f>C17</f>
        <v>252074323.43939</v>
      </c>
      <c r="N11" s="11">
        <f>D17</f>
        <v>46234425.210000001</v>
      </c>
    </row>
    <row r="12" spans="2:14" x14ac:dyDescent="0.25">
      <c r="B12" s="74" t="s">
        <v>70</v>
      </c>
      <c r="C12" s="205">
        <v>195191978.09645799</v>
      </c>
      <c r="D12" s="205">
        <v>68117183.762931004</v>
      </c>
      <c r="E12" s="205">
        <v>44660102.520000003</v>
      </c>
      <c r="F12" s="205">
        <v>307969264.37938899</v>
      </c>
      <c r="H12" s="116"/>
      <c r="I12" s="116"/>
      <c r="J12" s="116"/>
      <c r="M12" s="11">
        <f>C16</f>
        <v>378215569.01279998</v>
      </c>
      <c r="N12" s="11">
        <f>D16</f>
        <v>79275448.542796999</v>
      </c>
    </row>
    <row r="13" spans="2:14" x14ac:dyDescent="0.25">
      <c r="B13" s="74" t="s">
        <v>115</v>
      </c>
      <c r="C13" s="205">
        <v>183997310.661888</v>
      </c>
      <c r="D13" s="205">
        <v>44392003.909814999</v>
      </c>
      <c r="E13" s="205">
        <v>25873851</v>
      </c>
      <c r="F13" s="205">
        <v>254263165.57170299</v>
      </c>
      <c r="H13" s="116"/>
      <c r="I13" s="116"/>
      <c r="J13" s="116"/>
      <c r="M13" s="11">
        <f>C19</f>
        <v>683565535.57919395</v>
      </c>
      <c r="N13" s="11">
        <f>D19</f>
        <v>54203774.369935997</v>
      </c>
    </row>
    <row r="14" spans="2:14" x14ac:dyDescent="0.25">
      <c r="B14" s="74" t="s">
        <v>116</v>
      </c>
      <c r="C14" s="205">
        <v>734162511.56037199</v>
      </c>
      <c r="D14" s="205">
        <v>22337883.425106</v>
      </c>
      <c r="E14" s="205">
        <v>192728793.15000001</v>
      </c>
      <c r="F14" s="205">
        <v>949229188.13547802</v>
      </c>
      <c r="H14" s="116"/>
      <c r="I14" s="116"/>
      <c r="J14" s="116"/>
      <c r="M14" s="11">
        <f>C25</f>
        <v>331299755.438191</v>
      </c>
      <c r="N14" s="11">
        <f>D25</f>
        <v>48709000.229927003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261706349.523938</v>
      </c>
      <c r="N15" s="11">
        <f>D11</f>
        <v>61268244.690229997</v>
      </c>
    </row>
    <row r="16" spans="2:14" x14ac:dyDescent="0.25">
      <c r="B16" s="74" t="s">
        <v>74</v>
      </c>
      <c r="C16" s="205">
        <v>378215569.01279998</v>
      </c>
      <c r="D16" s="205">
        <v>79275448.542796999</v>
      </c>
      <c r="E16" s="205">
        <v>29545792.469999999</v>
      </c>
      <c r="F16" s="205">
        <v>487036810.02559698</v>
      </c>
      <c r="H16" s="116"/>
      <c r="I16" s="116"/>
      <c r="J16" s="116"/>
      <c r="M16" s="11">
        <f>C26</f>
        <v>387876799.67017603</v>
      </c>
      <c r="N16" s="11">
        <f>D26</f>
        <v>33922249.765463002</v>
      </c>
    </row>
    <row r="17" spans="2:14" x14ac:dyDescent="0.25">
      <c r="B17" s="74" t="s">
        <v>118</v>
      </c>
      <c r="C17" s="205">
        <v>252074323.43939</v>
      </c>
      <c r="D17" s="205">
        <v>46234425.210000001</v>
      </c>
      <c r="E17" s="205" t="s">
        <v>168</v>
      </c>
      <c r="F17" s="205">
        <v>298308748.64938998</v>
      </c>
      <c r="H17" s="116"/>
      <c r="I17" s="116"/>
      <c r="J17" s="116"/>
      <c r="M17" s="11">
        <f>C10</f>
        <v>239547739.734368</v>
      </c>
      <c r="N17" s="11">
        <f>D10</f>
        <v>29458987.892499</v>
      </c>
    </row>
    <row r="18" spans="2:14" x14ac:dyDescent="0.25">
      <c r="B18" s="74" t="s">
        <v>119</v>
      </c>
      <c r="C18" s="205">
        <v>368789358.66303098</v>
      </c>
      <c r="D18" s="205">
        <v>3110178.4299920001</v>
      </c>
      <c r="E18" s="205">
        <v>7148648.5599999996</v>
      </c>
      <c r="F18" s="205">
        <v>379048185.653023</v>
      </c>
      <c r="H18" s="116"/>
      <c r="I18" s="116"/>
      <c r="J18" s="116"/>
      <c r="M18" s="11">
        <f>C27</f>
        <v>573076262.17522895</v>
      </c>
      <c r="N18" s="11">
        <f>D27</f>
        <v>93927199.401954994</v>
      </c>
    </row>
    <row r="19" spans="2:14" x14ac:dyDescent="0.25">
      <c r="B19" s="74" t="s">
        <v>121</v>
      </c>
      <c r="C19" s="205">
        <v>683565535.57919395</v>
      </c>
      <c r="D19" s="205">
        <v>54203774.369935997</v>
      </c>
      <c r="E19" s="205">
        <v>1083282108.97997</v>
      </c>
      <c r="F19" s="205">
        <v>1821051418.9291</v>
      </c>
      <c r="H19" s="116"/>
      <c r="I19" s="116"/>
      <c r="J19" s="116"/>
      <c r="M19" s="11">
        <f>C20+C21</f>
        <v>126517503.207634</v>
      </c>
      <c r="N19" s="11">
        <f>D20+D21</f>
        <v>113941217.366872</v>
      </c>
    </row>
    <row r="20" spans="2:14" x14ac:dyDescent="0.25">
      <c r="B20" s="74" t="s">
        <v>123</v>
      </c>
      <c r="C20" s="205">
        <v>89718033.207634002</v>
      </c>
      <c r="D20" s="205">
        <v>21291124.199754</v>
      </c>
      <c r="E20" s="205">
        <v>8237838</v>
      </c>
      <c r="F20" s="205">
        <v>119246995.407388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5">
        <v>36799470</v>
      </c>
      <c r="D21" s="205">
        <v>92650093.167117998</v>
      </c>
      <c r="E21" s="205">
        <v>42151352.140000001</v>
      </c>
      <c r="F21" s="205">
        <v>171600915.307118</v>
      </c>
      <c r="H21" s="116"/>
      <c r="I21" s="116"/>
      <c r="J21" s="116"/>
      <c r="M21" s="14">
        <f>IFERROR(C34,0)+IFERROR(C35,0)+M20</f>
        <v>647335150.44178498</v>
      </c>
      <c r="N21" s="10" t="s">
        <v>122</v>
      </c>
    </row>
    <row r="22" spans="2:14" x14ac:dyDescent="0.25">
      <c r="B22" s="74" t="s">
        <v>172</v>
      </c>
      <c r="C22" s="205">
        <v>148159605.5</v>
      </c>
      <c r="D22" s="205" t="s">
        <v>168</v>
      </c>
      <c r="E22" s="205">
        <v>7027026.8399999999</v>
      </c>
      <c r="F22" s="205">
        <v>155186632.34</v>
      </c>
      <c r="H22" s="116"/>
      <c r="I22" s="116"/>
      <c r="J22" s="116"/>
    </row>
    <row r="23" spans="2:14" x14ac:dyDescent="0.25">
      <c r="B23" s="74" t="s">
        <v>173</v>
      </c>
      <c r="C23" s="205">
        <v>304039806.38</v>
      </c>
      <c r="D23" s="205" t="s">
        <v>168</v>
      </c>
      <c r="E23" s="205">
        <v>10156125.859999999</v>
      </c>
      <c r="F23" s="205">
        <v>314195932.24000001</v>
      </c>
      <c r="H23" s="116"/>
      <c r="I23" s="116"/>
      <c r="J23" s="116"/>
    </row>
    <row r="24" spans="2:14" x14ac:dyDescent="0.25">
      <c r="B24" s="74" t="s">
        <v>125</v>
      </c>
      <c r="C24" s="205">
        <v>254247035.77657601</v>
      </c>
      <c r="D24" s="205">
        <v>42097257.998971999</v>
      </c>
      <c r="E24" s="205">
        <v>287387072.25986999</v>
      </c>
      <c r="F24" s="205">
        <v>583731366.03541803</v>
      </c>
      <c r="H24" s="116"/>
      <c r="I24" s="116"/>
      <c r="J24" s="116"/>
    </row>
    <row r="25" spans="2:14" x14ac:dyDescent="0.25">
      <c r="B25" s="74" t="s">
        <v>126</v>
      </c>
      <c r="C25" s="205">
        <v>331299755.438191</v>
      </c>
      <c r="D25" s="205">
        <v>48709000.229927003</v>
      </c>
      <c r="E25" s="205">
        <v>214528065.81951401</v>
      </c>
      <c r="F25" s="205">
        <v>594536821.48763204</v>
      </c>
      <c r="H25" s="116"/>
      <c r="I25" s="116"/>
      <c r="J25" s="116"/>
    </row>
    <row r="26" spans="2:14" x14ac:dyDescent="0.25">
      <c r="B26" s="74" t="s">
        <v>127</v>
      </c>
      <c r="C26" s="205">
        <v>387876799.67017603</v>
      </c>
      <c r="D26" s="205">
        <v>33922249.765463002</v>
      </c>
      <c r="E26" s="205">
        <v>443193790.22955197</v>
      </c>
      <c r="F26" s="205">
        <v>864992839.66519105</v>
      </c>
      <c r="H26" s="116"/>
      <c r="I26" s="116"/>
      <c r="J26" s="116"/>
    </row>
    <row r="27" spans="2:14" x14ac:dyDescent="0.25">
      <c r="B27" s="74" t="s">
        <v>128</v>
      </c>
      <c r="C27" s="205">
        <v>573076262.17522895</v>
      </c>
      <c r="D27" s="205">
        <v>93927199.401954994</v>
      </c>
      <c r="E27" s="205">
        <v>10504324.605</v>
      </c>
      <c r="F27" s="205">
        <v>677507786.18218398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145181643.14490199</v>
      </c>
      <c r="G32" s="116"/>
      <c r="H32" s="116"/>
      <c r="I32" s="116"/>
    </row>
    <row r="33" spans="2:14" x14ac:dyDescent="0.25">
      <c r="B33" s="84" t="s">
        <v>133</v>
      </c>
      <c r="C33" s="206">
        <v>218811764.803516</v>
      </c>
      <c r="G33" s="116"/>
      <c r="H33" s="116"/>
      <c r="I33" s="116"/>
    </row>
    <row r="34" spans="2:14" x14ac:dyDescent="0.25">
      <c r="B34" s="84" t="s">
        <v>134</v>
      </c>
      <c r="C34" s="205">
        <v>119458756.82158899</v>
      </c>
      <c r="G34" s="116"/>
      <c r="H34" s="116"/>
      <c r="I34" s="116"/>
    </row>
    <row r="35" spans="2:14" x14ac:dyDescent="0.25">
      <c r="B35" s="84" t="s">
        <v>135</v>
      </c>
      <c r="C35" s="205">
        <v>527465393.62019598</v>
      </c>
      <c r="G35" s="116"/>
      <c r="H35" s="116"/>
      <c r="I35" s="116"/>
    </row>
    <row r="36" spans="2:14" x14ac:dyDescent="0.25">
      <c r="B36" s="84" t="s">
        <v>136</v>
      </c>
      <c r="C36" s="205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184</v>
      </c>
      <c r="C41" s="226"/>
      <c r="D41" s="227"/>
      <c r="E41" s="67" t="s">
        <v>138</v>
      </c>
      <c r="F41" s="73">
        <f ca="1">IF(MONTH(TODAY())=6,DAY(TODAY())/DAY(EOMONTH(TODAY(),0)),IF(MONTH(TODAY())&gt;6,1,0))</f>
        <v>0.73333333333333328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5053678085.7562141</v>
      </c>
      <c r="F43" s="44">
        <f>IFERROR(E43/D43,0)</f>
        <v>0.69616801539497697</v>
      </c>
      <c r="G43" s="118">
        <f>D43-E43</f>
        <v>2205601246.2437859</v>
      </c>
      <c r="H43" s="118">
        <f ca="1">IFERROR(G43/C3,0)</f>
        <v>275700155.78047323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737884876.56650293</v>
      </c>
      <c r="F44" s="44">
        <f>IFERROR(E44/D44,0)</f>
        <v>0.40780073918855952</v>
      </c>
      <c r="G44" s="118">
        <f>D44-E44</f>
        <v>1071540182.4334971</v>
      </c>
      <c r="H44" s="118">
        <f ca="1">IFERROR(G44/C3,0)</f>
        <v>133942522.80418713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1011328558.390203</v>
      </c>
      <c r="F45" s="44">
        <f>IFERROR(E45/D45,0)</f>
        <v>0.55238166461267268</v>
      </c>
      <c r="G45" s="118">
        <f>D45-E45</f>
        <v>819522505.609797</v>
      </c>
      <c r="H45" s="118">
        <f ca="1">IFERROR(G45/C3,0)</f>
        <v>102440313.20122463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6802891520.7129192</v>
      </c>
      <c r="F46" s="43">
        <f>IFERROR(E46/D46,0)</f>
        <v>0.62414394319102251</v>
      </c>
      <c r="G46" s="119">
        <f>G43+G44+G45</f>
        <v>4096663934.2870798</v>
      </c>
      <c r="H46" s="119">
        <f ca="1">IFERROR(G46/C3,0)</f>
        <v>512082991.78588498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254247035.77657601</v>
      </c>
      <c r="H51" s="122">
        <f>N8</f>
        <v>42097257.998971999</v>
      </c>
      <c r="I51" s="122">
        <f t="shared" ref="I51:I64" si="1">G51+H51</f>
        <v>296344293.77554798</v>
      </c>
      <c r="J51" s="61">
        <f t="shared" ref="J51:J64" si="2">IFERROR(I51/F51,0)</f>
        <v>0.53538726532461189</v>
      </c>
      <c r="K51" s="51">
        <f t="shared" ref="K51:M64" si="3">D51-G51</f>
        <v>197436442.22342399</v>
      </c>
      <c r="L51" s="51">
        <f t="shared" si="3"/>
        <v>59733165.001028001</v>
      </c>
      <c r="M51" s="51">
        <f t="shared" si="3"/>
        <v>257169607.22445202</v>
      </c>
      <c r="N51" s="51">
        <f ca="1">IFERROR(M51/C3,0)</f>
        <v>32146200.903056502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379189288.75834596</v>
      </c>
      <c r="H52" s="122">
        <f>N9</f>
        <v>112509187.672746</v>
      </c>
      <c r="I52" s="122">
        <f t="shared" si="1"/>
        <v>491698476.43109196</v>
      </c>
      <c r="J52" s="61">
        <f t="shared" si="2"/>
        <v>0.60309702410178312</v>
      </c>
      <c r="K52" s="54">
        <f t="shared" si="3"/>
        <v>210993082.24165404</v>
      </c>
      <c r="L52" s="54">
        <f t="shared" si="3"/>
        <v>112597618.327254</v>
      </c>
      <c r="M52" s="54">
        <f t="shared" si="3"/>
        <v>323590700.56890804</v>
      </c>
      <c r="N52" s="54">
        <f ca="1">IFERROR(M52/C3,0)</f>
        <v>40448837.571113504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148159605.5</v>
      </c>
      <c r="H53" s="122">
        <f>IF(D22="",0,D22)</f>
        <v>0</v>
      </c>
      <c r="I53" s="122">
        <f>G53+H53</f>
        <v>148159605.5</v>
      </c>
      <c r="J53" s="61">
        <f>IFERROR(I53/F53,0)</f>
        <v>0.61356524772754562</v>
      </c>
      <c r="K53" s="54">
        <f>D53-G53</f>
        <v>93313662.5</v>
      </c>
      <c r="L53" s="54">
        <f>E53-H53</f>
        <v>0</v>
      </c>
      <c r="M53" s="54">
        <f>F53-I53</f>
        <v>93313662.5</v>
      </c>
      <c r="N53" s="54">
        <f ca="1">IFERROR(M53/C3,0)</f>
        <v>11664207.8125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734162511.56037199</v>
      </c>
      <c r="H54" s="122">
        <f t="shared" ref="H54:H58" si="4">N10</f>
        <v>22337883.425106</v>
      </c>
      <c r="I54" s="122">
        <f t="shared" si="1"/>
        <v>756500394.98547804</v>
      </c>
      <c r="J54" s="61">
        <f t="shared" si="2"/>
        <v>1.0417901183669582</v>
      </c>
      <c r="K54" s="54">
        <f>D54-G54</f>
        <v>-88450039.560371995</v>
      </c>
      <c r="L54" s="54">
        <f t="shared" si="3"/>
        <v>58103964.574893996</v>
      </c>
      <c r="M54" s="54">
        <f t="shared" si="3"/>
        <v>-30346074.985478044</v>
      </c>
      <c r="N54" s="54">
        <f ca="1">IFERROR(M54/C3,0)</f>
        <v>-3793259.3731847554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252074323.43939</v>
      </c>
      <c r="H55" s="122">
        <f t="shared" si="4"/>
        <v>46234425.210000001</v>
      </c>
      <c r="I55" s="122">
        <f t="shared" si="1"/>
        <v>298308748.64938998</v>
      </c>
      <c r="J55" s="61">
        <f t="shared" si="2"/>
        <v>0.50608991821390759</v>
      </c>
      <c r="K55" s="54">
        <f t="shared" si="3"/>
        <v>256844508.56061</v>
      </c>
      <c r="L55" s="54">
        <f t="shared" si="3"/>
        <v>34284978.789999999</v>
      </c>
      <c r="M55" s="54">
        <f t="shared" si="3"/>
        <v>291129487.35061002</v>
      </c>
      <c r="N55" s="54">
        <f ca="1">IFERROR(M55/C3,0)</f>
        <v>36391185.918826252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378215569.01279998</v>
      </c>
      <c r="H56" s="122">
        <f t="shared" si="4"/>
        <v>79275448.542796999</v>
      </c>
      <c r="I56" s="122">
        <f t="shared" si="1"/>
        <v>457491017.55559695</v>
      </c>
      <c r="J56" s="61">
        <f t="shared" si="2"/>
        <v>0.87606275618595209</v>
      </c>
      <c r="K56" s="54">
        <f t="shared" si="3"/>
        <v>61847714.987200022</v>
      </c>
      <c r="L56" s="54">
        <f t="shared" si="3"/>
        <v>2873876.4572030008</v>
      </c>
      <c r="M56" s="54">
        <f t="shared" si="3"/>
        <v>64721591.444403052</v>
      </c>
      <c r="N56" s="54">
        <f ca="1">IFERROR(M56/C3,0)</f>
        <v>8090198.9305503815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683565535.57919395</v>
      </c>
      <c r="H57" s="122">
        <f t="shared" si="4"/>
        <v>54203774.369935997</v>
      </c>
      <c r="I57" s="122">
        <f t="shared" si="1"/>
        <v>737769309.94912994</v>
      </c>
      <c r="J57" s="61">
        <f t="shared" si="2"/>
        <v>0.65740371542195408</v>
      </c>
      <c r="K57" s="54">
        <f t="shared" si="3"/>
        <v>313192809.42080605</v>
      </c>
      <c r="L57" s="54">
        <f t="shared" si="3"/>
        <v>71284823.630064011</v>
      </c>
      <c r="M57" s="54">
        <f t="shared" si="3"/>
        <v>384477633.05087006</v>
      </c>
      <c r="N57" s="54">
        <f ca="1">IFERROR(M57/C3,0)</f>
        <v>48059704.131358758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331299755.438191</v>
      </c>
      <c r="H58" s="122">
        <f t="shared" si="4"/>
        <v>48709000.229927003</v>
      </c>
      <c r="I58" s="122">
        <f>G58+H58</f>
        <v>380008755.668118</v>
      </c>
      <c r="J58" s="61">
        <f>IFERROR(I58/F58,0)</f>
        <v>0.59597205050856217</v>
      </c>
      <c r="K58" s="54">
        <f t="shared" si="3"/>
        <v>208987303.561809</v>
      </c>
      <c r="L58" s="54">
        <f t="shared" si="3"/>
        <v>48632425.770072997</v>
      </c>
      <c r="M58" s="54">
        <f t="shared" si="3"/>
        <v>257619729.331882</v>
      </c>
      <c r="N58" s="54">
        <f ca="1">IFERROR(M58/C3,0)</f>
        <v>32202466.16648525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304039806.38</v>
      </c>
      <c r="H59" s="122">
        <f>IF(D23="",0,D23)</f>
        <v>0</v>
      </c>
      <c r="I59" s="122">
        <f>G59+H59</f>
        <v>304039806.38</v>
      </c>
      <c r="J59" s="61">
        <f>IFERROR(I59/F59,0)</f>
        <v>0.75232487036764151</v>
      </c>
      <c r="K59" s="54">
        <f>D59-G59</f>
        <v>100093857.62</v>
      </c>
      <c r="L59" s="54">
        <f>E59-H59</f>
        <v>0</v>
      </c>
      <c r="M59" s="54">
        <f>F59-I59</f>
        <v>100093857.62</v>
      </c>
      <c r="N59" s="54">
        <f ca="1">IFERROR(M59/C3,0)</f>
        <v>12511732.202500001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261706349.523938</v>
      </c>
      <c r="H60" s="122">
        <f t="shared" ref="H60:H64" si="5">N15</f>
        <v>61268244.690229997</v>
      </c>
      <c r="I60" s="122">
        <f t="shared" si="1"/>
        <v>322974594.21416801</v>
      </c>
      <c r="J60" s="61">
        <f t="shared" si="2"/>
        <v>0.52856389852660812</v>
      </c>
      <c r="K60" s="54">
        <f t="shared" si="3"/>
        <v>177310959.476062</v>
      </c>
      <c r="L60" s="54">
        <f t="shared" si="3"/>
        <v>110756167.30977</v>
      </c>
      <c r="M60" s="54">
        <f t="shared" si="3"/>
        <v>288067126.78583199</v>
      </c>
      <c r="N60" s="54">
        <f ca="1">IFERROR(M60/C3,0)</f>
        <v>36008390.848228998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387876799.67017603</v>
      </c>
      <c r="H61" s="122">
        <f t="shared" si="5"/>
        <v>33922249.765463002</v>
      </c>
      <c r="I61" s="122">
        <f t="shared" si="1"/>
        <v>421799049.43563902</v>
      </c>
      <c r="J61" s="61">
        <f t="shared" si="2"/>
        <v>0.5557803387600786</v>
      </c>
      <c r="K61" s="54">
        <f t="shared" si="3"/>
        <v>278752796.32982397</v>
      </c>
      <c r="L61" s="54">
        <f t="shared" si="3"/>
        <v>58379372.234536998</v>
      </c>
      <c r="M61" s="54">
        <f t="shared" si="3"/>
        <v>337132168.56436098</v>
      </c>
      <c r="N61" s="54">
        <f ca="1">IFERROR(M61/C3,0)</f>
        <v>42141521.070545122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239547739.734368</v>
      </c>
      <c r="H62" s="122">
        <f t="shared" si="5"/>
        <v>29458987.892499</v>
      </c>
      <c r="I62" s="122">
        <f t="shared" si="1"/>
        <v>269006727.626867</v>
      </c>
      <c r="J62" s="61">
        <f t="shared" si="2"/>
        <v>0.51845005455214177</v>
      </c>
      <c r="K62" s="54">
        <f t="shared" si="3"/>
        <v>181995283.265632</v>
      </c>
      <c r="L62" s="54">
        <f t="shared" si="3"/>
        <v>67865188.107501</v>
      </c>
      <c r="M62" s="54">
        <f t="shared" si="3"/>
        <v>249860471.373133</v>
      </c>
      <c r="N62" s="54">
        <f ca="1">IFERROR(M62/C3,0)</f>
        <v>31232558.921641625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573076262.17522895</v>
      </c>
      <c r="H63" s="122">
        <f t="shared" si="5"/>
        <v>93927199.401954994</v>
      </c>
      <c r="I63" s="122">
        <f t="shared" si="1"/>
        <v>667003461.57718396</v>
      </c>
      <c r="J63" s="61">
        <f t="shared" si="2"/>
        <v>0.67942476768711846</v>
      </c>
      <c r="K63" s="54">
        <f t="shared" si="3"/>
        <v>45274679.824771047</v>
      </c>
      <c r="L63" s="54">
        <f t="shared" si="3"/>
        <v>269439766.59804499</v>
      </c>
      <c r="M63" s="54">
        <f t="shared" si="3"/>
        <v>314714446.42281604</v>
      </c>
      <c r="N63" s="54">
        <f ca="1">IFERROR(M63/C3,0)</f>
        <v>39339305.802852005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126517503.207634</v>
      </c>
      <c r="H64" s="122">
        <f t="shared" si="5"/>
        <v>113941217.366872</v>
      </c>
      <c r="I64" s="122">
        <f t="shared" si="1"/>
        <v>240458720.57450598</v>
      </c>
      <c r="J64" s="61">
        <f t="shared" si="2"/>
        <v>0.41030008468802953</v>
      </c>
      <c r="K64" s="54">
        <f t="shared" si="3"/>
        <v>168008185.792366</v>
      </c>
      <c r="L64" s="54">
        <f t="shared" si="3"/>
        <v>177588835.63312799</v>
      </c>
      <c r="M64" s="54">
        <f t="shared" si="3"/>
        <v>345597021.42549402</v>
      </c>
      <c r="N64" s="54">
        <f ca="1">IFERROR(M64/C3,0)</f>
        <v>43199627.678186752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5053678085.7562141</v>
      </c>
      <c r="H65" s="152">
        <f>SUM(H51:H64)</f>
        <v>737884876.56650293</v>
      </c>
      <c r="I65" s="152">
        <f>SUM(I51:I64)</f>
        <v>5791562962.3227177</v>
      </c>
      <c r="J65" s="153">
        <f>IFERROR(I65/F65,0)</f>
        <v>0.63863179486481048</v>
      </c>
      <c r="K65" s="154">
        <f>SUM(K51:K64)</f>
        <v>2205601246.2437859</v>
      </c>
      <c r="L65" s="154">
        <f>SUM(L51:L64)</f>
        <v>1071540182.433497</v>
      </c>
      <c r="M65" s="154">
        <f>SUM(M51:M64)</f>
        <v>3277141428.6772833</v>
      </c>
      <c r="N65" s="154">
        <f ca="1">IFERROR(M65/C3,0)</f>
        <v>409642678.58466041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91">
        <v>287387072.25986999</v>
      </c>
    </row>
    <row r="71" spans="2:14" ht="20.100000000000001" customHeight="1" x14ac:dyDescent="0.25">
      <c r="B71" s="53" t="s">
        <v>69</v>
      </c>
      <c r="C71" s="56" t="s">
        <v>70</v>
      </c>
      <c r="D71" s="192">
        <v>70533953.520000011</v>
      </c>
    </row>
    <row r="72" spans="2:14" ht="20.100000000000001" customHeight="1" x14ac:dyDescent="0.25">
      <c r="B72" s="53" t="s">
        <v>175</v>
      </c>
      <c r="C72" s="56" t="s">
        <v>176</v>
      </c>
      <c r="D72" s="192">
        <v>7027026.8399999999</v>
      </c>
    </row>
    <row r="73" spans="2:14" ht="20.100000000000001" customHeight="1" x14ac:dyDescent="0.25">
      <c r="B73" s="50" t="s">
        <v>71</v>
      </c>
      <c r="C73" s="55" t="s">
        <v>72</v>
      </c>
      <c r="D73" s="191">
        <v>192728793.15000001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92">
        <v>29545792.469999999</v>
      </c>
    </row>
    <row r="76" spans="2:14" ht="20.100000000000001" customHeight="1" x14ac:dyDescent="0.25">
      <c r="B76" s="53" t="s">
        <v>76</v>
      </c>
      <c r="C76" s="56" t="s">
        <v>77</v>
      </c>
      <c r="D76" s="192">
        <v>1083282108.97997</v>
      </c>
    </row>
    <row r="77" spans="2:14" ht="20.100000000000001" customHeight="1" x14ac:dyDescent="0.25">
      <c r="B77" s="50" t="s">
        <v>78</v>
      </c>
      <c r="C77" s="55" t="s">
        <v>79</v>
      </c>
      <c r="D77" s="191">
        <v>214528065.81951401</v>
      </c>
    </row>
    <row r="78" spans="2:14" ht="20.100000000000001" customHeight="1" x14ac:dyDescent="0.25">
      <c r="B78" s="53" t="s">
        <v>175</v>
      </c>
      <c r="C78" s="56" t="s">
        <v>177</v>
      </c>
      <c r="D78" s="192">
        <v>10156125.859999999</v>
      </c>
    </row>
    <row r="79" spans="2:14" ht="20.100000000000001" customHeight="1" x14ac:dyDescent="0.25">
      <c r="B79" s="53" t="s">
        <v>80</v>
      </c>
      <c r="C79" s="56" t="s">
        <v>81</v>
      </c>
      <c r="D79" s="192">
        <v>2984684.68</v>
      </c>
    </row>
    <row r="80" spans="2:14" ht="20.100000000000001" customHeight="1" x14ac:dyDescent="0.25">
      <c r="B80" s="50" t="s">
        <v>82</v>
      </c>
      <c r="C80" s="55" t="s">
        <v>83</v>
      </c>
      <c r="D80" s="191">
        <v>443193790.22955197</v>
      </c>
    </row>
    <row r="81" spans="2:9" ht="20.100000000000001" customHeight="1" x14ac:dyDescent="0.25">
      <c r="B81" s="53" t="s">
        <v>84</v>
      </c>
      <c r="C81" s="56" t="s">
        <v>85</v>
      </c>
      <c r="D81" s="192">
        <v>116563996.94</v>
      </c>
    </row>
    <row r="82" spans="2:9" ht="20.100000000000001" customHeight="1" x14ac:dyDescent="0.25">
      <c r="B82" s="50" t="s">
        <v>86</v>
      </c>
      <c r="C82" s="55" t="s">
        <v>87</v>
      </c>
      <c r="D82" s="192">
        <v>10504324.605</v>
      </c>
    </row>
    <row r="83" spans="2:9" ht="20.100000000000001" customHeight="1" x14ac:dyDescent="0.25">
      <c r="B83" s="53" t="s">
        <v>88</v>
      </c>
      <c r="C83" s="56" t="s">
        <v>89</v>
      </c>
      <c r="D83" s="192">
        <v>50389190.140000001</v>
      </c>
    </row>
    <row r="84" spans="2:9" ht="20.100000000000001" customHeight="1" x14ac:dyDescent="0.25">
      <c r="B84" s="57" t="s">
        <v>152</v>
      </c>
      <c r="C84" s="58"/>
      <c r="D84" s="129">
        <f>SUM(D70:D83)</f>
        <v>2518824925.493906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145181643.14490199</v>
      </c>
      <c r="F89" s="61">
        <f t="shared" ref="F89:F94" si="7">IFERROR(E89/D89,0)</f>
        <v>0.50846272533539338</v>
      </c>
      <c r="G89" s="125">
        <f>D89-E89</f>
        <v>140348909.85509801</v>
      </c>
      <c r="H89" s="125">
        <f ca="1">IFERROR(G89/C3,0)</f>
        <v>17543613.731887251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218811764.803516</v>
      </c>
      <c r="F90" s="61">
        <f t="shared" si="7"/>
        <v>0.51025119235191752</v>
      </c>
      <c r="G90" s="126">
        <f>D90-E90</f>
        <v>210019697.196484</v>
      </c>
      <c r="H90" s="126">
        <f ca="1">IFERROR(G90/C3,0)</f>
        <v>26252462.1495605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647335150.44178498</v>
      </c>
      <c r="F91" s="61">
        <f t="shared" si="7"/>
        <v>0.57979534239192076</v>
      </c>
      <c r="G91" s="125">
        <f>D91-E91</f>
        <v>469153898.55821502</v>
      </c>
      <c r="H91" s="125">
        <f ca="1">IFERROR(G91/C3,0)</f>
        <v>58644237.319776878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1011328558.390203</v>
      </c>
      <c r="F94" s="43">
        <f t="shared" si="7"/>
        <v>0.55238166461267268</v>
      </c>
      <c r="G94" s="119">
        <f>SUM(G89:G93)</f>
        <v>819522505.609797</v>
      </c>
      <c r="H94" s="119">
        <f ca="1">IFERROR(G94/C3,0)</f>
        <v>102440313.20122463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7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179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181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2026-06-22T00:51:26Z</dcterms:modified>
  <dc:language>en-US</dc:language>
</cp:coreProperties>
</file>