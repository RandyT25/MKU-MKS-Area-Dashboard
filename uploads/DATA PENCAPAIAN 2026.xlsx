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<sst xmlns="http://schemas.openxmlformats.org/spreadsheetml/2006/main" count="1882" uniqueCount="186">
  <si>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</si>
  <si>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</si>
  <si>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</si>
  <si>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</si>
  <si>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</si>
  <si>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</si>
  <si>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</si>
  <si>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</si>
  <si>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</si>
  <si>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</si>
  <si>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</si>
  <si>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</si>
  <si>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</si>
  <si>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</si>
  <si>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</si>
  <si>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</si>
  <si>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</si>
  <si>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</si>
  <si>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</si>
  <si>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</si>
  <si>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</si>
  <si>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</si>
  <si>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</si>
  <si>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</si>
  <si>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</si>
  <si>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</si>
  <si>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</si>
  <si>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</si>
  <si>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</si>
  <si>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</si>
  <si>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</si>
  <si>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</si>
  <si>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</si>
  <si>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</si>
  <si>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</si>
  <si>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</si>
  <si>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</si>
  <si>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</si>
  <si>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</si>
  <si>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</si>
  <si>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</si>
  <si>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</si>
  <si>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</si>
  <si>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</si>
  <si>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</si>
  <si>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</si>
  <si>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</si>
  <si>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</si>
  <si>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</si>
  <si>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</si>
  <si>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</si>
  <si>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</si>
  <si>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</si>
  <si>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</si>
  <si>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</si>
  <si>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</si>
  <si>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</si>
  <si>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</si>
  <si>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</si>
  <si>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</si>
  <si>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</si>
  <si>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</si>
  <si>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</si>
  <si>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</si>
  <si>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</si>
  <si>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</si>
  <si>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</si>
  <si>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</si>
  <si>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</si>
  <si>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</si>
  <si>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</si>
  <si>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</si>
  <si>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</si>
  <si>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</si>
  <si>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</si>
  <si>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</si>
  <si>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</si>
  <si>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</si>
  <si>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</si>
  <si>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</si>
  <si>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</si>
  <si>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</si>
  <si>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</si>
  <si>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</si>
  <si>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</si>
  <si>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</si>
  <si>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</si>
  <si>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</si>
  <si>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</si>
  <si>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</si>
  <si>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</si>
  <si>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</si>
  <si>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</si>
  <si>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</si>
  <si>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</si>
  <si>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</si>
  <si>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</si>
  <si>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</si>
  <si>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</si>
  <si>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</si>
  <si>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</si>
  <si>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</si>
  <si>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</si>
  <si>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</si>
  <si>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</si>
  <si>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</si>
  <si>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</si>
  <si>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</si>
  <si>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</si>
  <si>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</si>
  <si>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</si>
  <si>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</si>
  <si>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</si>
  <si>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</si>
  <si>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</si>
  <si>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</si>
  <si>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</si>
  <si>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</si>
  <si>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</si>
  <si>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</si>
  <si>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</si>
  <si>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</si>
  <si>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</si>
  <si>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</si>
  <si>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</si>
  <si>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</si>
  <si>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</si>
  <si>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</si>
  <si>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</si>
  <si>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</si>
  <si>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</si>
  <si>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</si>
  <si>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</si>
  <si>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</si>
  <si>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</si>
  <si>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</si>
  <si>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</si>
  <si>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</si>
  <si>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</si>
  <si>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</si>
  <si>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</si>
  <si>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</si>
  <si>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</si>
  <si>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</si>
  <si>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</si>
  <si>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</si>
  <si>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</si>
  <si>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</si>
  <si>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</si>
  <si>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</si>
  <si>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</si>
  <si>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</si>
  <si>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</si>
  <si>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</si>
  <si>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</si>
  <si>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</si>
  <si>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</si>
  <si>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</si>
  <si>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</si>
  <si>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</si>
  <si>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</si>
  <si>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</si>
  <si>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</si>
  <si>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</si>
  <si>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</si>
  <si>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</si>
  <si>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</si>
  <si>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</si>
  <si>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</si>
  <si>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</si>
  <si>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</si>
  <si>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</si>
  <si>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</si>
  <si>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</si>
  <si>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</si>
  <si>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</si>
  <si>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</si>
  <si>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</si>
  <si>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</si>
  <si>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</si>
  <si>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</si>
  <si>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</si>
  <si>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</si>
  <si>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</si>
  <si>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</si>
  <si>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03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</si>
</sst>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25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25311763.20846428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22223493.188667633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4390900.5895885089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51926156.98672042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6077764.933062532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5437985.3994907998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1756216.8879999996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-1613948.299441085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5231775.104461045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3227500.1781977462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-1004685.4267495823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4432577.1294116024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4144485.6068009995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3024477.9062912152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7089446.2962351302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4734973.1264869142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1384227.3185198165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3612460.2363648154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47535256.39713195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-534519.11665089848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-741179.30951529741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5666599.015754709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4390900.5895885136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77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0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3.570312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25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47379661.303833999</v>
      </c>
      <c r="N8" s="11">
        <f>D24</f>
        <v>9042378.3799840007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89468120.455561996</v>
      </c>
      <c r="N9" s="11">
        <f>D12+D13</f>
        <v>46768601.748334996</v>
      </c>
    </row>
    <row r="10" spans="2:14" x14ac:dyDescent="0.25">
      <c r="B10" s="74" t="s">
        <v>113</v>
      </c>
      <c r="C10" s="206">
        <v>56761243.689806998</v>
      </c>
      <c r="D10" s="206">
        <v>2978246.0857000002</v>
      </c>
      <c r="E10" s="206">
        <v>16861260.780000001</v>
      </c>
      <c r="F10" s="206">
        <v>76600750.555507004</v>
      </c>
      <c r="H10" s="116"/>
      <c r="I10" s="116"/>
      <c r="J10" s="116"/>
      <c r="M10" s="11">
        <f>C14</f>
        <v>84288343.942548007</v>
      </c>
      <c r="N10" s="11">
        <f>D14</f>
        <v>597878.38</v>
      </c>
    </row>
    <row r="11" spans="2:14" x14ac:dyDescent="0.25">
      <c r="B11" s="74" t="s">
        <v>114</v>
      </c>
      <c r="C11" s="206">
        <v>62895178.115650997</v>
      </c>
      <c r="D11" s="206">
        <v>8874463.0679589994</v>
      </c>
      <c r="E11" s="206">
        <v>720720.7</v>
      </c>
      <c r="F11" s="206">
        <v>72490361.883609995</v>
      </c>
      <c r="H11" s="116"/>
      <c r="I11" s="116"/>
      <c r="J11" s="116"/>
      <c r="M11" s="11">
        <f>C17</f>
        <v>59684684.999750003</v>
      </c>
      <c r="N11" s="11">
        <f>D17</f>
        <v>12735432.119999999</v>
      </c>
    </row>
    <row r="12" spans="2:14" x14ac:dyDescent="0.25">
      <c r="B12" s="74" t="s">
        <v>70</v>
      </c>
      <c r="C12" s="206">
        <v>51900282.011716999</v>
      </c>
      <c r="D12" s="206">
        <v>44240642.278334998</v>
      </c>
      <c r="E12" s="206">
        <v>648648.64</v>
      </c>
      <c r="F12" s="206">
        <v>96789572.930051997</v>
      </c>
      <c r="H12" s="116"/>
      <c r="I12" s="116"/>
      <c r="J12" s="116"/>
      <c r="M12" s="11">
        <f>C16</f>
        <v>62884334.713885002</v>
      </c>
      <c r="N12" s="11">
        <f>D16</f>
        <v>16719681.629977001</v>
      </c>
    </row>
    <row r="13" spans="2:14" x14ac:dyDescent="0.25">
      <c r="B13" s="74" t="s">
        <v>115</v>
      </c>
      <c r="C13" s="206">
        <v>37567838.443844996</v>
      </c>
      <c r="D13" s="206">
        <v>2527959.4700000002</v>
      </c>
      <c r="E13" s="206">
        <v>972972.96</v>
      </c>
      <c r="F13" s="206">
        <v>41068770.873845004</v>
      </c>
      <c r="H13" s="116"/>
      <c r="I13" s="116"/>
      <c r="J13" s="116"/>
      <c r="M13" s="11">
        <f>C19</f>
        <v>187626664.335841</v>
      </c>
      <c r="N13" s="11">
        <f>D19</f>
        <v>9648259.4399980009</v>
      </c>
    </row>
    <row r="14" spans="2:14" x14ac:dyDescent="0.25">
      <c r="B14" s="74" t="s">
        <v>116</v>
      </c>
      <c r="C14" s="206">
        <v>84288343.942548007</v>
      </c>
      <c r="D14" s="206">
        <v>597878.38</v>
      </c>
      <c r="E14" s="206">
        <v>33153152.760000002</v>
      </c>
      <c r="F14" s="206">
        <v>118039375.08254801</v>
      </c>
      <c r="H14" s="116"/>
      <c r="I14" s="116"/>
      <c r="J14" s="116"/>
      <c r="M14" s="11">
        <f>C25</f>
        <v>52975046.856425002</v>
      </c>
      <c r="N14" s="11">
        <f>D25</f>
        <v>3661286.499996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62895178.115650997</v>
      </c>
      <c r="N15" s="11">
        <f>D11</f>
        <v>8874463.0679589994</v>
      </c>
    </row>
    <row r="16" spans="2:14" x14ac:dyDescent="0.25">
      <c r="B16" s="74" t="s">
        <v>74</v>
      </c>
      <c r="C16" s="206">
        <v>62884334.713885002</v>
      </c>
      <c r="D16" s="206">
        <v>16719681.629977001</v>
      </c>
      <c r="E16" s="206">
        <v>720720.7</v>
      </c>
      <c r="F16" s="206">
        <v>80324737.043862</v>
      </c>
      <c r="H16" s="116"/>
      <c r="I16" s="116"/>
      <c r="J16" s="116"/>
      <c r="M16" s="11">
        <f>C26</f>
        <v>60714762.488738</v>
      </c>
      <c r="N16" s="11">
        <f>D26</f>
        <v>4013935.1599989999</v>
      </c>
    </row>
    <row r="17" spans="2:14" x14ac:dyDescent="0.25">
      <c r="B17" s="74" t="s">
        <v>118</v>
      </c>
      <c r="C17" s="206">
        <v>59684684.999750003</v>
      </c>
      <c r="D17" s="206">
        <v>12735432.119999999</v>
      </c>
      <c r="E17" s="206" t="s">
        <v>168</v>
      </c>
      <c r="F17" s="206">
        <v>72420117.119749993</v>
      </c>
      <c r="H17" s="116"/>
      <c r="I17" s="116"/>
      <c r="J17" s="116"/>
      <c r="M17" s="11">
        <f>C10</f>
        <v>56761243.689806998</v>
      </c>
      <c r="N17" s="11">
        <f>D10</f>
        <v>2978246.0857000002</v>
      </c>
    </row>
    <row r="18" spans="2:14" x14ac:dyDescent="0.25">
      <c r="B18" s="74" t="s">
        <v>119</v>
      </c>
      <c r="C18" s="206">
        <v>157089546.653882</v>
      </c>
      <c r="D18" s="206">
        <v>1567567.8</v>
      </c>
      <c r="E18" s="206">
        <v>713513.52</v>
      </c>
      <c r="F18" s="206">
        <v>159370627.97388199</v>
      </c>
      <c r="H18" s="116"/>
      <c r="I18" s="116"/>
      <c r="J18" s="116"/>
      <c r="M18" s="11">
        <f>C27</f>
        <v>106439933.00985</v>
      </c>
      <c r="N18" s="11">
        <f>D27</f>
        <v>20181594.389754001</v>
      </c>
    </row>
    <row r="19" spans="2:14" x14ac:dyDescent="0.25">
      <c r="B19" s="74" t="s">
        <v>121</v>
      </c>
      <c r="C19" s="206">
        <v>187626664.335841</v>
      </c>
      <c r="D19" s="206">
        <v>9648259.4399980009</v>
      </c>
      <c r="E19" s="206">
        <v>165220720.55000001</v>
      </c>
      <c r="F19" s="206">
        <v>362495644.32583898</v>
      </c>
      <c r="H19" s="116"/>
      <c r="I19" s="116"/>
      <c r="J19" s="116"/>
      <c r="M19" s="11">
        <f>C20+C21</f>
        <v>28334682.000967998</v>
      </c>
      <c r="N19" s="11">
        <f>D20+D21</f>
        <v>13140709.939834001</v>
      </c>
    </row>
    <row r="20" spans="2:14" x14ac:dyDescent="0.25">
      <c r="B20" s="74" t="s">
        <v>123</v>
      </c>
      <c r="C20" s="206">
        <v>19930633.300972998</v>
      </c>
      <c r="D20" s="206">
        <v>504000</v>
      </c>
      <c r="E20" s="206" t="s">
        <v>168</v>
      </c>
      <c r="F20" s="206">
        <v>20434633.300972998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8404048.6999949999</v>
      </c>
      <c r="D21" s="206">
        <v>12636709.939834001</v>
      </c>
      <c r="E21" s="206">
        <v>6151351.5</v>
      </c>
      <c r="F21" s="206">
        <v>27192110.139828999</v>
      </c>
      <c r="H21" s="116"/>
      <c r="I21" s="116"/>
      <c r="J21" s="116"/>
      <c r="M21" s="14">
        <f>IFERROR(C34,0)+IFERROR(C35,0)+M20</f>
        <v>38955481.311250001</v>
      </c>
      <c r="N21" s="10" t="s">
        <v>122</v>
      </c>
    </row>
    <row r="22" spans="2:14" x14ac:dyDescent="0.25">
      <c r="B22" s="74" t="s">
        <v>172</v>
      </c>
      <c r="C22" s="206">
        <v>26980420.100000001</v>
      </c>
      <c r="D22" s="206" t="s">
        <v>168</v>
      </c>
      <c r="E22" s="206" t="s">
        <v>168</v>
      </c>
      <c r="F22" s="206">
        <v>26980420.100000001</v>
      </c>
      <c r="H22" s="116"/>
      <c r="I22" s="116"/>
      <c r="J22" s="116"/>
    </row>
    <row r="23" spans="2:14" x14ac:dyDescent="0.25">
      <c r="B23" s="74" t="s">
        <v>173</v>
      </c>
      <c r="C23" s="206">
        <v>45142878.399999999</v>
      </c>
      <c r="D23" s="206" t="s">
        <v>168</v>
      </c>
      <c r="E23" s="206" t="s">
        <v>168</v>
      </c>
      <c r="F23" s="206">
        <v>45142878.399999999</v>
      </c>
      <c r="H23" s="116"/>
      <c r="I23" s="116"/>
      <c r="J23" s="116"/>
    </row>
    <row r="24" spans="2:14" x14ac:dyDescent="0.25">
      <c r="B24" s="74" t="s">
        <v>125</v>
      </c>
      <c r="C24" s="206">
        <v>47379661.303833999</v>
      </c>
      <c r="D24" s="206">
        <v>9042378.3799840007</v>
      </c>
      <c r="E24" s="206">
        <v>63586486.109999999</v>
      </c>
      <c r="F24" s="206">
        <v>120008525.793818</v>
      </c>
      <c r="H24" s="116"/>
      <c r="I24" s="116"/>
      <c r="J24" s="116"/>
    </row>
    <row r="25" spans="2:14" x14ac:dyDescent="0.25">
      <c r="B25" s="74" t="s">
        <v>126</v>
      </c>
      <c r="C25" s="206">
        <v>52975046.856425002</v>
      </c>
      <c r="D25" s="206">
        <v>3661286.499996</v>
      </c>
      <c r="E25" s="206">
        <v>21153153.419950001</v>
      </c>
      <c r="F25" s="206">
        <v>77789486.776371002</v>
      </c>
      <c r="H25" s="116"/>
      <c r="I25" s="116"/>
      <c r="J25" s="116"/>
    </row>
    <row r="26" spans="2:14" x14ac:dyDescent="0.25">
      <c r="B26" s="74" t="s">
        <v>127</v>
      </c>
      <c r="C26" s="206">
        <v>60714762.488738</v>
      </c>
      <c r="D26" s="206">
        <v>4013935.1599989999</v>
      </c>
      <c r="E26" s="206">
        <v>64840541.059917003</v>
      </c>
      <c r="F26" s="206">
        <v>129569238.708654</v>
      </c>
      <c r="H26" s="116"/>
      <c r="I26" s="116"/>
      <c r="J26" s="116"/>
    </row>
    <row r="27" spans="2:14" x14ac:dyDescent="0.25">
      <c r="B27" s="74" t="s">
        <v>128</v>
      </c>
      <c r="C27" s="206">
        <v>106439933.00985</v>
      </c>
      <c r="D27" s="206">
        <v>20181594.389754001</v>
      </c>
      <c r="E27" s="206" t="s">
        <v>168</v>
      </c>
      <c r="F27" s="206">
        <v>126621527.39960399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28583675.409811001</v>
      </c>
      <c r="G32" s="116"/>
      <c r="H32" s="116"/>
      <c r="I32" s="116"/>
    </row>
    <row r="33" spans="2:14" x14ac:dyDescent="0.25">
      <c r="B33" s="84" t="s">
        <v>133</v>
      </c>
      <c r="C33" s="206">
        <v>85144678.478929996</v>
      </c>
      <c r="G33" s="116"/>
      <c r="H33" s="116"/>
      <c r="I33" s="116"/>
    </row>
    <row r="34" spans="2:14" x14ac:dyDescent="0.25">
      <c r="B34" s="84" t="s">
        <v>134</v>
      </c>
      <c r="C34" s="206">
        <v>19503986.379539002</v>
      </c>
      <c r="G34" s="116"/>
      <c r="H34" s="116"/>
      <c r="I34" s="116"/>
    </row>
    <row r="35" spans="2:14" x14ac:dyDescent="0.25">
      <c r="B35" s="84" t="s">
        <v>135</v>
      </c>
      <c r="C35" s="206">
        <v>19451494.931710999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9.6774193548387094E-2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971575954.41285896</v>
      </c>
      <c r="F43" s="44">
        <f>IFERROR(E43/D43,0)</f>
        <v>0.12224396680227814</v>
      </c>
      <c r="G43" s="118">
        <f>D43-E43</f>
        <v>6976267851.9348307</v>
      </c>
      <c r="H43" s="118">
        <f ca="1">IFERROR(G43/C3,0)</f>
        <v>279050714.07739323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148362466.84153602</v>
      </c>
      <c r="F44" s="44">
        <f>IFERROR(E44/D44,0)</f>
        <v>0.10006198245241354</v>
      </c>
      <c r="G44" s="118">
        <f>D44-E44</f>
        <v>1334343184.2492039</v>
      </c>
      <c r="H44" s="118">
        <f ca="1">IFERROR(G44/C3,0)</f>
        <v>53373727.369968154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152683835.19999099</v>
      </c>
      <c r="F45" s="44">
        <f>IFERROR(E45/D45,0)</f>
        <v>8.2484370740225008E-2</v>
      </c>
      <c r="G45" s="118">
        <f>D45-E45</f>
        <v>1698379994.5872433</v>
      </c>
      <c r="H45" s="118">
        <f ca="1">IFERROR(G45/C3,0)</f>
        <v>67935199.783489734</v>
      </c>
      <c r="I45" s="116"/>
    </row>
    <row r="46" spans="2:14" x14ac:dyDescent="0.25">
      <c r="B46" s="222" t="s">
        <v>146</v>
      </c>
      <c r="C46" s="223"/>
      <c r="D46" s="47">
        <f>D43+D44+D45</f>
        <v>11281613287.225662</v>
      </c>
      <c r="E46" s="47">
        <f>E43+E44+E45</f>
        <v>1272622256.454386</v>
      </c>
      <c r="F46" s="43">
        <f>IFERROR(E46/D46,0)</f>
        <v>0.11280498844038513</v>
      </c>
      <c r="G46" s="119">
        <f>G43+G44+G45</f>
        <v>10008991030.771278</v>
      </c>
      <c r="H46" s="119">
        <f ca="1">IFERROR(G46/C3,0)</f>
        <v>400359641.23085111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47379661.303833999</v>
      </c>
      <c r="H51" s="122">
        <f>N8</f>
        <v>9042378.3799840007</v>
      </c>
      <c r="I51" s="122">
        <f t="shared" ref="I51:I64" si="1">G51+H51</f>
        <v>56422039.683817998</v>
      </c>
      <c r="J51" s="61">
        <f t="shared" ref="J51:J64" si="2">IFERROR(I51/F51,0)</f>
        <v>9.9410560319896396E-2</v>
      </c>
      <c r="K51" s="51">
        <f t="shared" ref="K51:M64" si="3">D51-G51</f>
        <v>443857515.82162941</v>
      </c>
      <c r="L51" s="51">
        <f t="shared" si="3"/>
        <v>67286299.693997443</v>
      </c>
      <c r="M51" s="51">
        <f t="shared" si="3"/>
        <v>511143815.51562691</v>
      </c>
      <c r="N51" s="51">
        <f ca="1">IFERROR(M51/C3,0)</f>
        <v>20445752.620625075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89468120.455561996</v>
      </c>
      <c r="H52" s="122">
        <f>N9</f>
        <v>46768601.748334996</v>
      </c>
      <c r="I52" s="122">
        <f t="shared" si="1"/>
        <v>136236722.203897</v>
      </c>
      <c r="J52" s="61">
        <f t="shared" si="2"/>
        <v>0.16243366335829854</v>
      </c>
      <c r="K52" s="54">
        <f t="shared" si="3"/>
        <v>567989039.39618766</v>
      </c>
      <c r="L52" s="54">
        <f t="shared" si="3"/>
        <v>134496455.1326873</v>
      </c>
      <c r="M52" s="54">
        <f t="shared" si="3"/>
        <v>702485494.52887499</v>
      </c>
      <c r="N52" s="54">
        <f ca="1">IFERROR(M52/C3,0)</f>
        <v>28099419.781155001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26980420.100000001</v>
      </c>
      <c r="H53" s="122">
        <f>IF(D22="",0,D22)</f>
        <v>0</v>
      </c>
      <c r="I53" s="122">
        <f>G53+H53</f>
        <v>26980420.100000001</v>
      </c>
      <c r="J53" s="61">
        <f>IFERROR(I53/F53,0)</f>
        <v>0.10837443681011477</v>
      </c>
      <c r="K53" s="54">
        <f>D53-G53</f>
        <v>221975153.68787572</v>
      </c>
      <c r="L53" s="54">
        <f>E53-H53</f>
        <v>0</v>
      </c>
      <c r="M53" s="54">
        <f>F53-I53</f>
        <v>221975153.68787572</v>
      </c>
      <c r="N53" s="54">
        <f ca="1">IFERROR(M53/C3,0)</f>
        <v>8879006.1475150287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84288343.942548007</v>
      </c>
      <c r="H54" s="122">
        <f t="shared" ref="H54:H58" si="4">N10</f>
        <v>597878.38</v>
      </c>
      <c r="I54" s="122">
        <f t="shared" si="1"/>
        <v>84886222.322548002</v>
      </c>
      <c r="J54" s="61">
        <f t="shared" si="2"/>
        <v>0.10884661115046743</v>
      </c>
      <c r="K54" s="54">
        <f>D54-G54</f>
        <v>644098933.63135469</v>
      </c>
      <c r="L54" s="54">
        <f t="shared" si="3"/>
        <v>50884988.144593351</v>
      </c>
      <c r="M54" s="54">
        <f t="shared" si="3"/>
        <v>694983921.77594805</v>
      </c>
      <c r="N54" s="54">
        <f ca="1">IFERROR(M54/C3,0)</f>
        <v>27799356.871037923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59684684.999750003</v>
      </c>
      <c r="H55" s="122">
        <f t="shared" si="4"/>
        <v>12735432.119999999</v>
      </c>
      <c r="I55" s="122">
        <f t="shared" si="1"/>
        <v>72420117.119750008</v>
      </c>
      <c r="J55" s="61">
        <f t="shared" si="2"/>
        <v>0.1310538203875693</v>
      </c>
      <c r="K55" s="54">
        <f t="shared" si="3"/>
        <v>422627493.47761536</v>
      </c>
      <c r="L55" s="54">
        <f t="shared" si="3"/>
        <v>57550679.979588963</v>
      </c>
      <c r="M55" s="54">
        <f t="shared" si="3"/>
        <v>480178173.45720434</v>
      </c>
      <c r="N55" s="54">
        <f ca="1">IFERROR(M55/C3,0)</f>
        <v>19207126.938288175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62884334.713885002</v>
      </c>
      <c r="H56" s="122">
        <f t="shared" si="4"/>
        <v>16719681.629977001</v>
      </c>
      <c r="I56" s="122">
        <f t="shared" si="1"/>
        <v>79604016.343861997</v>
      </c>
      <c r="J56" s="61">
        <f t="shared" si="2"/>
        <v>0.12672886361634858</v>
      </c>
      <c r="K56" s="54">
        <f t="shared" si="3"/>
        <v>442307668.28920156</v>
      </c>
      <c r="L56" s="54">
        <f t="shared" si="3"/>
        <v>106232639.1797851</v>
      </c>
      <c r="M56" s="54">
        <f t="shared" si="3"/>
        <v>548540307.46898675</v>
      </c>
      <c r="N56" s="54">
        <f ca="1">IFERROR(M56/C3,0)</f>
        <v>21941612.298759472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187626664.335841</v>
      </c>
      <c r="H57" s="122">
        <f t="shared" si="4"/>
        <v>9648259.4399980009</v>
      </c>
      <c r="I57" s="122">
        <f t="shared" si="1"/>
        <v>197274923.775839</v>
      </c>
      <c r="J57" s="61">
        <f t="shared" si="2"/>
        <v>0.16971602773211525</v>
      </c>
      <c r="K57" s="54">
        <f t="shared" si="3"/>
        <v>873618738.71287775</v>
      </c>
      <c r="L57" s="54">
        <f t="shared" si="3"/>
        <v>91488738.348660395</v>
      </c>
      <c r="M57" s="54">
        <f t="shared" si="3"/>
        <v>965107477.0615381</v>
      </c>
      <c r="N57" s="54">
        <f ca="1">IFERROR(M57/C3,0)</f>
        <v>38604299.082461521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52975046.856425002</v>
      </c>
      <c r="H58" s="122">
        <f t="shared" si="4"/>
        <v>3661286.499996</v>
      </c>
      <c r="I58" s="122">
        <f>G58+H58</f>
        <v>56636333.356421001</v>
      </c>
      <c r="J58" s="61">
        <f>IFERROR(I58/F58,0)</f>
        <v>8.4812963462813348E-2</v>
      </c>
      <c r="K58" s="54">
        <f t="shared" si="3"/>
        <v>510139123.87766379</v>
      </c>
      <c r="L58" s="54">
        <f t="shared" si="3"/>
        <v>101003748.25557448</v>
      </c>
      <c r="M58" s="54">
        <f t="shared" si="3"/>
        <v>611142872.13323832</v>
      </c>
      <c r="N58" s="54">
        <f ca="1">IFERROR(M58/C3,0)</f>
        <v>24445714.885329533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45142878.399999999</v>
      </c>
      <c r="H59" s="122">
        <f>IF(D23="",0,D23)</f>
        <v>0</v>
      </c>
      <c r="I59" s="122">
        <f>G59+H59</f>
        <v>45142878.399999999</v>
      </c>
      <c r="J59" s="61">
        <f>IFERROR(I59/F59,0)</f>
        <v>0.10502027233895823</v>
      </c>
      <c r="K59" s="54">
        <f>D59-G59</f>
        <v>384706305.90128499</v>
      </c>
      <c r="L59" s="54">
        <f>E59-H59</f>
        <v>0</v>
      </c>
      <c r="M59" s="54">
        <f>F59-I59</f>
        <v>384706305.90128499</v>
      </c>
      <c r="N59" s="54">
        <f ca="1">IFERROR(M59/C3,0)</f>
        <v>15388252.236051399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62895178.115650997</v>
      </c>
      <c r="H60" s="122">
        <f t="shared" ref="H60:H64" si="5">N15</f>
        <v>8874463.0679589994</v>
      </c>
      <c r="I60" s="122">
        <f t="shared" si="1"/>
        <v>71769641.183609992</v>
      </c>
      <c r="J60" s="61">
        <f t="shared" si="2"/>
        <v>0.11349050497877479</v>
      </c>
      <c r="K60" s="54">
        <f t="shared" si="3"/>
        <v>451825933.31119704</v>
      </c>
      <c r="L60" s="54">
        <f t="shared" si="3"/>
        <v>108788969.01420708</v>
      </c>
      <c r="M60" s="54">
        <f t="shared" si="3"/>
        <v>560614902.32540417</v>
      </c>
      <c r="N60" s="54">
        <f ca="1">IFERROR(M60/C3,0)</f>
        <v>22424596.093016166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60714762.488738</v>
      </c>
      <c r="H61" s="122">
        <f t="shared" si="5"/>
        <v>4013935.1599989999</v>
      </c>
      <c r="I61" s="122">
        <f t="shared" si="1"/>
        <v>64728697.648736998</v>
      </c>
      <c r="J61" s="61">
        <f t="shared" si="2"/>
        <v>8.4086052110548468E-2</v>
      </c>
      <c r="K61" s="54">
        <f t="shared" si="3"/>
        <v>638130413.75086308</v>
      </c>
      <c r="L61" s="54">
        <f t="shared" si="3"/>
        <v>66932025.466211826</v>
      </c>
      <c r="M61" s="54">
        <f t="shared" si="3"/>
        <v>705062439.21707487</v>
      </c>
      <c r="N61" s="54">
        <f ca="1">IFERROR(M61/C3,0)</f>
        <v>28202497.568682995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56761243.689806998</v>
      </c>
      <c r="H62" s="122">
        <f t="shared" si="5"/>
        <v>2978246.0857000002</v>
      </c>
      <c r="I62" s="122">
        <f t="shared" si="1"/>
        <v>59739489.775506996</v>
      </c>
      <c r="J62" s="61">
        <f t="shared" si="2"/>
        <v>0.11266891159931935</v>
      </c>
      <c r="K62" s="54">
        <f t="shared" si="3"/>
        <v>425109120.5275591</v>
      </c>
      <c r="L62" s="54">
        <f t="shared" si="3"/>
        <v>45372982.570365794</v>
      </c>
      <c r="M62" s="54">
        <f t="shared" si="3"/>
        <v>470482103.09792495</v>
      </c>
      <c r="N62" s="54">
        <f ca="1">IFERROR(M62/C3,0)</f>
        <v>18819284.123916999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106439933.00985</v>
      </c>
      <c r="H63" s="122">
        <f t="shared" si="5"/>
        <v>20181594.389754001</v>
      </c>
      <c r="I63" s="122">
        <f t="shared" si="1"/>
        <v>126621527.39960399</v>
      </c>
      <c r="J63" s="61">
        <f t="shared" si="2"/>
        <v>0.12267479315189539</v>
      </c>
      <c r="K63" s="54">
        <f t="shared" si="3"/>
        <v>599614995.98295045</v>
      </c>
      <c r="L63" s="54">
        <f t="shared" si="3"/>
        <v>305935809.22388232</v>
      </c>
      <c r="M63" s="54">
        <f t="shared" si="3"/>
        <v>905550805.20683277</v>
      </c>
      <c r="N63" s="54">
        <f ca="1">IFERROR(M63/C3,0)</f>
        <v>36222032.208273314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28334682.000967998</v>
      </c>
      <c r="H64" s="122">
        <f t="shared" si="5"/>
        <v>13140709.939834001</v>
      </c>
      <c r="I64" s="122">
        <f t="shared" si="1"/>
        <v>41475391.940802</v>
      </c>
      <c r="J64" s="61">
        <f t="shared" si="2"/>
        <v>7.0283854221046355E-2</v>
      </c>
      <c r="K64" s="54">
        <f t="shared" si="3"/>
        <v>350267415.56656921</v>
      </c>
      <c r="L64" s="54">
        <f t="shared" si="3"/>
        <v>198369849.23964998</v>
      </c>
      <c r="M64" s="54">
        <f t="shared" si="3"/>
        <v>548637264.80621922</v>
      </c>
      <c r="N64" s="54">
        <f ca="1">IFERROR(M64/C3,0)</f>
        <v>21945490.592248768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971575954.41285896</v>
      </c>
      <c r="H65" s="152">
        <f>SUM(H51:H64)</f>
        <v>148362466.84153602</v>
      </c>
      <c r="I65" s="152">
        <f>SUM(I51:I64)</f>
        <v>1119938421.254395</v>
      </c>
      <c r="J65" s="153">
        <f>IFERROR(I65/F65,0)</f>
        <v>0.11875643368489351</v>
      </c>
      <c r="K65" s="154">
        <f>SUM(K51:K64)</f>
        <v>6976267851.9348297</v>
      </c>
      <c r="L65" s="154">
        <f>SUM(L51:L64)</f>
        <v>1334343184.2492042</v>
      </c>
      <c r="M65" s="154">
        <f>SUM(M51:M64)</f>
        <v>8310611036.1840343</v>
      </c>
      <c r="N65" s="154">
        <f ca="1">IFERROR(M65/C3,0)</f>
        <v>332424441.44736135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63586486.109999999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1621621.6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33153152.760000002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720720.7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165220720.55000001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21153153.419950001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0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720720.7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64840541.059917003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16861260.780000001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6151351.5</v>
      </c>
    </row>
    <row r="84" spans="2:9" ht="20.100000000000001" customHeight="1" x14ac:dyDescent="0.25">
      <c r="B84" s="57" t="s">
        <v>152</v>
      </c>
      <c r="C84" s="58"/>
      <c r="D84" s="129">
        <f>SUM(D70:D83)</f>
        <v>374029729.17986703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28583675.409811001</v>
      </c>
      <c r="F89" s="61">
        <f t="shared" ref="F89:F94" si="7">IFERROR(E89/D89,0)</f>
        <v>9.7509634269303938E-2</v>
      </c>
      <c r="G89" s="125">
        <f>D89-E89</f>
        <v>264553260.48380616</v>
      </c>
      <c r="H89" s="125">
        <f ca="1">IFERROR(G89/C3,0)</f>
        <v>10582130.419352246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85144678.478929996</v>
      </c>
      <c r="F90" s="61">
        <f t="shared" si="7"/>
        <v>0.19509004426434245</v>
      </c>
      <c r="G90" s="126">
        <f>D90-E90</f>
        <v>351293166.41468716</v>
      </c>
      <c r="H90" s="126">
        <f ca="1">IFERROR(G90/C3,0)</f>
        <v>14051726.656587487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38955481.311250001</v>
      </c>
      <c r="F91" s="61">
        <f t="shared" si="7"/>
        <v>3.4735498617650795E-2</v>
      </c>
      <c r="G91" s="125">
        <f>D91-E91</f>
        <v>1082533567.68875</v>
      </c>
      <c r="H91" s="125">
        <f ca="1">IFERROR(G91/C3,0)</f>
        <v>43301342.707550004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152683835.19999099</v>
      </c>
      <c r="F94" s="43">
        <f t="shared" si="7"/>
        <v>8.2484370740225008E-2</v>
      </c>
      <c r="G94" s="119">
        <f>SUM(G89:G93)</f>
        <v>1698379994.5872433</v>
      </c>
      <c r="H94" s="119">
        <f ca="1">IFERROR(G94/C3,0)</f>
        <v>67935199.783489734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2026-07-03T00:55:13Z</dcterms:modified>
  <dc:language>en-US</dc:language>
</cp:coreProperties>
</file>