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2BF7760-88ED-429E-B1A8-F993F76A685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Sheet!$A$1:$Q$346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46" i="1" l="1"/>
</calcChain>
</file>

<file path=xl/sharedStrings.xml><?xml version="1.0" encoding="utf-8"?>
<sst xmlns="http://schemas.openxmlformats.org/spreadsheetml/2006/main" count="3951" uniqueCount="759">
  <si>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</si>
  <si>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</si>
  <si>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</si>
  <si>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</si>
  <si>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</si>
  <si>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</si>
  <si>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</si>
  <si>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</si>
  <si>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</si>
  <si>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</si>
  <si>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</si>
  <si>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</si>
  <si>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</si>
  <si>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</si>
  <si>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</si>
  <si>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</si>
  <si>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</si>
  <si>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SO-KS/2606/120088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</si>
  <si>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</si>
  <si>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</si>
  <si>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</si>
  <si>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</si>
  <si>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</si>
  <si>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</si>
  <si>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</si>
  <si>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</si>
  <si>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</si>
  <si>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SENIN KE LUIGI</t>
  </si>
  <si>
    <t>SFM052</t>
  </si>
  <si>
    <t>Inofa Heat Treated Wheat Flour SF 346 @25kg/sack</t>
  </si>
  <si>
    <t>SO-KS/2606/120094</t>
  </si>
  <si>
    <t>TUI BLUE BERAWA HOTEL</t>
  </si>
  <si>
    <t>Dewi Kristiani</t>
  </si>
  <si>
    <t>PSF0014</t>
  </si>
  <si>
    <t>Tepung 00 Fusion @25Kg</t>
  </si>
  <si>
    <t>Di kirim senin</t>
  </si>
  <si>
    <t>SO-KS/2606/120115</t>
  </si>
  <si>
    <t>TT BEACH CLUB</t>
  </si>
  <si>
    <t>Juni</t>
  </si>
  <si>
    <t>080240</t>
  </si>
  <si>
    <t>THE ALTERNATIVE Barista Oat Milk 1 Lt</t>
  </si>
  <si>
    <t>PCS</t>
  </si>
  <si>
    <t/>
  </si>
  <si>
    <t>080241</t>
  </si>
  <si>
    <t>THE ALTERNATIVE Barista Almond Milk 1 Lt</t>
  </si>
  <si>
    <t>SO-KS/2606/120122</t>
  </si>
  <si>
    <t>THE MAGANI HOTEL &amp; SPA</t>
  </si>
  <si>
    <t>LANI</t>
  </si>
  <si>
    <t>kirim Senin, 15 Juni 2026</t>
  </si>
  <si>
    <t>MOVENPICK</t>
  </si>
  <si>
    <t>Monica</t>
  </si>
  <si>
    <t>KG</t>
  </si>
  <si>
    <t>SO-KS/2606/120157</t>
  </si>
  <si>
    <t>MRS. SIPPY</t>
  </si>
  <si>
    <t>Sujana</t>
  </si>
  <si>
    <t>kirim senin</t>
  </si>
  <si>
    <t>SO-KS/2606/120164</t>
  </si>
  <si>
    <t>KUTA HERITAGE</t>
  </si>
  <si>
    <t>SO-KS/2606/120166</t>
  </si>
  <si>
    <t>GRAND HYATT NUSA DUA</t>
  </si>
  <si>
    <t>SO-KS/2606/120168</t>
  </si>
  <si>
    <t>AUTOGRILL</t>
  </si>
  <si>
    <t>Eka</t>
  </si>
  <si>
    <t>SO-KS/2606/120169</t>
  </si>
  <si>
    <t>SO-KS/2606/120174</t>
  </si>
  <si>
    <t>PT. NYIUR MELAMBAI LAMBAI</t>
  </si>
  <si>
    <t>SFM009</t>
  </si>
  <si>
    <t>Tepung Hime @25Kg/Sack</t>
  </si>
  <si>
    <t>damaria . kirim senin</t>
  </si>
  <si>
    <t>SO-KS/2606/120180</t>
  </si>
  <si>
    <t>PSJ0127</t>
  </si>
  <si>
    <t>Amron Striploin Whole</t>
  </si>
  <si>
    <t>SO-KS/2606/120181</t>
  </si>
  <si>
    <t>CONRAD HOTEL</t>
  </si>
  <si>
    <t>PSJ0228</t>
  </si>
  <si>
    <t>Premium Minced Beef (2.5kg/pack)</t>
  </si>
  <si>
    <t>SO-KS/2606/120183</t>
  </si>
  <si>
    <t>SFM018</t>
  </si>
  <si>
    <t>Tepung Ninja @25Kg/Sack</t>
  </si>
  <si>
    <t>SO-KS/2606/120184</t>
  </si>
  <si>
    <t>PPA0024</t>
  </si>
  <si>
    <t>Canary Lactic Butter Sheet 10Kg/Ctn</t>
  </si>
  <si>
    <t>KTN</t>
  </si>
  <si>
    <t>PPA0028</t>
  </si>
  <si>
    <t>Canary Lactic Butter Sheet 1Kg/Pack</t>
  </si>
  <si>
    <t>PACK</t>
  </si>
  <si>
    <t>SO-KS/2606/120185</t>
  </si>
  <si>
    <t>PSJ0044</t>
  </si>
  <si>
    <t>Halal Premium Oxtail Whole Cut 3Cm (2 Kg/Pack)</t>
  </si>
  <si>
    <t>SO-KS/2606/120190</t>
  </si>
  <si>
    <t>PENINSULA BEACH RESORT</t>
  </si>
  <si>
    <t>PSJ0011</t>
  </si>
  <si>
    <t>Chuck Tenderloin Whole</t>
  </si>
  <si>
    <t>SO-KS/2606/120194</t>
  </si>
  <si>
    <t>ALILA ULUWATU VILLA</t>
  </si>
  <si>
    <t>SO-KS/2606/120207</t>
  </si>
  <si>
    <t>LE MERIDIEN JIMBARAN</t>
  </si>
  <si>
    <t>SO-KS/2606/120213</t>
  </si>
  <si>
    <t>SHERATON BALI KUTA RESORT</t>
  </si>
  <si>
    <t>120007</t>
  </si>
  <si>
    <t>Tepung Double Zero 1kg/pack</t>
  </si>
  <si>
    <t>SO-KS/2606/120221</t>
  </si>
  <si>
    <t>HARRIS HOTEL KUTA TUBAN</t>
  </si>
  <si>
    <t>SO-KS/2606/120226</t>
  </si>
  <si>
    <t>AKARI RAMEN</t>
  </si>
  <si>
    <t>NP3</t>
  </si>
  <si>
    <t>060013</t>
  </si>
  <si>
    <t>Nestea Lemon Tea 1kg/Pack</t>
  </si>
  <si>
    <t>060015</t>
  </si>
  <si>
    <t>Nestea Lychee Tea Npro 560gr/Pack</t>
  </si>
  <si>
    <t>060016</t>
  </si>
  <si>
    <t>Nestea Teh Tarik NPro 960gr/Pack</t>
  </si>
  <si>
    <t>SO-KS/2606/120234</t>
  </si>
  <si>
    <t>THE LAGUNA</t>
  </si>
  <si>
    <t>PSF0005</t>
  </si>
  <si>
    <t>Tepung Pita Emas @25Kg/Sack</t>
  </si>
  <si>
    <t>SO-KS/2606/120235</t>
  </si>
  <si>
    <t>PPA0092</t>
  </si>
  <si>
    <t>Emborg Pizza Topping 2.3 Kg</t>
  </si>
  <si>
    <t>SO-KS/2606/120257</t>
  </si>
  <si>
    <t>TRIBE HOTEL KUTA</t>
  </si>
  <si>
    <t>SO-KS/2606/120260</t>
  </si>
  <si>
    <t>PSJ0046</t>
  </si>
  <si>
    <t>Allana Tenderloin Whole</t>
  </si>
  <si>
    <t>SO-KS/2606/120262</t>
  </si>
  <si>
    <t>SO-KS/2606/120263</t>
  </si>
  <si>
    <t>MAMAKA</t>
  </si>
  <si>
    <t>SO-KS/2606/130002</t>
  </si>
  <si>
    <t>PT. SSP TAURUS GEMILANG INDONESIA</t>
  </si>
  <si>
    <t>INTERNASIONAL</t>
  </si>
  <si>
    <t>RITZ CARLTON RESERVE MANDAPA</t>
  </si>
  <si>
    <t>Picrom Stalyon</t>
  </si>
  <si>
    <t>PT. GRAHA ALAM LESTARI</t>
  </si>
  <si>
    <t>FOUR SEASON RESORT BALI</t>
  </si>
  <si>
    <t>SO-KS/2606/130013</t>
  </si>
  <si>
    <t>KORI RESTAURANT</t>
  </si>
  <si>
    <t>PSJ0024</t>
  </si>
  <si>
    <t>Halal Minced Beef 1Kg/Pack</t>
  </si>
  <si>
    <t>SO-KS/2606/130014</t>
  </si>
  <si>
    <t>MAURI RESTAURANT</t>
  </si>
  <si>
    <t>SO-KS/2606/130015</t>
  </si>
  <si>
    <t>TAKE RESTAURANT</t>
  </si>
  <si>
    <t>Cash</t>
  </si>
  <si>
    <t>120015</t>
  </si>
  <si>
    <t>Tepung Japanese Tempura 1kg/pack</t>
  </si>
  <si>
    <t>kirim siang stlh jam 12, resto buka siang
Customer bayar cash langsung uang ambil dikasir</t>
  </si>
  <si>
    <t>SO-KS/2606/130016</t>
  </si>
  <si>
    <t>LITTLE UJI</t>
  </si>
  <si>
    <t>080165</t>
  </si>
  <si>
    <t>EMBORG Cream Cheese 200 Gr</t>
  </si>
  <si>
    <t>6 dus ( 72 pack)</t>
  </si>
  <si>
    <t>SO-KS/2606/130018</t>
  </si>
  <si>
    <t>ZIN CAFE CANGGU</t>
  </si>
  <si>
    <t>SO-KS/2606/130019</t>
  </si>
  <si>
    <t>TACO CASA SEMINYAK</t>
  </si>
  <si>
    <t>(CV Rumah Taco  Indonesia) Pastikan warna nya merah jika warna gelap akan dikembalikan</t>
  </si>
  <si>
    <t>SO-KS/2606/130021</t>
  </si>
  <si>
    <t>TACO CASA CANGGU</t>
  </si>
  <si>
    <t>(PT TACO CASA BALI) 
Pastikan warna nya merah jika warga gelap akan dikembalikan</t>
  </si>
  <si>
    <t>SO-KS/2606/130022</t>
  </si>
  <si>
    <t>ACALA BENOA</t>
  </si>
  <si>
    <t xml:space="preserve"> di packing pakai plastik .  dikirim ke Rocky Sanur</t>
  </si>
  <si>
    <t>SO-KS/2606/130023</t>
  </si>
  <si>
    <t>KARANA LEMBONGAN</t>
  </si>
  <si>
    <t>Kirim ke Prema Cargo Sanur,Tolong juga sertakan photo saat barang diterima oleh pihak Boat
Bantu packing plastik hitam</t>
  </si>
  <si>
    <t>SO-KS/2606/130024</t>
  </si>
  <si>
    <t>CACTUS BEACH CLUB &amp; RESTAURANT</t>
  </si>
  <si>
    <t xml:space="preserve"> Kirim ke Jalan Mertasari no. 2 , Banjar suwung kangin, sidakarya denpasar selatan</t>
  </si>
  <si>
    <t>SO-KS/2606/130027</t>
  </si>
  <si>
    <t>BOGA MAS</t>
  </si>
  <si>
    <t>Ni Ketut Sriasih (GT)</t>
  </si>
  <si>
    <t>SO-KS/2606/130028</t>
  </si>
  <si>
    <t>LA LUCCIOLA RESTORAN</t>
  </si>
  <si>
    <t>SO-KS/2606/130030</t>
  </si>
  <si>
    <t>PIE SUSU AJIK</t>
  </si>
  <si>
    <t>Lani P</t>
  </si>
  <si>
    <t>Dikirim Senin ke pabrik blangsinga</t>
  </si>
  <si>
    <t>SO-KS/2606/130031</t>
  </si>
  <si>
    <t>PADMA UBUD RESORT</t>
  </si>
  <si>
    <t>SO-KS/2606/130032</t>
  </si>
  <si>
    <t>HARIANTO (UD. DIAN PRIMA)</t>
  </si>
  <si>
    <t>Wira</t>
  </si>
  <si>
    <t>ARTE CANGGU</t>
  </si>
  <si>
    <t>SO-KS/2606/130038</t>
  </si>
  <si>
    <t>SO-KS/2606/130039</t>
  </si>
  <si>
    <t>YAMMA YAA LEGIAN</t>
  </si>
  <si>
    <t>SO-KS/2606/130041</t>
  </si>
  <si>
    <t>ISLAND CAFE &amp; BRUNCH</t>
  </si>
  <si>
    <t>SO-KS/2606/130043</t>
  </si>
  <si>
    <t>BO DAN BUN RESTAURANT</t>
  </si>
  <si>
    <t>SO-KS/2606/130044</t>
  </si>
  <si>
    <t>PT BALI PERKASASUKSES</t>
  </si>
  <si>
    <t>SO-KS/2606/130045</t>
  </si>
  <si>
    <t>WARUNG CORNER (ITALIAN CORNER)</t>
  </si>
  <si>
    <t>SO-KS/2606/130046</t>
  </si>
  <si>
    <t>HOLIDAY INN TANJUNG BENOA</t>
  </si>
  <si>
    <t>SO-KS/2606/130048</t>
  </si>
  <si>
    <t>JUMEIRAH</t>
  </si>
  <si>
    <t>SO-KS/2606/130049</t>
  </si>
  <si>
    <t>PT. GANGSAR ARTA MULIA</t>
  </si>
  <si>
    <t>NP4</t>
  </si>
  <si>
    <t>020020</t>
  </si>
  <si>
    <t>NESTLE Milo Activ-Go NPro 960Gr/Pack</t>
  </si>
  <si>
    <t>dikirim ke gudang baru</t>
  </si>
  <si>
    <t>060019</t>
  </si>
  <si>
    <t>Nestle Orange Pouch NP 560gr/Pack</t>
  </si>
  <si>
    <t>SO-KS/2606/130050</t>
  </si>
  <si>
    <t>INTERCONTINENTAL BALI RESORT</t>
  </si>
  <si>
    <t>SO-KS/2606/130051</t>
  </si>
  <si>
    <t>SO-KS/2606/130052</t>
  </si>
  <si>
    <t>SO-KS/2606/130053</t>
  </si>
  <si>
    <t>SO-KS/2606/130054</t>
  </si>
  <si>
    <t>CV JARIMANIS ARDHI RAYA</t>
  </si>
  <si>
    <t>NP1</t>
  </si>
  <si>
    <t>060007</t>
  </si>
  <si>
    <t>Nescafe Classic Vending 120gr/Pack</t>
  </si>
  <si>
    <t>SO-KS/2606/130055</t>
  </si>
  <si>
    <t>GYUKAKU RESTORAN ( ICON MALL BALI )</t>
  </si>
  <si>
    <t>SO-KS/2606/130057</t>
  </si>
  <si>
    <t>PEPITO MARKET SESETAN</t>
  </si>
  <si>
    <t>Ni Ketut Sriasih (MT)</t>
  </si>
  <si>
    <t>120014</t>
  </si>
  <si>
    <t>Tepung Hime 1kg/pack</t>
  </si>
  <si>
    <t>SO-KS/2606/130058</t>
  </si>
  <si>
    <t>CV. FENNY BERSAMA</t>
  </si>
  <si>
    <t>120006</t>
  </si>
  <si>
    <t>Tepung Crispy Ala Kentucky 1kg/pack</t>
  </si>
  <si>
    <t>SO-KS/2606/130060</t>
  </si>
  <si>
    <t>PT. SARI BURGER INDONESIA</t>
  </si>
  <si>
    <t>seminyak</t>
  </si>
  <si>
    <t>SO-KS/2606/130061</t>
  </si>
  <si>
    <t>MAYA UBUD</t>
  </si>
  <si>
    <t>PSJ0203</t>
  </si>
  <si>
    <t>Borello Rump</t>
  </si>
  <si>
    <t>SO-KS/2606/130062</t>
  </si>
  <si>
    <t>HILTON HOTEL</t>
  </si>
  <si>
    <t>POT0983</t>
  </si>
  <si>
    <t>IKPS Sechuan Preserved Vegetable 340 Gr</t>
  </si>
  <si>
    <t>CAN</t>
  </si>
  <si>
    <t>SO-KS/2606/130063</t>
  </si>
  <si>
    <t>SO-KS/2606/130064</t>
  </si>
  <si>
    <t>SFM053</t>
  </si>
  <si>
    <t>Inofa Heat Treated Wheat Flour SF 346 @1kg/pack</t>
  </si>
  <si>
    <t>SO-KS/2606/130065</t>
  </si>
  <si>
    <t>SO-KS/2606/130066</t>
  </si>
  <si>
    <t>SO-KS/2606/130067</t>
  </si>
  <si>
    <t>SO-KS/2606/130068</t>
  </si>
  <si>
    <t>SO-KS/2606/130069</t>
  </si>
  <si>
    <t>SO-KS/2606/130070</t>
  </si>
  <si>
    <t>SO-KS/2606/130071</t>
  </si>
  <si>
    <t>ROUMS COFE</t>
  </si>
  <si>
    <t>I MADE LUIH</t>
  </si>
  <si>
    <t>PLN0005</t>
  </si>
  <si>
    <t>RICH CRÈME ND 08 1000G POUCH</t>
  </si>
  <si>
    <t>POU</t>
  </si>
  <si>
    <t>SO-KS/2606/130072</t>
  </si>
  <si>
    <t>LE CROISSANT</t>
  </si>
  <si>
    <t>SO-KS/2606/130073</t>
  </si>
  <si>
    <t>AL'S COFFEE &amp; GELATO</t>
  </si>
  <si>
    <t>SO-KS/2606/130074</t>
  </si>
  <si>
    <t>ZERO 4 KARAOKE</t>
  </si>
  <si>
    <t>6 LOAF</t>
  </si>
  <si>
    <t>SO-KS/2606/130076</t>
  </si>
  <si>
    <t>PT. FASTFOOD INDONESIA (KFC TRAGIA)</t>
  </si>
  <si>
    <t>080124</t>
  </si>
  <si>
    <t>NESTLE MILO -E Uht Cmbk 110 Ml</t>
  </si>
  <si>
    <t>SO-KS/2606/130077</t>
  </si>
  <si>
    <t>BIKU RESTAURANT</t>
  </si>
  <si>
    <t>5 LOAF</t>
  </si>
  <si>
    <t>SO-KS/2606/130079</t>
  </si>
  <si>
    <t>ZAP CLINIC - BALI</t>
  </si>
  <si>
    <t>060004</t>
  </si>
  <si>
    <t>Nescafe Cappuccino Caramel Era 500gr/Pack</t>
  </si>
  <si>
    <t>SO-KS/2606/130080</t>
  </si>
  <si>
    <t>LEGUSTAN BAKERY</t>
  </si>
  <si>
    <t>Delivery Legustan Bakery.</t>
  </si>
  <si>
    <t>SO-KS/2606/130081</t>
  </si>
  <si>
    <t>TABU ULUWATU</t>
  </si>
  <si>
    <t>SO-KS/2606/130082</t>
  </si>
  <si>
    <t>VIVRE CATERING</t>
  </si>
  <si>
    <t>SO-KS/2606/130083</t>
  </si>
  <si>
    <t>FOLD UBUD</t>
  </si>
  <si>
    <t xml:space="preserve"> Invoice 1</t>
  </si>
  <si>
    <t>SO-KS/2606/130084</t>
  </si>
  <si>
    <t>CENTRAL KITCHEN LOSTERIA (SUKAWATI)</t>
  </si>
  <si>
    <t>SO-KS/2606/130085</t>
  </si>
  <si>
    <t>LOSTERIA RESTO (UBUD)</t>
  </si>
  <si>
    <t>SO-KS/2606/130086</t>
  </si>
  <si>
    <t>FASAFAS BAKERY UBUD</t>
  </si>
  <si>
    <t>SO-KS/2606/130087</t>
  </si>
  <si>
    <t>SO-KS/2606/130088</t>
  </si>
  <si>
    <t>MOONSTONE BEACH LOUNGE</t>
  </si>
  <si>
    <t>SO-KS/2606/130089</t>
  </si>
  <si>
    <t>CHEEKY MONKEY</t>
  </si>
  <si>
    <t>SO-KS/2606/130090</t>
  </si>
  <si>
    <t>SO-KS/2606/130091</t>
  </si>
  <si>
    <t>GODDES BAKERY ( GOLDEN BAKERY )</t>
  </si>
  <si>
    <t>SO-KS/2606/130093</t>
  </si>
  <si>
    <t>PARADISUS BY MELIA NUSA DUA</t>
  </si>
  <si>
    <t>SO-KS/2606/130094</t>
  </si>
  <si>
    <t>BAMBU BALI ULUWATU</t>
  </si>
  <si>
    <t>PSJ0007</t>
  </si>
  <si>
    <t>Friboi Brazil Tenderloin Whole</t>
  </si>
  <si>
    <t>cafe 7 Loaf</t>
  </si>
  <si>
    <t>SO-KS/2606/130096</t>
  </si>
  <si>
    <t xml:space="preserve"> oasis 7 loaf</t>
  </si>
  <si>
    <t>SO-KS/2606/130097</t>
  </si>
  <si>
    <t>DAENG BURGER UMALAS</t>
  </si>
  <si>
    <t>SO-KS/2606/130098</t>
  </si>
  <si>
    <t>KABAK BAKERY</t>
  </si>
  <si>
    <t>SO-KS/2606/130100</t>
  </si>
  <si>
    <t>LA TERAZA</t>
  </si>
  <si>
    <t>SO-KS/2606/130101</t>
  </si>
  <si>
    <t>5 loaf</t>
  </si>
  <si>
    <t>SO-KS/2606/130102</t>
  </si>
  <si>
    <t>PT. FASTFOOD INDONESIA ( KFC GATSU BARAT )</t>
  </si>
  <si>
    <t>SO-KS/2606/130103</t>
  </si>
  <si>
    <t>UD DAMA SEMESTA</t>
  </si>
  <si>
    <t>SO-KS/2606/130104</t>
  </si>
  <si>
    <t>SHABURI KINTAN</t>
  </si>
  <si>
    <t>060009</t>
  </si>
  <si>
    <t>Nescafe Latte 500gr/Pack</t>
  </si>
  <si>
    <t>060017</t>
  </si>
  <si>
    <t>Nestle Blackcurrant Drink 750gr/Pack</t>
  </si>
  <si>
    <t>060018</t>
  </si>
  <si>
    <t>Nestle Lemonade Original 640gr/Pack</t>
  </si>
  <si>
    <t>LOSTERIA JIMBARAN</t>
  </si>
  <si>
    <t>NAUGHTY NURIS SEMINYAK</t>
  </si>
  <si>
    <t>NN Sujana</t>
  </si>
  <si>
    <t>SO-KS/2606/130109</t>
  </si>
  <si>
    <t>SO-KS/2606/130111</t>
  </si>
  <si>
    <t>ZAP RENON BALI</t>
  </si>
  <si>
    <t>020011</t>
  </si>
  <si>
    <t>Nestle Dark Cocoa Drink Npro 1kg/Pack</t>
  </si>
  <si>
    <t>SO-KS/2606/130113</t>
  </si>
  <si>
    <t>KAIZEN RENON</t>
  </si>
  <si>
    <t>SO-KS/2606/130114</t>
  </si>
  <si>
    <t>AYAPI ASIAN FODIZ</t>
  </si>
  <si>
    <t>PNS0005</t>
  </si>
  <si>
    <t>Nestle Milo Npro 1.5Kg</t>
  </si>
  <si>
    <t>SO-KS/2606/130116</t>
  </si>
  <si>
    <t>SO-KS/2606/130117</t>
  </si>
  <si>
    <t>HONEY SALT CAFE</t>
  </si>
  <si>
    <t>SO-KS/2606/130118</t>
  </si>
  <si>
    <t>Tambahan Cafe</t>
  </si>
  <si>
    <t>SO-KS/2606/130119</t>
  </si>
  <si>
    <t>RUMAH LAWAS KOPI PUPUTAN</t>
  </si>
  <si>
    <t>SO-KS/2606/130120</t>
  </si>
  <si>
    <t>RUMAH LAWAS KOPI TUKAD UNDA</t>
  </si>
  <si>
    <t>SO-KS/2606/130121</t>
  </si>
  <si>
    <t>RUMAH LAWAS KOPI NARAKUSUMA</t>
  </si>
  <si>
    <t>SO-KS/2606/130122</t>
  </si>
  <si>
    <t>FINNS BEACH CLUB</t>
  </si>
  <si>
    <t xml:space="preserve"> kitchen vip</t>
  </si>
  <si>
    <t>SO-KS/2606/130123</t>
  </si>
  <si>
    <t>RUMAH RAKYAT COFFEE</t>
  </si>
  <si>
    <t>SO-KS/2606/130125</t>
  </si>
  <si>
    <t>CRAVED</t>
  </si>
  <si>
    <t>SO-KS/2606/130126</t>
  </si>
  <si>
    <t>ALAS HARUM UBUD</t>
  </si>
  <si>
    <t>BAR COFFEE</t>
  </si>
  <si>
    <t>SO-KS/2606/130127</t>
  </si>
  <si>
    <t>I Made Luih (Sanur)</t>
  </si>
  <si>
    <t>SO-KS/2606/130129</t>
  </si>
  <si>
    <t>CP LOUNGE UBUD</t>
  </si>
  <si>
    <t>SO-KS/2606/130130</t>
  </si>
  <si>
    <t>CV. BACCHUS</t>
  </si>
  <si>
    <t>120018</t>
  </si>
  <si>
    <t>Tepung Ninja 1kg/pack</t>
  </si>
  <si>
    <t>SO-KS/2606/130131</t>
  </si>
  <si>
    <t>Tambahan. oasis</t>
  </si>
  <si>
    <t>SO-KS/2606/130132</t>
  </si>
  <si>
    <t>kitchen asian</t>
  </si>
  <si>
    <t>SO-KS/2606/130133</t>
  </si>
  <si>
    <t>PT. APULIA FOOD BALI (BONITO FISH BAR)</t>
  </si>
  <si>
    <t>SO-KS/2606/130135</t>
  </si>
  <si>
    <t>NANDIYA BAKERY</t>
  </si>
  <si>
    <t>SO-KS/2606/130136</t>
  </si>
  <si>
    <t>HYATT REGENCY SANUR</t>
  </si>
  <si>
    <t>SO-KS/2606/130137</t>
  </si>
  <si>
    <t>TROPICAL RESTAURANT 3</t>
  </si>
  <si>
    <t>SO-KS/2606/130138</t>
  </si>
  <si>
    <t>KILO RESTAURANT</t>
  </si>
  <si>
    <t>1 loaf</t>
  </si>
  <si>
    <t>SO-KS/2606/130140</t>
  </si>
  <si>
    <t>PENJUALAN CASH</t>
  </si>
  <si>
    <t>Management Bali</t>
  </si>
  <si>
    <t>chef reri mamas. 1 whole . Dikirim bareng kiriman mamas</t>
  </si>
  <si>
    <t>SO-KS/2606/130141</t>
  </si>
  <si>
    <t>SO-KS/2606/130142</t>
  </si>
  <si>
    <t>MERUSAKA NUSA DUA</t>
  </si>
  <si>
    <t>SO-KS/2606/130143</t>
  </si>
  <si>
    <t>PLN0002</t>
  </si>
  <si>
    <t>RICH CREME WHIPING CREAM 800G POUCH</t>
  </si>
  <si>
    <t>SO-KS/2606/130144</t>
  </si>
  <si>
    <t xml:space="preserve"> kitchen fbc</t>
  </si>
  <si>
    <t>SO-KS/2606/130145</t>
  </si>
  <si>
    <t>PSJ0187</t>
  </si>
  <si>
    <t>Borello Topside</t>
  </si>
  <si>
    <t>SO-KS/2606/130146</t>
  </si>
  <si>
    <t>SO-KS/2606/130147</t>
  </si>
  <si>
    <t>SO-KS/2606/130148</t>
  </si>
  <si>
    <t>CV. KASIH HOKI</t>
  </si>
  <si>
    <t>PSF0020</t>
  </si>
  <si>
    <t>Tepung Ninja Fusion Pao 1Kg</t>
  </si>
  <si>
    <t>SO-KS/2606/130150</t>
  </si>
  <si>
    <t>KING GEPREK PUSAT</t>
  </si>
  <si>
    <t>PSF0015</t>
  </si>
  <si>
    <t>Tepung Stupa Emas 25 Kg</t>
  </si>
  <si>
    <t>SO-KS/2606/130151</t>
  </si>
  <si>
    <t>METLAND VENYA UBUD</t>
  </si>
  <si>
    <t>SO-KS/2606/130152</t>
  </si>
  <si>
    <t>BALI MANDIRA</t>
  </si>
  <si>
    <t>SO-KS/2606/130153</t>
  </si>
  <si>
    <t>SO-KS/2606/130154</t>
  </si>
  <si>
    <t>SO-KS/2606/130155</t>
  </si>
  <si>
    <t>LA BRISA BALI</t>
  </si>
  <si>
    <t>SO-KS/2606/130156</t>
  </si>
  <si>
    <t>PT. KREASI BALI PRIMA</t>
  </si>
  <si>
    <t>SO-KS/2606/130157</t>
  </si>
  <si>
    <t>CAPTAIN BURGER</t>
  </si>
  <si>
    <t>SO-KS/2606/130158</t>
  </si>
  <si>
    <t>RAMEN 1 ICON SANUR MALL</t>
  </si>
  <si>
    <t>Invoice 1</t>
  </si>
  <si>
    <t>SO-KS/2606/130159</t>
  </si>
  <si>
    <t>SECANA BEACH TOWN</t>
  </si>
  <si>
    <t>SO-KS/2606/130160</t>
  </si>
  <si>
    <t>PT. FASTFOOD INDONESIA (KFC KUTA SQUARE)</t>
  </si>
  <si>
    <t>SO-KS/2606/130161</t>
  </si>
  <si>
    <t>Invoice 2</t>
  </si>
  <si>
    <t>SO-KS/2606/130162</t>
  </si>
  <si>
    <t>SO-KS/2606/130164</t>
  </si>
  <si>
    <t>PT. SILOAM INTERNATIONAL HOSPITALS TBK</t>
  </si>
  <si>
    <t>SO-KS/2606/130165</t>
  </si>
  <si>
    <t>PT. BOGAJAYA INTERNASIONAL JAYA ABADI</t>
  </si>
  <si>
    <t>SO-KS/2606/130166</t>
  </si>
  <si>
    <t>MASONRY CANGGU</t>
  </si>
  <si>
    <t>SO-KS/2606/130167</t>
  </si>
  <si>
    <t>PT. CIPTA RASA MULTINDO (PETIT PARIS BOULENGERIE B</t>
  </si>
  <si>
    <t>SISTERFIELDS CAFE</t>
  </si>
  <si>
    <t>SO-KS/2606/130169</t>
  </si>
  <si>
    <t>SO-KS/2606/130170</t>
  </si>
  <si>
    <t>CV TROPICAL</t>
  </si>
  <si>
    <t>SO-KS/2606/130172</t>
  </si>
  <si>
    <t>SO-KS/2606/130173</t>
  </si>
  <si>
    <t>WILD HABIT PIZZERIA</t>
  </si>
  <si>
    <t>SO-KS/2606/130174</t>
  </si>
  <si>
    <t>DiscoveryMall Bali</t>
  </si>
  <si>
    <t>060090</t>
  </si>
  <si>
    <t>Sjora Mango Peach Concentrate 1Liter/Pack</t>
  </si>
  <si>
    <t>SO-KS/2606/130175</t>
  </si>
  <si>
    <t>SO-KS/2606/130176</t>
  </si>
  <si>
    <t>DAS BISTRO</t>
  </si>
  <si>
    <t>PAN0004</t>
  </si>
  <si>
    <t>DP Mozzarella 2.5Kg</t>
  </si>
  <si>
    <t>SO-KS/2606/130177</t>
  </si>
  <si>
    <t>WINGSTOP LIVING WORLD</t>
  </si>
  <si>
    <t>060012</t>
  </si>
  <si>
    <t>Nestea Green Tea 750gr/Pack</t>
  </si>
  <si>
    <t>SO-KS/2606/130178</t>
  </si>
  <si>
    <t>THE WESTIN RESORT NUSA DUA</t>
  </si>
  <si>
    <t>SO-KS/2606/130182</t>
  </si>
  <si>
    <t>REVOLVER OBEROI</t>
  </si>
  <si>
    <t>080239</t>
  </si>
  <si>
    <t>THE ALTERNATIVE Barista Soy Milk 1 Lt</t>
  </si>
  <si>
    <t>SO-KS/2606/130183</t>
  </si>
  <si>
    <t>SO-KS/2606/130184</t>
  </si>
  <si>
    <t>MAMAS GERMAN REST.</t>
  </si>
  <si>
    <t>SO-KS/2606/130185</t>
  </si>
  <si>
    <t>PSJ0104</t>
  </si>
  <si>
    <t>Ralph Cube Roll</t>
  </si>
  <si>
    <t>SO-KS/2606/130186</t>
  </si>
  <si>
    <t>SO-KS/2606/130187</t>
  </si>
  <si>
    <t>SO-KS/2606/130189</t>
  </si>
  <si>
    <t>SO-KS/2606/130191</t>
  </si>
  <si>
    <t>GOURMET GARAGE (PT. WAHANA BOGA NUSANTARA)</t>
  </si>
  <si>
    <t>SO-KS/2606/130192</t>
  </si>
  <si>
    <t>DESA KOPI BALI</t>
  </si>
  <si>
    <t>SO-KS/2606/130194</t>
  </si>
  <si>
    <t>po estia</t>
  </si>
  <si>
    <t>SO-KS/2606/130195</t>
  </si>
  <si>
    <t>SO-KS/2606/130196</t>
  </si>
  <si>
    <t>KELAN</t>
  </si>
  <si>
    <t>SO-KS/2606/130197</t>
  </si>
  <si>
    <t>KOMANEKA MONKEY FOREST</t>
  </si>
  <si>
    <t>SO-KS/2606/130198</t>
  </si>
  <si>
    <t>GANGGA COFFEE UBUD</t>
  </si>
  <si>
    <t>SO-KS/2606/130199</t>
  </si>
  <si>
    <t>UD FANNY SUPPLIER</t>
  </si>
  <si>
    <t>NP2</t>
  </si>
  <si>
    <t>300098</t>
  </si>
  <si>
    <t>MAGGI Seasoning @800ml/Btl</t>
  </si>
  <si>
    <t>BTL</t>
  </si>
  <si>
    <t>SO-KU/2606/120013</t>
  </si>
  <si>
    <t>MKU Bali</t>
  </si>
  <si>
    <t>SOHIR SUPPLIER</t>
  </si>
  <si>
    <t>PQW0010</t>
  </si>
  <si>
    <t>IQF FF Shoestring 10Kg/Ctn</t>
  </si>
  <si>
    <t>SO-KU/2606/120018</t>
  </si>
  <si>
    <t>POS0024</t>
  </si>
  <si>
    <t>O Sole Pomodori Pelati Peeled Tomatoes 2.5Kg</t>
  </si>
  <si>
    <t>SO-KU/2606/120034</t>
  </si>
  <si>
    <t>PAS0039</t>
  </si>
  <si>
    <t>Crr Rock'n Simply Crrrrips Straight Cut Fries 2.5 Kg</t>
  </si>
  <si>
    <t>SO-KU/2606/120035</t>
  </si>
  <si>
    <t>PEA0003</t>
  </si>
  <si>
    <t>Gold Box Melange Butter MP331</t>
  </si>
  <si>
    <t>SO-KU/2606/120037</t>
  </si>
  <si>
    <t>POS0025</t>
  </si>
  <si>
    <t>O Sole Doppio Concentrato Paste Tomato 2.2 Kg</t>
  </si>
  <si>
    <t>SO-KU/2606/120038</t>
  </si>
  <si>
    <t>PAS0022</t>
  </si>
  <si>
    <t>Crr Rock'n Simply Crrrrips Straight Cut Fries 10 Kg/Ctn</t>
  </si>
  <si>
    <t>PAL0003</t>
  </si>
  <si>
    <t>Isabi Smoked Salmon Slice 1Kg/Pack</t>
  </si>
  <si>
    <t>SO-KU/2606/120046</t>
  </si>
  <si>
    <t>ANDAZ BALI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</si>
  <si>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</si>
  <si>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</si>
  <si>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</si>
  <si>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</si>
  <si>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</si>
  <si>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</si>
  <si>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SO-KU/2606/120047</t>
  </si>
  <si>
    <t>SO-KU/2606/120049</t>
  </si>
  <si>
    <t>MRD1318A</t>
  </si>
  <si>
    <t>MAMAS BELLY RIND ON SB OUT (SKIN ON) 3-5KG/PACK</t>
  </si>
  <si>
    <t>SO-KU/2606/120050</t>
  </si>
  <si>
    <t>POT0046</t>
  </si>
  <si>
    <t>Australian Butter Unsalted</t>
  </si>
  <si>
    <t>SO-KU/2606/120051</t>
  </si>
  <si>
    <t>150226</t>
  </si>
  <si>
    <t>Belly Skinless Premium (2.5Kg/Pack)</t>
  </si>
  <si>
    <t>SO-KU/2606/120058</t>
  </si>
  <si>
    <t>RITZ CARLTON</t>
  </si>
  <si>
    <t>SO-KU/2606/120061</t>
  </si>
  <si>
    <t>ANVAYA HOTEL</t>
  </si>
  <si>
    <t>PIF0012</t>
  </si>
  <si>
    <t>Pristine Classic Cooking Cream 1 Lt</t>
  </si>
  <si>
    <t>LTR</t>
  </si>
  <si>
    <t>SO-KU/2606/120067</t>
  </si>
  <si>
    <t>SOFITEL BALI ND BEACH RESORT</t>
  </si>
  <si>
    <t>POT0110</t>
  </si>
  <si>
    <t>Bergold Shredded Pizza Topping Mozzarella</t>
  </si>
  <si>
    <t>SO-KU/2606/120073</t>
  </si>
  <si>
    <t>PAS0036</t>
  </si>
  <si>
    <t>Crr Rock'n Hash Brown Triangular 2.5Kg</t>
  </si>
  <si>
    <t>SO-KU/2606/120074</t>
  </si>
  <si>
    <t>MERCURE BALI LEGIAN</t>
  </si>
  <si>
    <t>PAS0014</t>
  </si>
  <si>
    <t>Crr Rock'n Hash Brown Triangular 10Kg/Ctn</t>
  </si>
  <si>
    <t>SO-KU/2606/120075</t>
  </si>
  <si>
    <t>PQW0012</t>
  </si>
  <si>
    <t>IQF FF Shoestring 2.5 Kg/Pack</t>
  </si>
  <si>
    <t>SO-KU/2606/120077</t>
  </si>
  <si>
    <t>SO-KU/2606/120078</t>
  </si>
  <si>
    <t>SO-KU/2606/120079</t>
  </si>
  <si>
    <t>PAS0069</t>
  </si>
  <si>
    <t>Arass English Breakfast Tea 100 Tb</t>
  </si>
  <si>
    <t>BOX</t>
  </si>
  <si>
    <t>SO-KU/2606/130001</t>
  </si>
  <si>
    <t>PMS0092</t>
  </si>
  <si>
    <t>Master House Blend 04 (60:40) M</t>
  </si>
  <si>
    <t>SO-KU/2606/130002</t>
  </si>
  <si>
    <t>ASS-JT-LP250</t>
  </si>
  <si>
    <t>Jasmine Tea @250gr/Pouch</t>
  </si>
  <si>
    <t>SO-KU/2606/130003</t>
  </si>
  <si>
    <t>ASS-PP-LP250</t>
  </si>
  <si>
    <t>Peppermint @250gr</t>
  </si>
  <si>
    <t>ASS-PL-LP250</t>
  </si>
  <si>
    <t>Lemongrass @250gr</t>
  </si>
  <si>
    <t>ASS-CH-L250</t>
  </si>
  <si>
    <t>Chamomile Dream @250gr</t>
  </si>
  <si>
    <t>SO-KU/2606/130006</t>
  </si>
  <si>
    <t>THE UDAYA RESORT</t>
  </si>
  <si>
    <t>POT0038</t>
  </si>
  <si>
    <t>Premium Straight Cut 2Kg</t>
  </si>
  <si>
    <t>SO-KU/2606/130008</t>
  </si>
  <si>
    <t>DE BERRY</t>
  </si>
  <si>
    <t>PMS0024</t>
  </si>
  <si>
    <t>Masterista Original Matcha 800Gr</t>
  </si>
  <si>
    <t>PMS0027</t>
  </si>
  <si>
    <t>Masterista Red Velvet Expecta 800Gr</t>
  </si>
  <si>
    <t>PMS0028</t>
  </si>
  <si>
    <t>Masterista Taro Expecta 800Gr</t>
  </si>
  <si>
    <t>SO-KU/2606/130009</t>
  </si>
  <si>
    <t>JOKER'S BAR &amp; GRILL BALI</t>
  </si>
  <si>
    <t>CKP1S-160</t>
  </si>
  <si>
    <t>Daebak Soju Mango @360ml/btl</t>
  </si>
  <si>
    <t xml:space="preserve"> Kirim diataa jam 1 siang, resto buka siang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</si>
  <si>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</si>
  <si>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</si>
  <si>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</si>
  <si>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</si>
  <si>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</si>
  <si>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</si>
  <si>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SO-KU/2606/130010</t>
  </si>
  <si>
    <t>POT0120</t>
  </si>
  <si>
    <t>Bottegaio Umbro Olio Evo Cucina 5Lt</t>
  </si>
  <si>
    <t>GLN</t>
  </si>
  <si>
    <t>SO-KU/2606/130012</t>
  </si>
  <si>
    <t>SO-KU/2606/130013</t>
  </si>
  <si>
    <t>SO-KU/2606/130014</t>
  </si>
  <si>
    <t>SO-KU/2606/130015</t>
  </si>
  <si>
    <t>PMS0186</t>
  </si>
  <si>
    <t>Masterista Ice shaken es jeruk nipis 1kg</t>
  </si>
  <si>
    <t>SO-KU/2606/130016</t>
  </si>
  <si>
    <t>PEPITO MARKET DEWI SRI</t>
  </si>
  <si>
    <t>CKP1S-165</t>
  </si>
  <si>
    <t>Daebak Soju Original 360ml</t>
  </si>
  <si>
    <t>PJS0006</t>
  </si>
  <si>
    <t>Daebak Spark Blood Orange 330 Ml</t>
  </si>
  <si>
    <t>PJS0007</t>
  </si>
  <si>
    <t>Daebak Spark Grape 330 Ml</t>
  </si>
  <si>
    <t>SO-KU/2606/130017</t>
  </si>
  <si>
    <t>SO-KU/2606/130018</t>
  </si>
  <si>
    <t>SO-KU/2606/130020</t>
  </si>
  <si>
    <t>SO-KU/2606/130021</t>
  </si>
  <si>
    <t>SO-KU/2606/130022</t>
  </si>
  <si>
    <t>SO-KU/2606/130023</t>
  </si>
  <si>
    <t>SO-KU/2606/130024</t>
  </si>
  <si>
    <t>GRAND MERCURE SEMINYAK</t>
  </si>
  <si>
    <t>SO-KU/2606/130025</t>
  </si>
  <si>
    <t>GRAND SEMINYAK</t>
  </si>
  <si>
    <t>PEA0005</t>
  </si>
  <si>
    <t>Gold Box Melange Butter MP331 5 Kg</t>
  </si>
  <si>
    <t>SO-KU/2606/130026</t>
  </si>
  <si>
    <t>PIF0011</t>
  </si>
  <si>
    <t>Pristine Classic Whip Topping 1 Lt</t>
  </si>
  <si>
    <t>SO-KU/2606/130027</t>
  </si>
  <si>
    <t>SO-KU/2606/130028</t>
  </si>
  <si>
    <t>SO-KU/2606/130029</t>
  </si>
  <si>
    <t>SO-KU/2606/130030</t>
  </si>
  <si>
    <t>SO-KU/2606/130031</t>
  </si>
  <si>
    <t>SO-KU/2606/130032</t>
  </si>
  <si>
    <t>SO-KU/2606/130033</t>
  </si>
  <si>
    <t>TERAS KOTA COFFEE EATRY</t>
  </si>
  <si>
    <t>PMS0034</t>
  </si>
  <si>
    <t>Masterista Ice Shaken Lychee Tea 1000Gr</t>
  </si>
  <si>
    <t>PMS0072</t>
  </si>
  <si>
    <t>ICE SHAKEN PEACH TEA 1000 GR</t>
  </si>
  <si>
    <t>PMS0173</t>
  </si>
  <si>
    <t>Masterista Syrup RUM 850 Ml</t>
  </si>
  <si>
    <t>SO-KU/2606/130034</t>
  </si>
  <si>
    <t>PATMOS COFFEE</t>
  </si>
  <si>
    <t>SO-KU/2606/130035</t>
  </si>
  <si>
    <t>SO-KU/2606/130036</t>
  </si>
  <si>
    <t>SO-KU/2606/130037</t>
  </si>
  <si>
    <t>PT. GEMILANG KARYA KULINER (PLAGOO)</t>
  </si>
  <si>
    <t>SO-KU/2606/130038</t>
  </si>
  <si>
    <t>SO-KU/2606/130039</t>
  </si>
  <si>
    <t>COPENHAGEN CAFE PADANG LINJONG</t>
  </si>
  <si>
    <t>SO-KU/2606/130040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</si>
  <si>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</si>
  <si>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</si>
  <si>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</si>
  <si>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</si>
  <si>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</si>
  <si>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SO-KU/2606/130041</t>
  </si>
  <si>
    <t>UD. METRI</t>
  </si>
  <si>
    <t>SO-KU/2606/130042</t>
  </si>
  <si>
    <t xml:space="preserve"> cafe</t>
  </si>
  <si>
    <t>SO-KU/2606/130043</t>
  </si>
  <si>
    <t xml:space="preserve"> oasis</t>
  </si>
  <si>
    <t>SO-KU/2606/130044</t>
  </si>
  <si>
    <t>COPENHAGEN CAFE BERAWA</t>
  </si>
  <si>
    <t>SO-KU/2606/130045</t>
  </si>
  <si>
    <t>KELAPA MUDA UBUD POOL BAR &amp; KITCHEN</t>
  </si>
  <si>
    <t>SO-KU/2606/130046</t>
  </si>
  <si>
    <t>POT0034</t>
  </si>
  <si>
    <t>Premium Straight Cut 6x2Kg</t>
  </si>
  <si>
    <t>SO-KU/2606/130048</t>
  </si>
  <si>
    <t>TMO COFFEE BERAWA</t>
  </si>
  <si>
    <t xml:space="preserve"> KIRIM TMO coffee Berawa
</t>
  </si>
  <si>
    <t>SO-KU/2606/130049</t>
  </si>
  <si>
    <t>TREBACI KITCHEN &amp; BAR KUTA</t>
  </si>
  <si>
    <t>ASS-LY-TB50</t>
  </si>
  <si>
    <t>Lychee Tea @50TB/Box</t>
  </si>
  <si>
    <t>SO-KU/2606/130050</t>
  </si>
  <si>
    <t>TEMPLE RESTAURANT</t>
  </si>
  <si>
    <t>SO-KU/2606/130052</t>
  </si>
  <si>
    <t>PSJ0029</t>
  </si>
  <si>
    <t>Iga Babi</t>
  </si>
  <si>
    <t>Mohon sampai nuris seminyak jam 9 Pagi</t>
  </si>
  <si>
    <t>SO-KU/2606/130053</t>
  </si>
  <si>
    <t>CENDOL RATU</t>
  </si>
  <si>
    <t>PMS0076</t>
  </si>
  <si>
    <t>Masterista Creamer Base (Creamy)</t>
  </si>
  <si>
    <t>SO-KU/2606/130054</t>
  </si>
  <si>
    <t>PSJ0027</t>
  </si>
  <si>
    <t>Iga Babi Super</t>
  </si>
  <si>
    <t>Mohon sampai nuris seminyak jam 10 Pagi</t>
  </si>
  <si>
    <t>SO-KU/2606/130055</t>
  </si>
  <si>
    <t>SO-KU/2606/130057</t>
  </si>
  <si>
    <t>REJEKI FROZEN MART</t>
  </si>
  <si>
    <t>PSJ0019</t>
  </si>
  <si>
    <t>Pork B Sliced (1kg/pack)</t>
  </si>
  <si>
    <t>SO-KU/2606/130059</t>
  </si>
  <si>
    <t>COFFEE CARTEL</t>
  </si>
  <si>
    <t>SO-KU/2606/130060</t>
  </si>
  <si>
    <t>SO-KU/2606/130061</t>
  </si>
  <si>
    <t>SO-KU/2606/130062</t>
  </si>
  <si>
    <t>IAS FOOD SERVICES</t>
  </si>
  <si>
    <t>PAS0064</t>
  </si>
  <si>
    <t>Crr Rock'n Waffle Fries 2.5 Kg</t>
  </si>
  <si>
    <t>SO-KU/2606/130064</t>
  </si>
  <si>
    <t>PAYA BEACH CLUB</t>
  </si>
  <si>
    <t>barangnya dikirim ke Lyra cofe</t>
  </si>
  <si>
    <t>SO-KU/2606/130065</t>
  </si>
  <si>
    <t>ULU SEGARA LUXURY SUITES &amp; VILLAS</t>
  </si>
  <si>
    <t>SO-KU/2606/130066</t>
  </si>
  <si>
    <t>W HOTEL</t>
  </si>
  <si>
    <t>SO-KU/2606/130067</t>
  </si>
  <si>
    <t>PDM0004</t>
  </si>
  <si>
    <t>Armando Spaghetti 500 Gr/Pack</t>
  </si>
  <si>
    <t>SO-KU/2606/130068</t>
  </si>
  <si>
    <t>PAS0015</t>
  </si>
  <si>
    <t>Crr Rock'n Super Crispy Jakets Spicy Wedges 10Kg/Ctn</t>
  </si>
  <si>
    <t>PAS0026</t>
  </si>
  <si>
    <t>Crr Rock'n Batter Skin On Fries 9x9mm 10Kg/Ctn</t>
  </si>
  <si>
    <t>SO-KU/2606/130069</t>
  </si>
  <si>
    <t>ASS-EGT</t>
  </si>
  <si>
    <t>Earl Grey @50TB/Box</t>
  </si>
  <si>
    <t>ASS-JVJ</t>
  </si>
  <si>
    <t>Javanese Jasmine Tea @50TB/Box</t>
  </si>
  <si>
    <t>ASS-PGT</t>
  </si>
  <si>
    <t>Pure Green Tea @50TB/Box</t>
  </si>
  <si>
    <t>SO-KU/2606/130070</t>
  </si>
  <si>
    <t>JOHNNY ROCKET BANDARA INTERNASIONAL</t>
  </si>
  <si>
    <t>SO-KU/2606/130071</t>
  </si>
  <si>
    <t>JOHNNY ROCKET SEMINYAK</t>
  </si>
  <si>
    <t>SO-KU/2606/130072</t>
  </si>
  <si>
    <t>JOHNNY ROCKET (BEACHWALK)</t>
  </si>
  <si>
    <t>SO-KU/2606/130073</t>
  </si>
  <si>
    <t>SO-KU/2606/130075</t>
  </si>
  <si>
    <t>SO-KU/2606/130076</t>
  </si>
  <si>
    <t>SO-KU/2606/130077</t>
  </si>
  <si>
    <t>THE KAYON VALLEY RESORT</t>
  </si>
  <si>
    <t>ASS-CH-TB50</t>
  </si>
  <si>
    <t>Chamomile Dream @50Tb/Box</t>
  </si>
  <si>
    <t>SO-KU/2606/130078</t>
  </si>
  <si>
    <t>PT. SOEJASCH BALI</t>
  </si>
  <si>
    <t>PAS0053</t>
  </si>
  <si>
    <t>Crr Rock'n Waffle Fries 10Kg/Ctn</t>
  </si>
  <si>
    <t>SPC JOGJA NO 275</t>
  </si>
  <si>
    <t>SO-KU/2606/130079</t>
  </si>
  <si>
    <t>PEA0004</t>
  </si>
  <si>
    <t>Gold Box Extra Butter MP341</t>
  </si>
  <si>
    <t>SPC JKT NO 288</t>
  </si>
  <si>
    <t>SO-KU/2606/130080</t>
  </si>
  <si>
    <t>PQW0004</t>
  </si>
  <si>
    <t>IQF White Onion Whole 10Kg/Ctn</t>
  </si>
  <si>
    <t>WHM</t>
  </si>
  <si>
    <t>SO-KU/2606/130081</t>
  </si>
  <si>
    <t>SO-KU/2606/130082</t>
  </si>
  <si>
    <t>BAR CRETYA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</si>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</sst>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8.339058333331" createdVersion="8" refreshedVersion="8" minRefreshableVersion="3" recordCount="344" xr:uid="{4077C3A0-4D02-42D7-BE31-E849241D2C82}">
  <cacheSource type="worksheet">
    <worksheetSource ref="A1:Q345" sheet="Sheet"/>
  </cacheSource>
  <cacheFields count="17">
    <cacheField name="Tgl Kirim" numFmtId="164">
      <sharedItems containsSemiMixedTypes="0" containsNonDate="0" containsDate="1" containsString="0" minDate="2026-06-15T00:00:00" maxDate="2026-06-16T00:00:00"/>
    </cacheField>
    <cacheField name="Tgl SO" numFmtId="164">
      <sharedItems containsSemiMixedTypes="0" containsNonDate="0" containsDate="1" containsString="0" minDate="2026-06-12T00:00:00" maxDate="2026-06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5">
        <s v="PT. AMAN BALI NUSA LAUT (LUIGIS HOT PIZZA)"/>
        <s v="TUI BLUE BERAWA HOTEL"/>
        <s v="TT BEACH CLUB"/>
        <s v="THE MAGANI HOTEL &amp; SPA"/>
        <s v="MRS. SIPPY"/>
        <s v="KUTA HERITAGE"/>
        <s v="GRAND HYATT NUSA DUA"/>
        <s v="AUTOGRILL"/>
        <s v="PT. NYIUR MELAMBAI LAMBAI"/>
        <s v="CONRAD HOTEL"/>
        <s v="PENINSULA BEACH RESORT"/>
        <s v="ALILA ULUWATU VILLA"/>
        <s v="LE MERIDIEN JIMBARAN"/>
        <s v="SHERATON BALI KUTA RESORT"/>
        <s v="HARRIS HOTEL KUTA TUBAN"/>
        <s v="AKARI RAMEN"/>
        <s v="THE LAGUNA"/>
        <s v="TRIBE HOTEL KUTA"/>
        <s v="MAMAKA"/>
        <s v="PT. SSP TAURUS GEMILANG INDONESIA"/>
        <s v="KORI RESTAURANT"/>
        <s v="MAURI RESTAURANT"/>
        <s v="TAKE RESTAURANT"/>
        <s v="LITTLE UJI"/>
        <s v="ZIN CAFE CANGGU"/>
        <s v="TACO CASA SEMINYAK"/>
        <s v="TACO CASA CANGGU"/>
        <s v="ACALA BENOA"/>
        <s v="KARANA LEMBONGAN"/>
        <s v="CACTUS BEACH CLUB &amp; RESTAURANT"/>
        <s v="BOGA MAS"/>
        <s v="LA LUCCIOLA RESTORAN"/>
        <s v="PIE SUSU AJIK"/>
        <s v="PADMA UBUD RESORT"/>
        <s v="HARIANTO (UD. DIAN PRIMA)"/>
        <s v="ARTE CANGGU"/>
        <s v="YAMMA YAA LEGIAN"/>
        <s v="ISLAND CAFE &amp; BRUNCH"/>
        <s v="BO DAN BUN RESTAURANT"/>
        <s v="PT BALI PERKASASUKSES"/>
        <s v="WARUNG CORNER (ITALIAN CORNER)"/>
        <s v="HOLIDAY INN TANJUNG BENOA"/>
        <s v="JUMEIRAH"/>
        <s v="PT. GANGSAR ARTA MULIA"/>
        <s v="INTERCONTINENTAL BALI RESORT"/>
        <s v="CV JARIMANIS ARDHI RAYA"/>
        <s v="GYUKAKU RESTORAN ( ICON MALL BALI )"/>
        <s v="PEPITO MARKET SESETAN"/>
        <s v="CV. FENNY BERSAMA"/>
        <s v="PT. SARI BURGER INDONESIA"/>
        <s v="MAYA UBUD"/>
        <s v="HILTON HOTEL"/>
        <s v="MOVENPICK"/>
        <s v="ROUMS COFE"/>
        <s v="LE CROISSANT"/>
        <s v="AL'S COFFEE &amp; GELATO"/>
        <s v="ZERO 4 KARAOKE"/>
        <s v="PT. FASTFOOD INDONESIA (KFC TRAGIA)"/>
        <s v="BIKU RESTAURANT"/>
        <s v="ZAP CLINIC - BALI"/>
        <s v="LEGUSTAN BAKERY"/>
        <s v="TABU ULUWATU"/>
        <s v="VIVRE CATERING"/>
        <s v="FOLD UBUD"/>
        <s v="CENTRAL KITCHEN LOSTERIA (SUKAWATI)"/>
        <s v="LOSTERIA RESTO (UBUD)"/>
        <s v="FASAFAS BAKERY UBUD"/>
        <s v="MOONSTONE BEACH LOUNGE"/>
        <s v="CHEEKY MONKEY"/>
        <s v="RITZ CARLTON RESERVE MANDAPA"/>
        <s v="GODDES BAKERY ( GOLDEN BAKERY )"/>
        <s v="PARADISUS BY MELIA NUSA DUA"/>
        <s v="BAMBU BALI ULUWATU"/>
        <s v="DAENG BURGER UMALAS"/>
        <s v="KABAK BAKERY"/>
        <s v="LA TERAZA"/>
        <s v="PT. FASTFOOD INDONESIA ( KFC GATSU BARAT )"/>
        <s v="UD DAMA SEMESTA"/>
        <s v="SHABURI KINTAN"/>
        <s v="ZAP RENON BALI"/>
        <s v="KAIZEN RENON"/>
        <s v="AYAPI ASIAN FODIZ"/>
        <s v="HONEY SALT CAFE"/>
        <s v="RUMAH LAWAS KOPI PUPUTAN"/>
        <s v="RUMAH LAWAS KOPI TUKAD UNDA"/>
        <s v="RUMAH LAWAS KOPI NARAKUSUMA"/>
        <s v="FINNS BEACH CLUB"/>
        <s v="RUMAH RAKYAT COFFEE"/>
        <s v="CRAVED"/>
        <s v="ALAS HARUM UBUD"/>
        <s v="LOSTERIA JIMBARAN"/>
        <s v="CP LOUNGE UBUD"/>
        <s v="CV. BACCHUS"/>
        <s v="PT. APULIA FOOD BALI (BONITO FISH BAR)"/>
        <s v="NANDIYA BAKERY"/>
        <s v="HYATT REGENCY SANUR"/>
        <s v="TROPICAL RESTAURANT 3"/>
        <s v="KILO RESTAURANT"/>
        <s v="PENJUALAN CASH"/>
        <s v="MERUSAKA NUSA DUA"/>
        <s v="CV. KASIH HOKI"/>
        <s v="KING GEPREK PUSAT"/>
        <s v="METLAND VENYA UBUD"/>
        <s v="BALI MANDIRA"/>
        <s v="LA BRISA BALI"/>
        <s v="PT. KREASI BALI PRIMA"/>
        <s v="CAPTAIN BURGER"/>
        <s v="RAMEN 1 ICON SANUR MALL"/>
        <s v="SECANA BEACH TOWN"/>
        <s v="PT. FASTFOOD INDONESIA (KFC KUTA SQUARE)"/>
        <s v="PT. SILOAM INTERNATIONAL HOSPITALS TBK"/>
        <s v="PT. BOGAJAYA INTERNASIONAL JAYA ABADI"/>
        <s v="MASONRY CANGGU"/>
        <s v="PT. CIPTA RASA MULTINDO (PETIT PARIS BOULENGERIE B"/>
        <s v="CV TROPICAL"/>
        <s v="WILD HABIT PIZZERIA"/>
        <s v="PT. GRAHA ALAM LESTARI"/>
        <s v="DAS BISTRO"/>
        <s v="WINGSTOP LIVING WORLD"/>
        <s v="THE WESTIN RESORT NUSA DUA"/>
        <s v="REVOLVER OBEROI"/>
        <s v="MAMAS GERMAN REST."/>
        <s v="GOURMET GARAGE (PT. WAHANA BOGA NUSANTARA)"/>
        <s v="DESA KOPI BALI"/>
        <s v="SISTERFIELDS CAFE"/>
        <s v="KOMANEKA MONKEY FOREST"/>
        <s v="GANGGA COFFEE UBUD"/>
        <s v="UD FANNY SUPPLIER"/>
        <s v="SOHIR SUPPLIER"/>
        <s v="ANDAZ BALI"/>
        <s v="RITZ CARLTON"/>
        <s v="ANVAYA HOTEL"/>
        <s v="SOFITEL BALI ND BEACH RESORT"/>
        <s v="MERCURE BALI LEGIAN"/>
        <s v="FOUR SEASON RESORT BALI"/>
        <s v="THE UDAYA RESORT"/>
        <s v="DE BERRY"/>
        <s v="JOKER'S BAR &amp; GRILL BALI"/>
        <s v="PEPITO MARKET DEWI SRI"/>
        <s v="GRAND MERCURE SEMINYAK"/>
        <s v="GRAND SEMINYAK"/>
        <s v="TERAS KOTA COFFEE EATRY"/>
        <s v="PATMOS COFFEE"/>
        <s v="PT. GEMILANG KARYA KULINER (PLAGOO)"/>
        <s v="COPENHAGEN CAFE PADANG LINJONG"/>
        <s v="NAUGHTY NURIS SANUR"/>
        <s v="UD. METRI"/>
        <s v="COPENHAGEN CAFE BERAWA"/>
        <s v="KELAPA MUDA UBUD POOL BAR &amp; KITCHEN"/>
        <s v="TMO COFFEE BERAWA"/>
        <s v="TREBACI KITCHEN &amp; BAR KUTA"/>
        <s v="TEMPLE RESTAURANT"/>
        <s v="NAUGHTY NURIS SEMINYAK"/>
        <s v="CENDOL RATU"/>
        <s v="REJEKI FROZEN MART"/>
        <s v="COFFEE CARTEL"/>
        <s v="IAS FOOD SERVICES"/>
        <s v="PAYA BEACH CLUB"/>
        <s v="ULU SEGARA LUXURY SUITES &amp; VILLAS"/>
        <s v="W HOTEL"/>
        <s v="JOHNNY ROCKET BANDARA INTERNASIONAL"/>
        <s v="JOHNNY ROCKET SEMINYAK"/>
        <s v="JOHNNY ROCKET (BEACHWALK)"/>
        <s v="THE KAYON VALLEY RESORT"/>
        <s v="PT. SOEJASCH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Dewi Kristiani"/>
        <s v="Juni"/>
        <s v="LANI"/>
        <s v="Sujana"/>
        <s v="Monica"/>
        <s v="Eka"/>
        <s v="NP3"/>
        <s v="Ni Ketut Sriasih (GT)"/>
        <s v="Lani P"/>
        <s v="Picrom Stalyon"/>
        <s v="Wira"/>
        <s v="NP4"/>
        <s v="NP1"/>
        <s v="Ni Ketut Sriasih (MT)"/>
        <s v="I MADE LUIH"/>
        <s v="I Made Luih (Sanur)"/>
        <s v="Management Bali"/>
        <s v="NP2"/>
        <s v="NN Made Luih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800"/>
    </cacheField>
    <cacheField name="Satuan" numFmtId="0">
      <sharedItems/>
    </cacheField>
    <cacheField name="FJ (Pcs)" numFmtId="165">
      <sharedItems containsSemiMixedTypes="0" containsString="0" containsNumber="1" minValue="1" maxValue="800"/>
    </cacheField>
    <cacheField name="Sub T.Jual(Rp)" numFmtId="165">
      <sharedItems containsSemiMixedTypes="0" containsString="0" containsNumber="1" minValue="25000" maxValue="79799999.5"/>
    </cacheField>
    <cacheField name="BS-SO(Pcs)" numFmtId="165">
      <sharedItems containsSemiMixedTypes="0" containsString="0" containsNumber="1" minValue="-10.75" maxValue="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d v="2026-06-15T00:00:00"/>
    <d v="2026-06-12T00:00:00"/>
    <s v="SO-KS/2606/120088"/>
    <s v="MKS Bali"/>
    <x v="0"/>
    <x v="0"/>
    <x v="0"/>
    <s v="SFM007"/>
    <s v="Tepung Double Zero @25Kg/Sack"/>
    <n v="3"/>
    <s v="SACK"/>
    <n v="3"/>
    <n v="900000"/>
    <n v="0"/>
    <s v="Invoice"/>
    <s v="Sudah Jadi FJ"/>
    <s v="KIRIM SENIN KE LUIGI"/>
  </r>
  <r>
    <d v="2026-06-15T00:00:00"/>
    <d v="2026-06-12T00:00:00"/>
    <s v="SO-KS/2606/120088"/>
    <s v="MKS Bali"/>
    <x v="0"/>
    <x v="0"/>
    <x v="0"/>
    <s v="SFM052"/>
    <s v="Inofa Heat Treated Wheat Flour SF 346 @25kg/sack"/>
    <n v="1"/>
    <s v="SACK"/>
    <n v="1"/>
    <n v="565000"/>
    <n v="0"/>
    <s v="Invoice"/>
    <s v="Sudah Jadi FJ"/>
    <s v="KIRIM SENIN KE LUIGI"/>
  </r>
  <r>
    <d v="2026-06-15T00:00:00"/>
    <d v="2026-06-12T00:00:00"/>
    <s v="SO-KS/2606/120094"/>
    <s v="MKS Bali"/>
    <x v="1"/>
    <x v="0"/>
    <x v="1"/>
    <s v="PSF0014"/>
    <s v="Tepung 00 Fusion @25Kg"/>
    <n v="4"/>
    <s v="SACK"/>
    <n v="4"/>
    <n v="1140000.01"/>
    <n v="0"/>
    <s v="Invoice"/>
    <s v="Sudah Jadi FJ"/>
    <s v="Di kirim senin"/>
  </r>
  <r>
    <d v="2026-06-15T00:00:00"/>
    <d v="2026-06-12T00:00:00"/>
    <s v="SO-KS/2606/120115"/>
    <s v="MKS Bali"/>
    <x v="2"/>
    <x v="0"/>
    <x v="2"/>
    <s v="080240"/>
    <s v="THE ALTERNATIVE Barista Oat Milk 1 Lt"/>
    <n v="3"/>
    <s v="PCS"/>
    <n v="3"/>
    <n v="139860"/>
    <n v="0"/>
    <s v="Invoice"/>
    <s v="Sudah Jadi FJ"/>
    <s v=""/>
  </r>
  <r>
    <d v="2026-06-15T00:00:00"/>
    <d v="2026-06-12T00:00:00"/>
    <s v="SO-KS/2606/120115"/>
    <s v="MKS Bali"/>
    <x v="2"/>
    <x v="0"/>
    <x v="2"/>
    <s v="080241"/>
    <s v="THE ALTERNATIVE Barista Almond Milk 1 Lt"/>
    <n v="3"/>
    <s v="PCS"/>
    <n v="3"/>
    <n v="139860"/>
    <n v="0"/>
    <s v="Invoice"/>
    <s v="Sudah Jadi FJ"/>
    <s v=""/>
  </r>
  <r>
    <d v="2026-06-15T00:00:00"/>
    <d v="2026-06-12T00:00:00"/>
    <s v="SO-KS/2606/120122"/>
    <s v="MKS Bali"/>
    <x v="3"/>
    <x v="0"/>
    <x v="3"/>
    <s v="SFM007"/>
    <s v="Tepung Double Zero @25Kg/Sack"/>
    <n v="6"/>
    <s v="SACK"/>
    <n v="6"/>
    <n v="1964700"/>
    <n v="0"/>
    <s v="Invoice"/>
    <s v="Sudah Jadi FJ"/>
    <s v="kirim Senin, 15 Juni 2026"/>
  </r>
  <r>
    <d v="2026-06-15T00:00:00"/>
    <d v="2026-06-12T00:00:00"/>
    <s v="SO-KS/2606/120157"/>
    <s v="MKS Bali"/>
    <x v="4"/>
    <x v="0"/>
    <x v="4"/>
    <s v="SFM007"/>
    <s v="Tepung Double Zero @25Kg/Sack"/>
    <n v="4"/>
    <s v="SACK"/>
    <n v="4"/>
    <n v="1120000"/>
    <n v="0"/>
    <s v="Invoice"/>
    <s v="Sudah Jadi FJ"/>
    <s v="kirim senin"/>
  </r>
  <r>
    <d v="2026-06-15T00:00:00"/>
    <d v="2026-06-12T00:00:00"/>
    <s v="SO-KS/2606/120164"/>
    <s v="MKS Bali"/>
    <x v="5"/>
    <x v="0"/>
    <x v="3"/>
    <s v="SFM007"/>
    <s v="Tepung Double Zero @25Kg/Sack"/>
    <n v="1"/>
    <s v="SACK"/>
    <n v="1"/>
    <n v="290000"/>
    <n v="0"/>
    <s v="Invoice"/>
    <s v="Sudah Jadi FJ"/>
    <s v=""/>
  </r>
  <r>
    <d v="2026-06-15T00:00:00"/>
    <d v="2026-06-12T00:00:00"/>
    <s v="SO-KS/2606/120166"/>
    <s v="MKS Bali"/>
    <x v="6"/>
    <x v="0"/>
    <x v="5"/>
    <s v="SFM052"/>
    <s v="Inofa Heat Treated Wheat Flour SF 346 @25kg/sack"/>
    <n v="1"/>
    <s v="SACK"/>
    <n v="1"/>
    <n v="577200"/>
    <n v="0"/>
    <s v="Invoice"/>
    <s v="Sudah Jadi FJ"/>
    <s v=""/>
  </r>
  <r>
    <d v="2026-06-15T00:00:00"/>
    <d v="2026-06-12T00:00:00"/>
    <s v="SO-KS/2606/120168"/>
    <s v="MKS Bali"/>
    <x v="7"/>
    <x v="0"/>
    <x v="6"/>
    <s v="SFM007"/>
    <s v="Tepung Double Zero @25Kg/Sack"/>
    <n v="8"/>
    <s v="SACK"/>
    <n v="8"/>
    <n v="2480000"/>
    <n v="0"/>
    <s v="Invoice"/>
    <s v="Sudah Jadi FJ"/>
    <s v=""/>
  </r>
  <r>
    <d v="2026-06-15T00:00:00"/>
    <d v="2026-06-12T00:00:00"/>
    <s v="SO-KS/2606/120169"/>
    <s v="MKS Bali"/>
    <x v="7"/>
    <x v="0"/>
    <x v="6"/>
    <s v="SFM007"/>
    <s v="Tepung Double Zero @25Kg/Sack"/>
    <n v="2"/>
    <s v="SACK"/>
    <n v="2"/>
    <n v="620000"/>
    <n v="0"/>
    <s v="Invoice"/>
    <s v="Sudah Jadi FJ"/>
    <s v=""/>
  </r>
  <r>
    <d v="2026-06-15T00:00:00"/>
    <d v="2026-06-12T00:00:00"/>
    <s v="SO-KS/2606/120174"/>
    <s v="MKS Bali"/>
    <x v="8"/>
    <x v="0"/>
    <x v="4"/>
    <s v="SFM009"/>
    <s v="Tepung Hime @25Kg/Sack"/>
    <n v="2"/>
    <s v="SACK"/>
    <n v="2"/>
    <n v="610000"/>
    <n v="0"/>
    <s v="Invoice"/>
    <s v="Sudah Jadi FJ"/>
    <s v="damaria . kirim senin"/>
  </r>
  <r>
    <d v="2026-06-15T00:00:00"/>
    <d v="2026-06-12T00:00:00"/>
    <s v="SO-KS/2606/120174"/>
    <s v="MKS Bali"/>
    <x v="8"/>
    <x v="0"/>
    <x v="4"/>
    <s v="SFM007"/>
    <s v="Tepung Double Zero @25Kg/Sack"/>
    <n v="1"/>
    <s v="SACK"/>
    <n v="1"/>
    <n v="300000"/>
    <n v="0"/>
    <s v="Invoice"/>
    <s v="Sudah Jadi FJ"/>
    <s v="damaria . kirim senin"/>
  </r>
  <r>
    <d v="2026-06-15T00:00:00"/>
    <d v="2026-06-12T00:00:00"/>
    <s v="SO-KS/2606/120180"/>
    <s v="MKS Bali"/>
    <x v="7"/>
    <x v="0"/>
    <x v="6"/>
    <s v="PSJ0127"/>
    <s v="Amron Striploin Whole"/>
    <n v="15"/>
    <s v="KG"/>
    <n v="14.89"/>
    <n v="2010150"/>
    <n v="-0.11"/>
    <s v="Invoice"/>
    <s v="Sudah Jadi FJ"/>
    <s v=""/>
  </r>
  <r>
    <d v="2026-06-15T00:00:00"/>
    <d v="2026-06-12T00:00:00"/>
    <s v="SO-KS/2606/120181"/>
    <s v="MKS Bali"/>
    <x v="9"/>
    <x v="0"/>
    <x v="5"/>
    <s v="PSJ0228"/>
    <s v="Premium Minced Beef (2.5kg/pack)"/>
    <n v="20"/>
    <s v="KG"/>
    <n v="20"/>
    <n v="2100000"/>
    <n v="0"/>
    <s v="Invoice"/>
    <s v="Sudah Jadi FJ"/>
    <s v=""/>
  </r>
  <r>
    <d v="2026-06-15T00:00:00"/>
    <d v="2026-06-12T00:00:00"/>
    <s v="SO-KS/2606/120183"/>
    <s v="MKS Bali"/>
    <x v="9"/>
    <x v="0"/>
    <x v="5"/>
    <s v="SFM007"/>
    <s v="Tepung Double Zero @25Kg/Sack"/>
    <n v="10"/>
    <s v="SACK"/>
    <n v="10"/>
    <n v="2800000"/>
    <n v="0"/>
    <s v="Invoice"/>
    <s v="Sudah Jadi FJ"/>
    <s v=""/>
  </r>
  <r>
    <d v="2026-06-15T00:00:00"/>
    <d v="2026-06-12T00:00:00"/>
    <s v="SO-KS/2606/120183"/>
    <s v="MKS Bali"/>
    <x v="9"/>
    <x v="0"/>
    <x v="5"/>
    <s v="SFM018"/>
    <s v="Tepung Ninja @25Kg/Sack"/>
    <n v="4"/>
    <s v="SACK"/>
    <n v="4"/>
    <n v="1120000"/>
    <n v="0"/>
    <s v="Invoice"/>
    <s v="Sudah Jadi FJ"/>
    <s v=""/>
  </r>
  <r>
    <d v="2026-06-15T00:00:00"/>
    <d v="2026-06-12T00:00:00"/>
    <s v="SO-KS/2606/120184"/>
    <s v="MKS Bali"/>
    <x v="9"/>
    <x v="0"/>
    <x v="5"/>
    <s v="PPA0024"/>
    <s v="Canary Lactic Butter Sheet 10Kg/Ctn"/>
    <n v="1"/>
    <s v="KTN"/>
    <n v="1"/>
    <n v="2400000"/>
    <n v="0"/>
    <s v="Invoice"/>
    <s v="Sudah Jadi FJ"/>
    <s v=""/>
  </r>
  <r>
    <d v="2026-06-15T00:00:00"/>
    <d v="2026-06-12T00:00:00"/>
    <s v="SO-KS/2606/120184"/>
    <s v="MKS Bali"/>
    <x v="9"/>
    <x v="0"/>
    <x v="5"/>
    <s v="PPA0028"/>
    <s v="Canary Lactic Butter Sheet 1Kg/Pack"/>
    <n v="5"/>
    <s v="PACK"/>
    <n v="5"/>
    <n v="1200000"/>
    <n v="0"/>
    <s v="Invoice"/>
    <s v="Sudah Jadi FJ"/>
    <s v=""/>
  </r>
  <r>
    <d v="2026-06-15T00:00:00"/>
    <d v="2026-06-12T00:00:00"/>
    <s v="SO-KS/2606/120185"/>
    <s v="MKS Bali"/>
    <x v="9"/>
    <x v="0"/>
    <x v="5"/>
    <s v="PSJ0044"/>
    <s v="Halal Premium Oxtail Whole Cut 3Cm (2 Kg/Pack)"/>
    <n v="15"/>
    <s v="KG"/>
    <n v="14.01"/>
    <n v="3152250"/>
    <n v="-0.99"/>
    <s v="Invoice"/>
    <s v="Sudah Jadi FJ"/>
    <s v=""/>
  </r>
  <r>
    <d v="2026-06-15T00:00:00"/>
    <d v="2026-06-12T00:00:00"/>
    <s v="SO-KS/2606/120190"/>
    <s v="MKS Bali"/>
    <x v="10"/>
    <x v="0"/>
    <x v="5"/>
    <s v="PSJ0011"/>
    <s v="Chuck Tenderloin Whole"/>
    <n v="3"/>
    <s v="KG"/>
    <n v="3.42"/>
    <n v="547200"/>
    <n v="0.42"/>
    <s v="Invoice"/>
    <s v="Sudah Jadi FJ"/>
    <s v="kirim senin"/>
  </r>
  <r>
    <d v="2026-06-15T00:00:00"/>
    <d v="2026-06-12T00:00:00"/>
    <s v="SO-KS/2606/120194"/>
    <s v="MKS Bali"/>
    <x v="11"/>
    <x v="0"/>
    <x v="5"/>
    <s v="SFM007"/>
    <s v="Tepung Double Zero @25Kg/Sack"/>
    <n v="2"/>
    <s v="SACK"/>
    <n v="2"/>
    <n v="559999.99"/>
    <n v="0"/>
    <s v="Invoice"/>
    <s v="Sudah Jadi FJ"/>
    <s v=""/>
  </r>
  <r>
    <d v="2026-06-15T00:00:00"/>
    <d v="2026-06-12T00:00:00"/>
    <s v="SO-KS/2606/120194"/>
    <s v="MKS Bali"/>
    <x v="11"/>
    <x v="0"/>
    <x v="5"/>
    <s v="SFM009"/>
    <s v="Tepung Hime @25Kg/Sack"/>
    <n v="2"/>
    <s v="SACK"/>
    <n v="2"/>
    <n v="580000"/>
    <n v="0"/>
    <s v="Invoice"/>
    <s v="Sudah Jadi FJ"/>
    <s v=""/>
  </r>
  <r>
    <d v="2026-06-15T00:00:00"/>
    <d v="2026-06-12T00:00:00"/>
    <s v="SO-KS/2606/120194"/>
    <s v="MKS Bali"/>
    <x v="11"/>
    <x v="0"/>
    <x v="5"/>
    <s v="SFM018"/>
    <s v="Tepung Ninja @25Kg/Sack"/>
    <n v="1"/>
    <s v="SACK"/>
    <n v="1"/>
    <n v="280000.01"/>
    <n v="0"/>
    <s v="Invoice"/>
    <s v="Sudah Jadi FJ"/>
    <s v=""/>
  </r>
  <r>
    <d v="2026-06-15T00:00:00"/>
    <d v="2026-06-12T00:00:00"/>
    <s v="SO-KS/2606/120207"/>
    <s v="MKS Bali"/>
    <x v="12"/>
    <x v="0"/>
    <x v="5"/>
    <s v="PSJ0127"/>
    <s v="Amron Striploin Whole"/>
    <n v="3"/>
    <s v="KG"/>
    <n v="2.37"/>
    <n v="355500"/>
    <n v="-0.63"/>
    <s v="Invoice"/>
    <s v="Sudah Jadi FJ"/>
    <s v=""/>
  </r>
  <r>
    <d v="2026-06-15T00:00:00"/>
    <d v="2026-06-12T00:00:00"/>
    <s v="SO-KS/2606/120213"/>
    <s v="MKS Bali"/>
    <x v="13"/>
    <x v="0"/>
    <x v="3"/>
    <s v="120007"/>
    <s v="Tepung Double Zero 1kg/pack"/>
    <n v="4"/>
    <s v="KG"/>
    <n v="4"/>
    <n v="66600"/>
    <n v="0"/>
    <s v="Invoice"/>
    <s v="Sudah Jadi FJ"/>
    <s v=""/>
  </r>
  <r>
    <d v="2026-06-15T00:00:00"/>
    <d v="2026-06-12T00:00:00"/>
    <s v="SO-KS/2606/120221"/>
    <s v="MKS Bali"/>
    <x v="14"/>
    <x v="0"/>
    <x v="3"/>
    <s v="080241"/>
    <s v="THE ALTERNATIVE Barista Almond Milk 1 Lt"/>
    <n v="5"/>
    <s v="PCS"/>
    <n v="5"/>
    <n v="227499.99"/>
    <n v="0"/>
    <s v="Invoice"/>
    <s v="Sudah Jadi FJ"/>
    <s v=""/>
  </r>
  <r>
    <d v="2026-06-15T00:00:00"/>
    <d v="2026-06-12T00:00:00"/>
    <s v="SO-KS/2606/120226"/>
    <s v="MKS Bali"/>
    <x v="15"/>
    <x v="0"/>
    <x v="7"/>
    <s v="060013"/>
    <s v="Nestea Lemon Tea 1kg/Pack"/>
    <n v="24"/>
    <s v="PACK"/>
    <n v="24"/>
    <n v="1691640"/>
    <n v="0"/>
    <s v="Invoice"/>
    <s v="Sudah Jadi FJ"/>
    <s v="kirim senin"/>
  </r>
  <r>
    <d v="2026-06-15T00:00:00"/>
    <d v="2026-06-12T00:00:00"/>
    <s v="SO-KS/2606/120226"/>
    <s v="MKS Bali"/>
    <x v="15"/>
    <x v="0"/>
    <x v="7"/>
    <s v="060015"/>
    <s v="Nestea Lychee Tea Npro 560gr/Pack"/>
    <n v="24"/>
    <s v="PACK"/>
    <n v="24"/>
    <n v="1345320"/>
    <n v="0"/>
    <s v="Invoice"/>
    <s v="Sudah Jadi FJ"/>
    <s v="kirim senin"/>
  </r>
  <r>
    <d v="2026-06-15T00:00:00"/>
    <d v="2026-06-12T00:00:00"/>
    <s v="SO-KS/2606/120226"/>
    <s v="MKS Bali"/>
    <x v="15"/>
    <x v="0"/>
    <x v="7"/>
    <s v="060016"/>
    <s v="Nestea Teh Tarik NPro 960gr/Pack"/>
    <n v="16"/>
    <s v="PACK"/>
    <n v="16"/>
    <n v="1900320"/>
    <n v="0"/>
    <s v="Invoice"/>
    <s v="Sudah Jadi FJ"/>
    <s v="kirim senin"/>
  </r>
  <r>
    <d v="2026-06-15T00:00:00"/>
    <d v="2026-06-12T00:00:00"/>
    <s v="SO-KS/2606/120234"/>
    <s v="MKS Bali"/>
    <x v="16"/>
    <x v="0"/>
    <x v="5"/>
    <s v="PSF0005"/>
    <s v="Tepung Pita Emas @25Kg/Sack"/>
    <n v="8"/>
    <s v="SACK"/>
    <n v="8"/>
    <n v="1968000"/>
    <n v="0"/>
    <s v="Invoice"/>
    <s v="Sudah Jadi FJ"/>
    <s v=""/>
  </r>
  <r>
    <d v="2026-06-15T00:00:00"/>
    <d v="2026-06-12T00:00:00"/>
    <s v="SO-KS/2606/120235"/>
    <s v="MKS Bali"/>
    <x v="16"/>
    <x v="0"/>
    <x v="5"/>
    <s v="PPA0092"/>
    <s v="Emborg Pizza Topping 2.3 Kg"/>
    <n v="23"/>
    <s v="KG"/>
    <n v="23"/>
    <n v="2300000"/>
    <n v="0"/>
    <s v="Invoice"/>
    <s v="Sudah Jadi FJ"/>
    <s v=""/>
  </r>
  <r>
    <d v="2026-06-15T00:00:00"/>
    <d v="2026-06-12T00:00:00"/>
    <s v="SO-KS/2606/120257"/>
    <s v="MKS Bali"/>
    <x v="17"/>
    <x v="0"/>
    <x v="3"/>
    <s v="PPA0092"/>
    <s v="Emborg Pizza Topping 2.3 Kg"/>
    <n v="4.5"/>
    <s v="KG"/>
    <n v="4.5999999999999996"/>
    <n v="432400.02"/>
    <n v="0.1"/>
    <s v="Invoice"/>
    <s v="Sudah Jadi FJ"/>
    <s v=""/>
  </r>
  <r>
    <d v="2026-06-15T00:00:00"/>
    <d v="2026-06-12T00:00:00"/>
    <s v="SO-KS/2606/120260"/>
    <s v="MKS Bali"/>
    <x v="17"/>
    <x v="0"/>
    <x v="3"/>
    <s v="PSJ0044"/>
    <s v="Halal Premium Oxtail Whole Cut 3Cm (2 Kg/Pack)"/>
    <n v="2"/>
    <s v="KG"/>
    <n v="2.31"/>
    <n v="554400"/>
    <n v="0.31"/>
    <s v="Invoice"/>
    <s v="Sudah Jadi FJ"/>
    <s v=""/>
  </r>
  <r>
    <d v="2026-06-15T00:00:00"/>
    <d v="2026-06-12T00:00:00"/>
    <s v="SO-KS/2606/120260"/>
    <s v="MKS Bali"/>
    <x v="17"/>
    <x v="0"/>
    <x v="3"/>
    <s v="PSJ0046"/>
    <s v="Allana Tenderloin Whole"/>
    <n v="2"/>
    <s v="KG"/>
    <n v="1.74"/>
    <n v="330600"/>
    <n v="-0.26"/>
    <s v="Invoice"/>
    <s v="Sudah Jadi FJ"/>
    <s v=""/>
  </r>
  <r>
    <d v="2026-06-15T00:00:00"/>
    <d v="2026-06-12T00:00:00"/>
    <s v="SO-KS/2606/120262"/>
    <s v="MKS Bali"/>
    <x v="17"/>
    <x v="0"/>
    <x v="3"/>
    <s v="PSJ0044"/>
    <s v="Halal Premium Oxtail Whole Cut 3Cm (2 Kg/Pack)"/>
    <n v="1"/>
    <s v="KG"/>
    <n v="1.8"/>
    <n v="432000"/>
    <n v="0.8"/>
    <s v="Invoice"/>
    <s v="Sudah Jadi FJ"/>
    <s v=""/>
  </r>
  <r>
    <d v="2026-06-15T00:00:00"/>
    <d v="2026-06-12T00:00:00"/>
    <s v="SO-KS/2606/120263"/>
    <s v="MKS Bali"/>
    <x v="18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6-15T00:00:00"/>
    <d v="2026-06-13T00:00:00"/>
    <s v="SO-KS/2606/130002"/>
    <s v="MKS Bali"/>
    <x v="19"/>
    <x v="0"/>
    <x v="6"/>
    <s v="SFM007"/>
    <s v="Tepung Double Zero @25Kg/Sack"/>
    <n v="1"/>
    <s v="SACK"/>
    <n v="1"/>
    <n v="327450"/>
    <n v="0"/>
    <s v="Invoice"/>
    <s v="Sudah Jadi FJ"/>
    <s v="INTERNASIONAL"/>
  </r>
  <r>
    <d v="2026-06-15T00:00:00"/>
    <d v="2026-06-13T00:00:00"/>
    <s v="SO-KS/2606/130013"/>
    <s v="MKS Bali"/>
    <x v="20"/>
    <x v="0"/>
    <x v="6"/>
    <s v="PSJ0024"/>
    <s v="Halal Minced Beef 1Kg/Pack"/>
    <n v="5"/>
    <s v="KG"/>
    <n v="5"/>
    <n v="625000"/>
    <n v="0"/>
    <s v="Invoice"/>
    <s v="Sudah Jadi FJ"/>
    <s v=""/>
  </r>
  <r>
    <d v="2026-06-15T00:00:00"/>
    <d v="2026-06-13T00:00:00"/>
    <s v="SO-KS/2606/130014"/>
    <s v="MKS Bali"/>
    <x v="21"/>
    <x v="0"/>
    <x v="4"/>
    <s v="SFM007"/>
    <s v="Tepung Double Zero @25Kg/Sack"/>
    <n v="2"/>
    <s v="SACK"/>
    <n v="2"/>
    <n v="654900"/>
    <n v="0"/>
    <s v="Invoice"/>
    <s v="Sudah Jadi FJ"/>
    <s v=""/>
  </r>
  <r>
    <d v="2026-06-15T00:00:00"/>
    <d v="2026-06-13T00:00:00"/>
    <s v="SO-KS/2606/130015"/>
    <s v="MKS Bali"/>
    <x v="22"/>
    <x v="1"/>
    <x v="6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6-15T00:00:00"/>
    <d v="2026-06-13T00:00:00"/>
    <s v="SO-KS/2606/130016"/>
    <s v="MKS Bali"/>
    <x v="23"/>
    <x v="1"/>
    <x v="1"/>
    <s v="080165"/>
    <s v="EMBORG Cream Cheese 200 Gr"/>
    <n v="72"/>
    <s v="PACK"/>
    <n v="72"/>
    <n v="3356640"/>
    <n v="0"/>
    <s v="Invoice"/>
    <s v="Sudah Jadi FJ"/>
    <s v="6 dus ( 72 pack)"/>
  </r>
  <r>
    <d v="2026-06-15T00:00:00"/>
    <d v="2026-06-13T00:00:00"/>
    <s v="SO-KS/2606/130018"/>
    <s v="MKS Bali"/>
    <x v="24"/>
    <x v="0"/>
    <x v="0"/>
    <s v="SFM007"/>
    <s v="Tepung Double Zero @25Kg/Sack"/>
    <n v="1"/>
    <s v="SACK"/>
    <n v="1"/>
    <n v="300000"/>
    <n v="0"/>
    <s v="Invoice"/>
    <s v="Sudah Jadi FJ"/>
    <s v=""/>
  </r>
  <r>
    <d v="2026-06-15T00:00:00"/>
    <d v="2026-06-13T00:00:00"/>
    <s v="SO-KS/2606/130019"/>
    <s v="MKS Bali"/>
    <x v="25"/>
    <x v="0"/>
    <x v="4"/>
    <s v="PSJ0046"/>
    <s v="Allana Tenderloin Whole"/>
    <n v="40"/>
    <s v="KG"/>
    <n v="40"/>
    <n v="7400000"/>
    <n v="0"/>
    <s v="Invoice"/>
    <s v="Sudah Jadi FJ"/>
    <s v="(CV Rumah Taco  Indonesia) Pastikan warna nya merah jika warna gelap akan dikembalikan"/>
  </r>
  <r>
    <d v="2026-06-15T00:00:00"/>
    <d v="2026-06-13T00:00:00"/>
    <s v="SO-KS/2606/130021"/>
    <s v="MKS Bali"/>
    <x v="26"/>
    <x v="0"/>
    <x v="0"/>
    <s v="PSJ0046"/>
    <s v="Allana Tenderloin Whole"/>
    <n v="40"/>
    <s v="KG"/>
    <n v="40"/>
    <n v="7600000"/>
    <n v="0"/>
    <s v="Invoice"/>
    <s v="Sudah Jadi FJ"/>
    <s v="(PT TACO CASA BALI) _x000a_Pastikan warna nya merah jika warga gelap akan dikembalikan"/>
  </r>
  <r>
    <d v="2026-06-15T00:00:00"/>
    <d v="2026-06-13T00:00:00"/>
    <s v="SO-KS/2606/130022"/>
    <s v="MKS Bali"/>
    <x v="27"/>
    <x v="1"/>
    <x v="2"/>
    <s v="SFM007"/>
    <s v="Tepung Double Zero @25Kg/Sack"/>
    <n v="2"/>
    <s v="SACK"/>
    <n v="2"/>
    <n v="654900"/>
    <n v="0"/>
    <s v="Invoice"/>
    <s v="Sudah Jadi FJ"/>
    <s v=" di packing pakai plastik .  dikirim ke Rocky Sanur"/>
  </r>
  <r>
    <d v="2026-06-15T00:00:00"/>
    <d v="2026-06-13T00:00:00"/>
    <s v="SO-KS/2606/130023"/>
    <s v="MKS Bali"/>
    <x v="28"/>
    <x v="1"/>
    <x v="6"/>
    <s v="SFM007"/>
    <s v="Tepung Double Zero @25Kg/Sack"/>
    <n v="1"/>
    <s v="SACK"/>
    <n v="1"/>
    <n v="327450"/>
    <n v="0"/>
    <s v="Invoice"/>
    <s v="Sudah Jadi FJ"/>
    <s v="Kirim ke Prema Cargo Sanur,Tolong juga sertakan photo saat barang diterima oleh pihak Boat_x000a_Bantu packing plastik hitam"/>
  </r>
  <r>
    <d v="2026-06-15T00:00:00"/>
    <d v="2026-06-13T00:00:00"/>
    <s v="SO-KS/2606/130024"/>
    <s v="MKS Bali"/>
    <x v="29"/>
    <x v="1"/>
    <x v="6"/>
    <s v="SFM009"/>
    <s v="Tepung Hime @25Kg/Sack"/>
    <n v="1"/>
    <s v="SACK"/>
    <n v="1"/>
    <n v="325000"/>
    <n v="0"/>
    <s v="Invoice"/>
    <s v="Sudah Jadi FJ"/>
    <s v=" Kirim ke Jalan Mertasari no. 2 , Banjar suwung kangin, sidakarya denpasar selatan"/>
  </r>
  <r>
    <d v="2026-06-15T00:00:00"/>
    <d v="2026-06-13T00:00:00"/>
    <s v="SO-KS/2606/130024"/>
    <s v="MKS Bali"/>
    <x v="29"/>
    <x v="1"/>
    <x v="6"/>
    <s v="SFM007"/>
    <s v="Tepung Double Zero @25Kg/Sack"/>
    <n v="1"/>
    <s v="SACK"/>
    <n v="1"/>
    <n v="314999.99"/>
    <n v="0"/>
    <s v="Invoice"/>
    <s v="Sudah Jadi FJ"/>
    <s v=" Kirim ke Jalan Mertasari no. 2 , Banjar suwung kangin, sidakarya denpasar selatan"/>
  </r>
  <r>
    <d v="2026-06-15T00:00:00"/>
    <d v="2026-06-13T00:00:00"/>
    <s v="SO-KS/2606/130027"/>
    <s v="MKS Bali"/>
    <x v="30"/>
    <x v="1"/>
    <x v="8"/>
    <s v="SFM007"/>
    <s v="Tepung Double Zero @25Kg/Sack"/>
    <n v="10"/>
    <s v="SACK"/>
    <n v="10"/>
    <n v="3000000"/>
    <n v="0"/>
    <s v="Invoice"/>
    <s v="Sudah Jadi FJ"/>
    <s v=""/>
  </r>
  <r>
    <d v="2026-06-15T00:00:00"/>
    <d v="2026-06-13T00:00:00"/>
    <s v="SO-KS/2606/130028"/>
    <s v="MKS Bali"/>
    <x v="31"/>
    <x v="0"/>
    <x v="4"/>
    <s v="SFM007"/>
    <s v="Tepung Double Zero @25Kg/Sack"/>
    <n v="3"/>
    <s v="SACK"/>
    <n v="3"/>
    <n v="975000"/>
    <n v="0"/>
    <s v="Invoice"/>
    <s v="Sudah Jadi FJ"/>
    <s v=""/>
  </r>
  <r>
    <d v="2026-06-15T00:00:00"/>
    <d v="2026-06-13T00:00:00"/>
    <s v="SO-KS/2606/130030"/>
    <s v="MKS Bali"/>
    <x v="32"/>
    <x v="0"/>
    <x v="9"/>
    <s v="SFM018"/>
    <s v="Tepung Ninja @25Kg/Sack"/>
    <n v="100"/>
    <s v="SACK"/>
    <n v="100"/>
    <n v="26500000.140000001"/>
    <n v="0"/>
    <s v="Invoice"/>
    <s v="Sudah Jadi FJ"/>
    <s v="Dikirim Senin ke pabrik blangsinga"/>
  </r>
  <r>
    <d v="2026-06-15T00:00:00"/>
    <d v="2026-06-13T00:00:00"/>
    <s v="SO-KS/2606/130031"/>
    <s v="MKS Bali"/>
    <x v="33"/>
    <x v="0"/>
    <x v="10"/>
    <s v="120015"/>
    <s v="Tepung Japanese Tempura 1kg/pack"/>
    <n v="50"/>
    <s v="KG"/>
    <n v="50"/>
    <n v="1650000.02"/>
    <n v="0"/>
    <s v="Invoice"/>
    <s v="Sudah Jadi FJ"/>
    <s v=""/>
  </r>
  <r>
    <d v="2026-06-15T00:00:00"/>
    <d v="2026-06-13T00:00:00"/>
    <s v="SO-KS/2606/130032"/>
    <s v="MKS Bali"/>
    <x v="34"/>
    <x v="0"/>
    <x v="11"/>
    <s v="SFM007"/>
    <s v="Tepung Double Zero @25Kg/Sack"/>
    <n v="50"/>
    <s v="SACK"/>
    <n v="50"/>
    <n v="13700000.18"/>
    <n v="0"/>
    <s v="Invoice"/>
    <s v="Sudah Jadi FJ"/>
    <s v=""/>
  </r>
  <r>
    <d v="2026-06-15T00:00:00"/>
    <d v="2026-06-13T00:00:00"/>
    <s v="SO-KS/2606/130038"/>
    <s v="MKS Bali"/>
    <x v="35"/>
    <x v="0"/>
    <x v="0"/>
    <s v="SFM018"/>
    <s v="Tepung Ninja @25Kg/Sack"/>
    <n v="1"/>
    <s v="SACK"/>
    <n v="1"/>
    <n v="315000"/>
    <n v="0"/>
    <s v="Invoice"/>
    <s v="Sudah Jadi FJ"/>
    <s v=""/>
  </r>
  <r>
    <d v="2026-06-15T00:00:00"/>
    <d v="2026-06-13T00:00:00"/>
    <s v="SO-KS/2606/130038"/>
    <s v="MKS Bali"/>
    <x v="35"/>
    <x v="0"/>
    <x v="0"/>
    <s v="SFM007"/>
    <s v="Tepung Double Zero @25Kg/Sack"/>
    <n v="2"/>
    <s v="SACK"/>
    <n v="2"/>
    <n v="630000"/>
    <n v="0"/>
    <s v="Invoice"/>
    <s v="Sudah Jadi FJ"/>
    <s v=""/>
  </r>
  <r>
    <d v="2026-06-15T00:00:00"/>
    <d v="2026-06-13T00:00:00"/>
    <s v="SO-KS/2606/130039"/>
    <s v="MKS Bali"/>
    <x v="36"/>
    <x v="0"/>
    <x v="4"/>
    <s v="PSJ0228"/>
    <s v="Premium Minced Beef (2.5kg/pack)"/>
    <n v="15"/>
    <s v="KG"/>
    <n v="15"/>
    <n v="1500000"/>
    <n v="0"/>
    <s v="Invoice"/>
    <s v="Sudah Jadi FJ"/>
    <s v=""/>
  </r>
  <r>
    <d v="2026-06-15T00:00:00"/>
    <d v="2026-06-13T00:00:00"/>
    <s v="SO-KS/2606/130041"/>
    <s v="MKS Bali"/>
    <x v="37"/>
    <x v="1"/>
    <x v="6"/>
    <s v="SFM007"/>
    <s v="Tepung Double Zero @25Kg/Sack"/>
    <n v="1"/>
    <s v="SACK"/>
    <n v="1"/>
    <n v="320000"/>
    <n v="0"/>
    <s v="Invoice"/>
    <s v="Sudah Jadi FJ"/>
    <s v=""/>
  </r>
  <r>
    <d v="2026-06-15T00:00:00"/>
    <d v="2026-06-13T00:00:00"/>
    <s v="SO-KS/2606/130043"/>
    <s v="MKS Bali"/>
    <x v="38"/>
    <x v="0"/>
    <x v="4"/>
    <s v="SFM007"/>
    <s v="Tepung Double Zero @25Kg/Sack"/>
    <n v="4"/>
    <s v="SACK"/>
    <n v="4"/>
    <n v="1139999.99"/>
    <n v="0"/>
    <s v="Invoice"/>
    <s v="Sudah Jadi FJ"/>
    <s v=""/>
  </r>
  <r>
    <d v="2026-06-15T00:00:00"/>
    <d v="2026-06-13T00:00:00"/>
    <s v="SO-KS/2606/130044"/>
    <s v="MKS Bali"/>
    <x v="39"/>
    <x v="0"/>
    <x v="3"/>
    <s v="SFM007"/>
    <s v="Tepung Double Zero @25Kg/Sack"/>
    <n v="5"/>
    <s v="SACK"/>
    <n v="5"/>
    <n v="1385000"/>
    <n v="0"/>
    <s v="Invoice"/>
    <s v="Sudah Jadi FJ"/>
    <s v=""/>
  </r>
  <r>
    <d v="2026-06-15T00:00:00"/>
    <d v="2026-06-13T00:00:00"/>
    <s v="SO-KS/2606/130045"/>
    <s v="MKS Bali"/>
    <x v="40"/>
    <x v="0"/>
    <x v="4"/>
    <s v="SFM007"/>
    <s v="Tepung Double Zero @25Kg/Sack"/>
    <n v="2"/>
    <s v="SACK"/>
    <n v="2"/>
    <n v="560000"/>
    <n v="0"/>
    <s v="Invoice"/>
    <s v="Sudah Jadi FJ"/>
    <s v=""/>
  </r>
  <r>
    <d v="2026-06-15T00:00:00"/>
    <d v="2026-06-13T00:00:00"/>
    <s v="SO-KS/2606/130046"/>
    <s v="MKS Bali"/>
    <x v="41"/>
    <x v="0"/>
    <x v="5"/>
    <s v="120015"/>
    <s v="Tepung Japanese Tempura 1kg/pack"/>
    <n v="5"/>
    <s v="KG"/>
    <n v="5"/>
    <n v="181485"/>
    <n v="0"/>
    <s v="Invoice"/>
    <s v="Sudah Jadi FJ"/>
    <s v=""/>
  </r>
  <r>
    <d v="2026-06-15T00:00:00"/>
    <d v="2026-06-13T00:00:00"/>
    <s v="SO-KS/2606/130046"/>
    <s v="MKS Bali"/>
    <x v="41"/>
    <x v="0"/>
    <x v="5"/>
    <s v="SFM007"/>
    <s v="Tepung Double Zero @25Kg/Sack"/>
    <n v="2"/>
    <s v="SACK"/>
    <n v="2"/>
    <n v="556000"/>
    <n v="0"/>
    <s v="Invoice"/>
    <s v="Sudah Jadi FJ"/>
    <s v=""/>
  </r>
  <r>
    <d v="2026-06-15T00:00:00"/>
    <d v="2026-06-13T00:00:00"/>
    <s v="SO-KS/2606/130048"/>
    <s v="MKS Bali"/>
    <x v="42"/>
    <x v="0"/>
    <x v="5"/>
    <s v="SFM007"/>
    <s v="Tepung Double Zero @25Kg/Sack"/>
    <n v="3"/>
    <s v="SACK"/>
    <n v="3"/>
    <n v="982350"/>
    <n v="0"/>
    <s v="Invoice"/>
    <s v="Sudah Jadi FJ"/>
    <s v=""/>
  </r>
  <r>
    <d v="2026-06-15T00:00:00"/>
    <d v="2026-06-13T00:00:00"/>
    <s v="SO-KS/2606/130049"/>
    <s v="MKS Bali"/>
    <x v="43"/>
    <x v="0"/>
    <x v="12"/>
    <s v="020020"/>
    <s v="NESTLE Milo Activ-Go NPro 960Gr/Pack"/>
    <n v="800"/>
    <s v="PACK"/>
    <n v="800"/>
    <n v="79799999.5"/>
    <n v="0"/>
    <s v="Invoice"/>
    <s v="Sudah Jadi FJ"/>
    <s v="dikirim ke gudang baru"/>
  </r>
  <r>
    <d v="2026-06-15T00:00:00"/>
    <d v="2026-06-13T00:00:00"/>
    <s v="SO-KS/2606/130049"/>
    <s v="MKS Bali"/>
    <x v="43"/>
    <x v="0"/>
    <x v="12"/>
    <s v="060019"/>
    <s v="Nestle Orange Pouch NP 560gr/Pack"/>
    <n v="600"/>
    <s v="PACK"/>
    <n v="600"/>
    <n v="30836999.530000001"/>
    <n v="0"/>
    <s v="Invoice"/>
    <s v="Sudah Jadi FJ"/>
    <s v="dikirim ke gudang baru"/>
  </r>
  <r>
    <d v="2026-06-15T00:00:00"/>
    <d v="2026-06-13T00:00:00"/>
    <s v="SO-KS/2606/130050"/>
    <s v="MKS Bali"/>
    <x v="44"/>
    <x v="0"/>
    <x v="5"/>
    <s v="080241"/>
    <s v="THE ALTERNATIVE Barista Almond Milk 1 Lt"/>
    <n v="6"/>
    <s v="PCS"/>
    <n v="6"/>
    <n v="279720"/>
    <n v="0"/>
    <s v="Invoice"/>
    <s v="Sudah Jadi FJ"/>
    <s v=""/>
  </r>
  <r>
    <d v="2026-06-15T00:00:00"/>
    <d v="2026-06-13T00:00:00"/>
    <s v="SO-KS/2606/130051"/>
    <s v="MKS Bali"/>
    <x v="44"/>
    <x v="0"/>
    <x v="5"/>
    <s v="080241"/>
    <s v="THE ALTERNATIVE Barista Almond Milk 1 Lt"/>
    <n v="16"/>
    <s v="PCS"/>
    <n v="16"/>
    <n v="745920"/>
    <n v="0"/>
    <s v="Invoice"/>
    <s v="Sudah Jadi FJ"/>
    <s v=""/>
  </r>
  <r>
    <d v="2026-06-15T00:00:00"/>
    <d v="2026-06-13T00:00:00"/>
    <s v="SO-KS/2606/130052"/>
    <s v="MKS Bali"/>
    <x v="44"/>
    <x v="0"/>
    <x v="5"/>
    <s v="SFM007"/>
    <s v="Tepung Double Zero @25Kg/Sack"/>
    <n v="16"/>
    <s v="SACK"/>
    <n v="16"/>
    <n v="4399999.9800000004"/>
    <n v="0"/>
    <s v="Invoice"/>
    <s v="Sudah Jadi FJ"/>
    <s v=""/>
  </r>
  <r>
    <d v="2026-06-15T00:00:00"/>
    <d v="2026-06-13T00:00:00"/>
    <s v="SO-KS/2606/130052"/>
    <s v="MKS Bali"/>
    <x v="44"/>
    <x v="0"/>
    <x v="5"/>
    <s v="SFM018"/>
    <s v="Tepung Ninja @25Kg/Sack"/>
    <n v="2"/>
    <s v="SACK"/>
    <n v="2"/>
    <n v="590000"/>
    <n v="0"/>
    <s v="Invoice"/>
    <s v="Sudah Jadi FJ"/>
    <s v=""/>
  </r>
  <r>
    <d v="2026-06-15T00:00:00"/>
    <d v="2026-06-13T00:00:00"/>
    <s v="SO-KS/2606/130053"/>
    <s v="MKS Bali"/>
    <x v="44"/>
    <x v="0"/>
    <x v="5"/>
    <s v="080241"/>
    <s v="THE ALTERNATIVE Barista Almond Milk 1 Lt"/>
    <n v="6"/>
    <s v="PCS"/>
    <n v="6"/>
    <n v="279720"/>
    <n v="0"/>
    <s v="Invoice"/>
    <s v="Sudah Jadi FJ"/>
    <s v=""/>
  </r>
  <r>
    <d v="2026-06-15T00:00:00"/>
    <d v="2026-06-13T00:00:00"/>
    <s v="SO-KS/2606/130054"/>
    <s v="MKS Bali"/>
    <x v="45"/>
    <x v="1"/>
    <x v="13"/>
    <s v="060007"/>
    <s v="Nescafe Classic Vending 120gr/Pack"/>
    <n v="48"/>
    <s v="PACK"/>
    <n v="48"/>
    <n v="2850480"/>
    <n v="0"/>
    <s v="Invoice"/>
    <s v="Sudah Jadi FJ"/>
    <s v=""/>
  </r>
  <r>
    <d v="2026-06-15T00:00:00"/>
    <d v="2026-06-13T00:00:00"/>
    <s v="SO-KS/2606/130055"/>
    <s v="MKS Bali"/>
    <x v="46"/>
    <x v="0"/>
    <x v="12"/>
    <s v="060013"/>
    <s v="Nestea Lemon Tea 1kg/Pack"/>
    <n v="12"/>
    <s v="PACK"/>
    <n v="12"/>
    <n v="770400.03"/>
    <n v="0"/>
    <s v="Invoice"/>
    <s v="Sudah Jadi FJ"/>
    <s v=""/>
  </r>
  <r>
    <d v="2026-06-15T00:00:00"/>
    <d v="2026-06-13T00:00:00"/>
    <s v="SO-KS/2606/130057"/>
    <s v="MKS Bali"/>
    <x v="47"/>
    <x v="0"/>
    <x v="14"/>
    <s v="120014"/>
    <s v="Tepung Hime 1kg/pack"/>
    <n v="20"/>
    <s v="KG"/>
    <n v="20"/>
    <n v="384060"/>
    <n v="0"/>
    <s v="Invoice"/>
    <s v="Sudah Jadi FJ"/>
    <s v=""/>
  </r>
  <r>
    <d v="2026-06-15T00:00:00"/>
    <d v="2026-06-13T00:00:00"/>
    <s v="SO-KS/2606/130058"/>
    <s v="MKS Bali"/>
    <x v="48"/>
    <x v="0"/>
    <x v="11"/>
    <s v="120006"/>
    <s v="Tepung Crispy Ala Kentucky 1kg/pack"/>
    <n v="20"/>
    <s v="KG"/>
    <n v="20"/>
    <n v="620000.05000000005"/>
    <n v="0"/>
    <s v="Invoice"/>
    <s v="Sudah Jadi FJ"/>
    <s v=""/>
  </r>
  <r>
    <d v="2026-06-15T00:00:00"/>
    <d v="2026-06-13T00:00:00"/>
    <s v="SO-KS/2606/130058"/>
    <s v="MKS Bali"/>
    <x v="48"/>
    <x v="0"/>
    <x v="11"/>
    <s v="120015"/>
    <s v="Tepung Japanese Tempura 1kg/pack"/>
    <n v="30"/>
    <s v="KG"/>
    <n v="30"/>
    <n v="1049999.95"/>
    <n v="0"/>
    <s v="Invoice"/>
    <s v="Sudah Jadi FJ"/>
    <s v=""/>
  </r>
  <r>
    <d v="2026-06-15T00:00:00"/>
    <d v="2026-06-13T00:00:00"/>
    <s v="SO-KS/2606/130060"/>
    <s v="MKS Bali"/>
    <x v="49"/>
    <x v="0"/>
    <x v="12"/>
    <s v="020020"/>
    <s v="NESTLE Milo Activ-Go NPro 960Gr/Pack"/>
    <n v="16"/>
    <s v="PACK"/>
    <n v="16"/>
    <n v="1679999.99"/>
    <n v="0"/>
    <s v="Invoice"/>
    <s v="Sudah Jadi FJ"/>
    <s v="seminyak"/>
  </r>
  <r>
    <d v="2026-06-15T00:00:00"/>
    <d v="2026-06-13T00:00:00"/>
    <s v="SO-KS/2606/130061"/>
    <s v="MKS Bali"/>
    <x v="50"/>
    <x v="0"/>
    <x v="10"/>
    <s v="PSJ0203"/>
    <s v="Borello Rump"/>
    <n v="5"/>
    <s v="KG"/>
    <n v="6.91"/>
    <n v="1091780"/>
    <n v="1.91"/>
    <s v="Invoice"/>
    <s v="Sudah Jadi FJ"/>
    <s v=""/>
  </r>
  <r>
    <d v="2026-06-15T00:00:00"/>
    <d v="2026-06-13T00:00:00"/>
    <s v="SO-KS/2606/130062"/>
    <s v="MKS Bali"/>
    <x v="51"/>
    <x v="0"/>
    <x v="5"/>
    <s v="POT0983"/>
    <s v="IKPS Sechuan Preserved Vegetable 340 Gr"/>
    <n v="3"/>
    <s v="CAN"/>
    <n v="3"/>
    <n v="39960"/>
    <n v="0"/>
    <s v="Invoice"/>
    <s v="Sudah Jadi FJ"/>
    <s v=""/>
  </r>
  <r>
    <d v="2026-06-15T00:00:00"/>
    <d v="2026-06-13T00:00:00"/>
    <s v="SO-KS/2606/130063"/>
    <s v="MKS Bali"/>
    <x v="44"/>
    <x v="0"/>
    <x v="5"/>
    <s v="120015"/>
    <s v="Tepung Japanese Tempura 1kg/pack"/>
    <n v="3"/>
    <s v="KG"/>
    <n v="3"/>
    <n v="103500"/>
    <n v="0"/>
    <s v="Invoice"/>
    <s v="Sudah Jadi FJ"/>
    <s v=""/>
  </r>
  <r>
    <d v="2026-06-15T00:00:00"/>
    <d v="2026-06-13T00:00:00"/>
    <s v="SO-KS/2606/130064"/>
    <s v="MKS Bali"/>
    <x v="51"/>
    <x v="0"/>
    <x v="5"/>
    <s v="SFM053"/>
    <s v="Inofa Heat Treated Wheat Flour SF 346 @1kg/pack"/>
    <n v="1"/>
    <s v="KG"/>
    <n v="1"/>
    <n v="25000"/>
    <n v="0"/>
    <s v="Invoice"/>
    <s v="Sudah Jadi FJ"/>
    <s v=""/>
  </r>
  <r>
    <d v="2026-06-15T00:00:00"/>
    <d v="2026-06-13T00:00:00"/>
    <s v="SO-KS/2606/130065"/>
    <s v="MKS Bali"/>
    <x v="51"/>
    <x v="0"/>
    <x v="5"/>
    <s v="SFM053"/>
    <s v="Inofa Heat Treated Wheat Flour SF 346 @1kg/pack"/>
    <n v="1"/>
    <s v="KG"/>
    <n v="1"/>
    <n v="25000"/>
    <n v="0"/>
    <s v="Invoice"/>
    <s v="Sudah Jadi FJ"/>
    <s v=""/>
  </r>
  <r>
    <d v="2026-06-15T00:00:00"/>
    <d v="2026-06-13T00:00:00"/>
    <s v="SO-KS/2606/130066"/>
    <s v="MKS Bali"/>
    <x v="51"/>
    <x v="0"/>
    <x v="5"/>
    <s v="PSJ0203"/>
    <s v="Borello Rump"/>
    <n v="5"/>
    <s v="KG"/>
    <n v="3.65"/>
    <n v="591300"/>
    <n v="-1.35"/>
    <s v="Invoice"/>
    <s v="Sudah Jadi FJ"/>
    <s v=""/>
  </r>
  <r>
    <d v="2026-06-15T00:00:00"/>
    <d v="2026-06-13T00:00:00"/>
    <s v="SO-KS/2606/130067"/>
    <s v="MKS Bali"/>
    <x v="51"/>
    <x v="0"/>
    <x v="5"/>
    <s v="120015"/>
    <s v="Tepung Japanese Tempura 1kg/pack"/>
    <n v="3"/>
    <s v="KG"/>
    <n v="3"/>
    <n v="107999.99"/>
    <n v="0"/>
    <s v="Invoice"/>
    <s v="Sudah Jadi FJ"/>
    <s v=""/>
  </r>
  <r>
    <d v="2026-06-15T00:00:00"/>
    <d v="2026-06-13T00:00:00"/>
    <s v="SO-KS/2606/130068"/>
    <s v="MKS Bali"/>
    <x v="51"/>
    <x v="0"/>
    <x v="5"/>
    <s v="120015"/>
    <s v="Tepung Japanese Tempura 1kg/pack"/>
    <n v="2"/>
    <s v="KG"/>
    <n v="2"/>
    <n v="71999.990000000005"/>
    <n v="0"/>
    <s v="Invoice"/>
    <s v="Sudah Jadi FJ"/>
    <s v=""/>
  </r>
  <r>
    <d v="2026-06-15T00:00:00"/>
    <d v="2026-06-13T00:00:00"/>
    <s v="SO-KS/2606/130069"/>
    <s v="MKS Bali"/>
    <x v="51"/>
    <x v="0"/>
    <x v="5"/>
    <s v="PSJ0203"/>
    <s v="Borello Rump"/>
    <n v="5"/>
    <s v="KG"/>
    <n v="4.62"/>
    <n v="748440"/>
    <n v="-0.38"/>
    <s v="Invoice"/>
    <s v="Sudah Jadi FJ"/>
    <s v=""/>
  </r>
  <r>
    <d v="2026-06-15T00:00:00"/>
    <d v="2026-06-13T00:00:00"/>
    <s v="SO-KS/2606/130070"/>
    <s v="MKS Bali"/>
    <x v="52"/>
    <x v="0"/>
    <x v="5"/>
    <s v="PSJ0046"/>
    <s v="Allana Tenderloin Whole"/>
    <n v="12"/>
    <s v="KG"/>
    <n v="11.18"/>
    <n v="2124200"/>
    <n v="-0.82"/>
    <s v="Invoice"/>
    <s v="Sudah Jadi FJ"/>
    <s v=""/>
  </r>
  <r>
    <d v="2026-06-15T00:00:00"/>
    <d v="2026-06-13T00:00:00"/>
    <s v="SO-KS/2606/130071"/>
    <s v="MKS Bali"/>
    <x v="53"/>
    <x v="1"/>
    <x v="15"/>
    <s v="PLN0005"/>
    <s v="RICH CRÈME ND 08 1000G POUCH"/>
    <n v="6"/>
    <s v="POU"/>
    <n v="6"/>
    <n v="359640"/>
    <n v="0"/>
    <s v="Invoice"/>
    <s v="Sudah Jadi FJ"/>
    <s v=""/>
  </r>
  <r>
    <d v="2026-06-15T00:00:00"/>
    <d v="2026-06-13T00:00:00"/>
    <s v="SO-KS/2606/130072"/>
    <s v="MKS Bali"/>
    <x v="54"/>
    <x v="1"/>
    <x v="15"/>
    <s v="SFM007"/>
    <s v="Tepung Double Zero @25Kg/Sack"/>
    <n v="1"/>
    <s v="SACK"/>
    <n v="1"/>
    <n v="285000"/>
    <n v="0"/>
    <s v="Invoice"/>
    <s v="Sudah Jadi FJ"/>
    <s v=""/>
  </r>
  <r>
    <d v="2026-06-15T00:00:00"/>
    <d v="2026-06-13T00:00:00"/>
    <s v="SO-KS/2606/130073"/>
    <s v="MKS Bali"/>
    <x v="55"/>
    <x v="1"/>
    <x v="1"/>
    <s v="120007"/>
    <s v="Tepung Double Zero 1kg/pack"/>
    <n v="20"/>
    <s v="KG"/>
    <n v="20"/>
    <n v="333000"/>
    <n v="0"/>
    <s v="Invoice"/>
    <s v="Sudah Jadi FJ"/>
    <s v=""/>
  </r>
  <r>
    <d v="2026-06-15T00:00:00"/>
    <d v="2026-06-13T00:00:00"/>
    <s v="SO-KS/2606/130074"/>
    <s v="MKS Bali"/>
    <x v="56"/>
    <x v="0"/>
    <x v="4"/>
    <s v="PPA0092"/>
    <s v="Emborg Pizza Topping 2.3 Kg"/>
    <n v="13.8"/>
    <s v="KG"/>
    <n v="13.8"/>
    <n v="1593899.94"/>
    <n v="0"/>
    <s v="Invoice"/>
    <s v="Sudah Jadi FJ"/>
    <s v="6 LOAF"/>
  </r>
  <r>
    <d v="2026-06-15T00:00:00"/>
    <d v="2026-06-13T00:00:00"/>
    <s v="SO-KS/2606/130076"/>
    <s v="MKS Bali"/>
    <x v="57"/>
    <x v="0"/>
    <x v="12"/>
    <s v="080124"/>
    <s v="NESTLE MILO -E Uht Cmbk 110 Ml"/>
    <n v="72"/>
    <s v="PCS"/>
    <n v="72"/>
    <n v="208799.95"/>
    <n v="0"/>
    <s v="Invoice"/>
    <s v="Sudah Jadi FJ"/>
    <s v=""/>
  </r>
  <r>
    <d v="2026-06-15T00:00:00"/>
    <d v="2026-06-13T00:00:00"/>
    <s v="SO-KS/2606/130076"/>
    <s v="MKS Bali"/>
    <x v="57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6-15T00:00:00"/>
    <d v="2026-06-13T00:00:00"/>
    <s v="SO-KS/2606/130077"/>
    <s v="MKS Bali"/>
    <x v="58"/>
    <x v="0"/>
    <x v="4"/>
    <s v="PSJ0046"/>
    <s v="Allana Tenderloin Whole"/>
    <n v="10"/>
    <s v="KG"/>
    <n v="7.15"/>
    <n v="1322750"/>
    <n v="-2.85"/>
    <s v="Invoice"/>
    <s v="Sudah Jadi FJ"/>
    <s v="5 LOAF"/>
  </r>
  <r>
    <d v="2026-06-15T00:00:00"/>
    <d v="2026-06-13T00:00:00"/>
    <s v="SO-KS/2606/130079"/>
    <s v="MKS Bali"/>
    <x v="59"/>
    <x v="0"/>
    <x v="13"/>
    <s v="060016"/>
    <s v="Nestea Teh Tarik NPro 960gr/Pack"/>
    <n v="2"/>
    <s v="PACK"/>
    <n v="2"/>
    <n v="217099.99"/>
    <n v="0"/>
    <s v="Invoice"/>
    <s v="Sudah Jadi FJ"/>
    <s v=""/>
  </r>
  <r>
    <d v="2026-06-15T00:00:00"/>
    <d v="2026-06-13T00:00:00"/>
    <s v="SO-KS/2606/130079"/>
    <s v="MKS Bali"/>
    <x v="59"/>
    <x v="0"/>
    <x v="13"/>
    <s v="060004"/>
    <s v="Nescafe Cappuccino Caramel Era 500gr/Pack"/>
    <n v="13"/>
    <s v="PACK"/>
    <n v="13"/>
    <n v="820299.99"/>
    <n v="0"/>
    <s v="Invoice"/>
    <s v="Sudah Jadi FJ"/>
    <s v=""/>
  </r>
  <r>
    <d v="2026-06-15T00:00:00"/>
    <d v="2026-06-13T00:00:00"/>
    <s v="SO-KS/2606/130079"/>
    <s v="MKS Bali"/>
    <x v="59"/>
    <x v="0"/>
    <x v="13"/>
    <s v="020020"/>
    <s v="NESTLE Milo Activ-Go NPro 960Gr/Pack"/>
    <n v="13"/>
    <s v="PACK"/>
    <n v="13"/>
    <n v="1364999.99"/>
    <n v="0"/>
    <s v="Invoice"/>
    <s v="Sudah Jadi FJ"/>
    <s v=""/>
  </r>
  <r>
    <d v="2026-06-15T00:00:00"/>
    <d v="2026-06-13T00:00:00"/>
    <s v="SO-KS/2606/130080"/>
    <s v="MKS Bali"/>
    <x v="60"/>
    <x v="1"/>
    <x v="1"/>
    <s v="PSF0014"/>
    <s v="Tepung 00 Fusion @25Kg"/>
    <n v="5"/>
    <s v="SACK"/>
    <n v="5"/>
    <n v="1380000.01"/>
    <n v="0"/>
    <s v="Invoice"/>
    <s v="Sudah Jadi FJ"/>
    <s v="Delivery Legustan Bakery."/>
  </r>
  <r>
    <d v="2026-06-15T00:00:00"/>
    <d v="2026-06-13T00:00:00"/>
    <s v="SO-KS/2606/130081"/>
    <s v="MKS Bali"/>
    <x v="61"/>
    <x v="0"/>
    <x v="2"/>
    <s v="PSJ0046"/>
    <s v="Allana Tenderloin Whole"/>
    <n v="200"/>
    <s v="KG"/>
    <n v="200"/>
    <n v="37600000"/>
    <n v="0"/>
    <s v="Invoice"/>
    <s v="Sudah Jadi FJ"/>
    <s v=""/>
  </r>
  <r>
    <d v="2026-06-15T00:00:00"/>
    <d v="2026-06-13T00:00:00"/>
    <s v="SO-KS/2606/130082"/>
    <s v="MKS Bali"/>
    <x v="62"/>
    <x v="0"/>
    <x v="2"/>
    <s v="PSF0014"/>
    <s v="Tepung 00 Fusion @25Kg"/>
    <n v="30"/>
    <s v="SACK"/>
    <n v="30"/>
    <n v="8235000.0899999999"/>
    <n v="0"/>
    <s v="Invoice"/>
    <s v="Sudah Jadi FJ"/>
    <s v=""/>
  </r>
  <r>
    <d v="2026-06-15T00:00:00"/>
    <d v="2026-06-13T00:00:00"/>
    <s v="SO-KS/2606/130083"/>
    <s v="MKS Bali"/>
    <x v="63"/>
    <x v="0"/>
    <x v="10"/>
    <s v="PPA0092"/>
    <s v="Emborg Pizza Topping 2.3 Kg"/>
    <n v="30"/>
    <s v="KG"/>
    <n v="29.899899999999999"/>
    <n v="2750800.24"/>
    <n v="-0.10009999999999999"/>
    <s v="Invoice"/>
    <s v="Sudah Jadi FJ"/>
    <s v=" Invoice 1"/>
  </r>
  <r>
    <d v="2026-06-15T00:00:00"/>
    <d v="2026-06-13T00:00:00"/>
    <s v="SO-KS/2606/130084"/>
    <s v="MKS Bali"/>
    <x v="64"/>
    <x v="0"/>
    <x v="10"/>
    <s v="SFM052"/>
    <s v="Inofa Heat Treated Wheat Flour SF 346 @25kg/sack"/>
    <n v="1"/>
    <s v="SACK"/>
    <n v="1"/>
    <n v="560000"/>
    <n v="0"/>
    <s v="Invoice"/>
    <s v="Sudah Jadi FJ"/>
    <s v=""/>
  </r>
  <r>
    <d v="2026-06-15T00:00:00"/>
    <d v="2026-06-13T00:00:00"/>
    <s v="SO-KS/2606/130084"/>
    <s v="MKS Bali"/>
    <x v="64"/>
    <x v="0"/>
    <x v="10"/>
    <s v="SFM007"/>
    <s v="Tepung Double Zero @25Kg/Sack"/>
    <n v="5"/>
    <s v="SACK"/>
    <n v="5"/>
    <n v="1575000"/>
    <n v="0"/>
    <s v="Invoice"/>
    <s v="Sudah Jadi FJ"/>
    <s v=""/>
  </r>
  <r>
    <d v="2026-06-15T00:00:00"/>
    <d v="2026-06-13T00:00:00"/>
    <s v="SO-KS/2606/130085"/>
    <s v="MKS Bali"/>
    <x v="65"/>
    <x v="0"/>
    <x v="10"/>
    <s v="SFM007"/>
    <s v="Tepung Double Zero @25Kg/Sack"/>
    <n v="10"/>
    <s v="SACK"/>
    <n v="10"/>
    <n v="3149999.99"/>
    <n v="0"/>
    <s v="Invoice"/>
    <s v="Sudah Jadi FJ"/>
    <s v=""/>
  </r>
  <r>
    <d v="2026-06-15T00:00:00"/>
    <d v="2026-06-13T00:00:00"/>
    <s v="SO-KS/2606/130086"/>
    <s v="MKS Bali"/>
    <x v="66"/>
    <x v="1"/>
    <x v="10"/>
    <s v="SFM007"/>
    <s v="Tepung Double Zero @25Kg/Sack"/>
    <n v="2"/>
    <s v="SACK"/>
    <n v="2"/>
    <n v="654900"/>
    <n v="0"/>
    <s v="Invoice"/>
    <s v="Sudah Jadi FJ"/>
    <s v=""/>
  </r>
  <r>
    <d v="2026-06-15T00:00:00"/>
    <d v="2026-06-13T00:00:00"/>
    <s v="SO-KS/2606/130087"/>
    <s v="MKS Bali"/>
    <x v="33"/>
    <x v="0"/>
    <x v="10"/>
    <s v="SFM007"/>
    <s v="Tepung Double Zero @25Kg/Sack"/>
    <n v="12"/>
    <s v="SACK"/>
    <n v="12"/>
    <n v="3840000"/>
    <n v="0"/>
    <s v="Invoice"/>
    <s v="Sudah Jadi FJ"/>
    <s v=""/>
  </r>
  <r>
    <d v="2026-06-15T00:00:00"/>
    <d v="2026-06-13T00:00:00"/>
    <s v="SO-KS/2606/130088"/>
    <s v="MKS Bali"/>
    <x v="67"/>
    <x v="1"/>
    <x v="10"/>
    <s v="SFM007"/>
    <s v="Tepung Double Zero @25Kg/Sack"/>
    <n v="1"/>
    <s v="SACK"/>
    <n v="1"/>
    <n v="327450"/>
    <n v="0"/>
    <s v="Invoice"/>
    <s v="Sudah Jadi FJ"/>
    <s v=""/>
  </r>
  <r>
    <d v="2026-06-15T00:00:00"/>
    <d v="2026-06-13T00:00:00"/>
    <s v="SO-KS/2606/130089"/>
    <s v="MKS Bali"/>
    <x v="68"/>
    <x v="0"/>
    <x v="10"/>
    <s v="SFM007"/>
    <s v="Tepung Double Zero @25Kg/Sack"/>
    <n v="1"/>
    <s v="SACK"/>
    <n v="1"/>
    <n v="327450"/>
    <n v="0"/>
    <s v="Invoice"/>
    <s v="Sudah Jadi FJ"/>
    <s v=""/>
  </r>
  <r>
    <d v="2026-06-15T00:00:00"/>
    <d v="2026-06-13T00:00:00"/>
    <s v="SO-KS/2606/130090"/>
    <s v="MKS Bali"/>
    <x v="69"/>
    <x v="0"/>
    <x v="10"/>
    <s v="SFM007"/>
    <s v="Tepung Double Zero @25Kg/Sack"/>
    <n v="4"/>
    <s v="SACK"/>
    <n v="4"/>
    <n v="1309800"/>
    <n v="0"/>
    <s v="Invoice"/>
    <s v="Sudah Jadi FJ"/>
    <s v=""/>
  </r>
  <r>
    <d v="2026-06-15T00:00:00"/>
    <d v="2026-06-13T00:00:00"/>
    <s v="SO-KS/2606/130091"/>
    <s v="MKS Bali"/>
    <x v="70"/>
    <x v="0"/>
    <x v="15"/>
    <s v="PSF0014"/>
    <s v="Tepung 00 Fusion @25Kg"/>
    <n v="8"/>
    <s v="SACK"/>
    <n v="8"/>
    <n v="2303999.9900000002"/>
    <n v="0"/>
    <s v="Invoice"/>
    <s v="Sudah Jadi FJ"/>
    <s v=""/>
  </r>
  <r>
    <d v="2026-06-15T00:00:00"/>
    <d v="2026-06-13T00:00:00"/>
    <s v="SO-KS/2606/130093"/>
    <s v="MKS Bali"/>
    <x v="71"/>
    <x v="0"/>
    <x v="5"/>
    <s v="SFM007"/>
    <s v="Tepung Double Zero @25Kg/Sack"/>
    <n v="15"/>
    <s v="SACK"/>
    <n v="15"/>
    <n v="4155000"/>
    <n v="0"/>
    <s v="Invoice"/>
    <s v="Sudah Jadi FJ"/>
    <s v=""/>
  </r>
  <r>
    <d v="2026-06-15T00:00:00"/>
    <d v="2026-06-13T00:00:00"/>
    <s v="SO-KS/2606/130094"/>
    <s v="MKS Bali"/>
    <x v="72"/>
    <x v="0"/>
    <x v="2"/>
    <s v="PSJ0007"/>
    <s v="Friboi Brazil Tenderloin Whole"/>
    <n v="14"/>
    <s v="KG"/>
    <n v="18.719899999999999"/>
    <n v="6552000"/>
    <n v="4.7199"/>
    <s v="Invoice"/>
    <s v="Sudah Jadi FJ"/>
    <s v="cafe 7 Loaf"/>
  </r>
  <r>
    <d v="2026-06-15T00:00:00"/>
    <d v="2026-06-13T00:00:00"/>
    <s v="SO-KS/2606/130094"/>
    <s v="MKS Bali"/>
    <x v="72"/>
    <x v="0"/>
    <x v="2"/>
    <s v="PSJ0228"/>
    <s v="Premium Minced Beef (2.5kg/pack)"/>
    <n v="5"/>
    <s v="KG"/>
    <n v="5"/>
    <n v="500000"/>
    <n v="0"/>
    <s v="Invoice"/>
    <s v="Sudah Jadi FJ"/>
    <s v="cafe 7 Loaf"/>
  </r>
  <r>
    <d v="2026-06-15T00:00:00"/>
    <d v="2026-06-13T00:00:00"/>
    <s v="SO-KS/2606/130096"/>
    <s v="MKS Bali"/>
    <x v="72"/>
    <x v="0"/>
    <x v="2"/>
    <s v="PSJ0007"/>
    <s v="Friboi Brazil Tenderloin Whole"/>
    <n v="14"/>
    <s v="KG"/>
    <n v="17.289899999999999"/>
    <n v="6051500"/>
    <n v="3.2898999999999998"/>
    <s v="Invoice"/>
    <s v="Sudah Jadi FJ"/>
    <s v=" oasis 7 loaf"/>
  </r>
  <r>
    <d v="2026-06-15T00:00:00"/>
    <d v="2026-06-13T00:00:00"/>
    <s v="SO-KS/2606/130096"/>
    <s v="MKS Bali"/>
    <x v="72"/>
    <x v="0"/>
    <x v="2"/>
    <s v="PSJ0228"/>
    <s v="Premium Minced Beef (2.5kg/pack)"/>
    <n v="2.5"/>
    <s v="KG"/>
    <n v="2.5"/>
    <n v="250000"/>
    <n v="0"/>
    <s v="Invoice"/>
    <s v="Sudah Jadi FJ"/>
    <s v=" oasis 7 loaf"/>
  </r>
  <r>
    <d v="2026-06-15T00:00:00"/>
    <d v="2026-06-13T00:00:00"/>
    <s v="SO-KS/2606/130097"/>
    <s v="MKS Bali"/>
    <x v="73"/>
    <x v="0"/>
    <x v="1"/>
    <s v="SFM018"/>
    <s v="Tepung Ninja @25Kg/Sack"/>
    <n v="1"/>
    <s v="SACK"/>
    <n v="1"/>
    <n v="285000.01"/>
    <n v="0"/>
    <s v="Invoice"/>
    <s v="Sudah Jadi FJ"/>
    <s v=""/>
  </r>
  <r>
    <d v="2026-06-15T00:00:00"/>
    <d v="2026-06-13T00:00:00"/>
    <s v="SO-KS/2606/130097"/>
    <s v="MKS Bali"/>
    <x v="73"/>
    <x v="0"/>
    <x v="1"/>
    <s v="SFM009"/>
    <s v="Tepung Hime @25Kg/Sack"/>
    <n v="2"/>
    <s v="SACK"/>
    <n v="2"/>
    <n v="620000"/>
    <n v="0"/>
    <s v="Invoice"/>
    <s v="Sudah Jadi FJ"/>
    <s v=""/>
  </r>
  <r>
    <d v="2026-06-15T00:00:00"/>
    <d v="2026-06-13T00:00:00"/>
    <s v="SO-KS/2606/130098"/>
    <s v="MKS Bali"/>
    <x v="74"/>
    <x v="1"/>
    <x v="1"/>
    <s v="PSF0005"/>
    <s v="Tepung Pita Emas @25Kg/Sack"/>
    <n v="1"/>
    <s v="SACK"/>
    <n v="1"/>
    <n v="255300"/>
    <n v="0"/>
    <s v="Invoice"/>
    <s v="Sudah Jadi FJ"/>
    <s v=""/>
  </r>
  <r>
    <d v="2026-06-15T00:00:00"/>
    <d v="2026-06-13T00:00:00"/>
    <s v="SO-KS/2606/130100"/>
    <s v="MKS Bali"/>
    <x v="75"/>
    <x v="0"/>
    <x v="2"/>
    <s v="SFM009"/>
    <s v="Tepung Hime @25Kg/Sack"/>
    <n v="3"/>
    <s v="SACK"/>
    <n v="3"/>
    <n v="1065600"/>
    <n v="0"/>
    <s v="Invoice"/>
    <s v="Sudah Jadi FJ"/>
    <s v=""/>
  </r>
  <r>
    <d v="2026-06-15T00:00:00"/>
    <d v="2026-06-13T00:00:00"/>
    <s v="SO-KS/2606/130101"/>
    <s v="MKS Bali"/>
    <x v="1"/>
    <x v="0"/>
    <x v="1"/>
    <s v="PPA0092"/>
    <s v="Emborg Pizza Topping 2.3 Kg"/>
    <n v="11.5"/>
    <s v="KG"/>
    <n v="11.5"/>
    <n v="1115500.04"/>
    <n v="0"/>
    <s v="Invoice"/>
    <s v="Sudah Jadi FJ"/>
    <s v="5 LOAF"/>
  </r>
  <r>
    <d v="2026-06-15T00:00:00"/>
    <d v="2026-06-13T00:00:00"/>
    <s v="SO-KS/2606/130102"/>
    <s v="MKS Bali"/>
    <x v="76"/>
    <x v="0"/>
    <x v="12"/>
    <s v="080124"/>
    <s v="NESTLE MILO -E Uht Cmbk 110 Ml"/>
    <n v="144"/>
    <s v="PCS"/>
    <n v="144"/>
    <n v="417599.9"/>
    <n v="0"/>
    <s v="Invoice"/>
    <s v="Sudah Jadi FJ"/>
    <s v=""/>
  </r>
  <r>
    <d v="2026-06-15T00:00:00"/>
    <d v="2026-06-13T00:00:00"/>
    <s v="SO-KS/2606/130103"/>
    <s v="MKS Bali"/>
    <x v="77"/>
    <x v="1"/>
    <x v="8"/>
    <s v="120014"/>
    <s v="Tepung Hime 1kg/pack"/>
    <n v="40"/>
    <s v="KG"/>
    <n v="40"/>
    <n v="688200"/>
    <n v="0"/>
    <s v="Invoice"/>
    <s v="Sudah Jadi FJ"/>
    <s v=""/>
  </r>
  <r>
    <d v="2026-06-15T00:00:00"/>
    <d v="2026-06-13T00:00:00"/>
    <s v="SO-KS/2606/130104"/>
    <s v="MKS Bali"/>
    <x v="78"/>
    <x v="0"/>
    <x v="12"/>
    <s v="060009"/>
    <s v="Nescafe Latte 500gr/Pack"/>
    <n v="10"/>
    <s v="PACK"/>
    <n v="10"/>
    <n v="603000"/>
    <n v="0"/>
    <s v="Invoice"/>
    <s v="Sudah Jadi FJ"/>
    <s v=""/>
  </r>
  <r>
    <d v="2026-06-15T00:00:00"/>
    <d v="2026-06-13T00:00:00"/>
    <s v="SO-KS/2606/130104"/>
    <s v="MKS Bali"/>
    <x v="78"/>
    <x v="0"/>
    <x v="12"/>
    <s v="060013"/>
    <s v="Nestea Lemon Tea 1kg/Pack"/>
    <n v="12"/>
    <s v="PACK"/>
    <n v="12"/>
    <n v="770400.03"/>
    <n v="0"/>
    <s v="Invoice"/>
    <s v="Sudah Jadi FJ"/>
    <s v=""/>
  </r>
  <r>
    <d v="2026-06-15T00:00:00"/>
    <d v="2026-06-13T00:00:00"/>
    <s v="SO-KS/2606/130104"/>
    <s v="MKS Bali"/>
    <x v="78"/>
    <x v="0"/>
    <x v="12"/>
    <s v="060017"/>
    <s v="Nestle Blackcurrant Drink 750gr/Pack"/>
    <n v="16"/>
    <s v="PACK"/>
    <n v="16"/>
    <n v="1089599.97"/>
    <n v="0"/>
    <s v="Invoice"/>
    <s v="Sudah Jadi FJ"/>
    <s v=""/>
  </r>
  <r>
    <d v="2026-06-15T00:00:00"/>
    <d v="2026-06-13T00:00:00"/>
    <s v="SO-KS/2606/130104"/>
    <s v="MKS Bali"/>
    <x v="78"/>
    <x v="0"/>
    <x v="12"/>
    <s v="060018"/>
    <s v="Nestle Lemonade Original 640gr/Pack"/>
    <n v="12"/>
    <s v="PACK"/>
    <n v="12"/>
    <n v="649200.02"/>
    <n v="0"/>
    <s v="Invoice"/>
    <s v="Sudah Jadi FJ"/>
    <s v=""/>
  </r>
  <r>
    <d v="2026-06-15T00:00:00"/>
    <d v="2026-06-13T00:00:00"/>
    <s v="SO-KS/2606/130104"/>
    <s v="MKS Bali"/>
    <x v="78"/>
    <x v="0"/>
    <x v="12"/>
    <s v="060019"/>
    <s v="Nestle Orange Pouch NP 560gr/Pack"/>
    <n v="12"/>
    <s v="PACK"/>
    <n v="12"/>
    <n v="649200.01"/>
    <n v="0"/>
    <s v="Invoice"/>
    <s v="Sudah Jadi FJ"/>
    <s v=""/>
  </r>
  <r>
    <d v="2026-06-15T00:00:00"/>
    <d v="2026-06-13T00:00:00"/>
    <s v="SO-KS/2606/130109"/>
    <s v="MKS Bali"/>
    <x v="64"/>
    <x v="0"/>
    <x v="7"/>
    <s v="060007"/>
    <s v="Nescafe Classic Vending 120gr/Pack"/>
    <n v="48"/>
    <s v="PACK"/>
    <n v="48"/>
    <n v="2850480"/>
    <n v="0"/>
    <s v="Invoice"/>
    <s v="Sudah Jadi FJ"/>
    <s v=""/>
  </r>
  <r>
    <d v="2026-06-15T00:00:00"/>
    <d v="2026-06-13T00:00:00"/>
    <s v="SO-KS/2606/130111"/>
    <s v="MKS Bali"/>
    <x v="79"/>
    <x v="0"/>
    <x v="13"/>
    <s v="020011"/>
    <s v="Nestle Dark Cocoa Drink Npro 1kg/Pack"/>
    <n v="1"/>
    <s v="PACK"/>
    <n v="1"/>
    <n v="89000"/>
    <n v="0"/>
    <s v="Invoice"/>
    <s v="Sudah Jadi FJ"/>
    <s v=""/>
  </r>
  <r>
    <d v="2026-06-15T00:00:00"/>
    <d v="2026-06-13T00:00:00"/>
    <s v="SO-KS/2606/130111"/>
    <s v="MKS Bali"/>
    <x v="79"/>
    <x v="0"/>
    <x v="13"/>
    <s v="060004"/>
    <s v="Nescafe Cappuccino Caramel Era 500gr/Pack"/>
    <n v="6"/>
    <s v="PACK"/>
    <n v="6"/>
    <n v="378600"/>
    <n v="0"/>
    <s v="Invoice"/>
    <s v="Sudah Jadi FJ"/>
    <s v=""/>
  </r>
  <r>
    <d v="2026-06-15T00:00:00"/>
    <d v="2026-06-13T00:00:00"/>
    <s v="SO-KS/2606/130111"/>
    <s v="MKS Bali"/>
    <x v="79"/>
    <x v="0"/>
    <x v="13"/>
    <s v="020020"/>
    <s v="NESTLE Milo Activ-Go NPro 960Gr/Pack"/>
    <n v="9"/>
    <s v="PACK"/>
    <n v="9"/>
    <n v="945000"/>
    <n v="0"/>
    <s v="Invoice"/>
    <s v="Sudah Jadi FJ"/>
    <s v=""/>
  </r>
  <r>
    <d v="2026-06-15T00:00:00"/>
    <d v="2026-06-13T00:00:00"/>
    <s v="SO-KS/2606/130113"/>
    <s v="MKS Bali"/>
    <x v="80"/>
    <x v="0"/>
    <x v="7"/>
    <s v="020020"/>
    <s v="NESTLE Milo Activ-Go NPro 960Gr/Pack"/>
    <n v="2"/>
    <s v="PACK"/>
    <n v="2"/>
    <n v="199499.99"/>
    <n v="0"/>
    <s v="Invoice"/>
    <s v="Sudah Jadi FJ"/>
    <s v=""/>
  </r>
  <r>
    <d v="2026-06-15T00:00:00"/>
    <d v="2026-06-13T00:00:00"/>
    <s v="SO-KS/2606/130113"/>
    <s v="MKS Bali"/>
    <x v="80"/>
    <x v="0"/>
    <x v="7"/>
    <s v="060004"/>
    <s v="Nescafe Cappuccino Caramel Era 500gr/Pack"/>
    <n v="6"/>
    <s v="PACK"/>
    <n v="6"/>
    <n v="359670.02"/>
    <n v="0"/>
    <s v="Invoice"/>
    <s v="Sudah Jadi FJ"/>
    <s v=""/>
  </r>
  <r>
    <d v="2026-06-15T00:00:00"/>
    <d v="2026-06-13T00:00:00"/>
    <s v="SO-KS/2606/130113"/>
    <s v="MKS Bali"/>
    <x v="80"/>
    <x v="0"/>
    <x v="7"/>
    <s v="060009"/>
    <s v="Nescafe Latte 500gr/Pack"/>
    <n v="2"/>
    <s v="PACK"/>
    <n v="2"/>
    <n v="114569.99"/>
    <n v="0"/>
    <s v="Invoice"/>
    <s v="Sudah Jadi FJ"/>
    <s v=""/>
  </r>
  <r>
    <d v="2026-06-15T00:00:00"/>
    <d v="2026-06-13T00:00:00"/>
    <s v="SO-KS/2606/130114"/>
    <s v="MKS Bali"/>
    <x v="81"/>
    <x v="0"/>
    <x v="7"/>
    <s v="PNS0005"/>
    <s v="Nestle Milo Npro 1.5Kg"/>
    <n v="2"/>
    <s v="PACK"/>
    <n v="2"/>
    <n v="266400"/>
    <n v="0"/>
    <s v="Invoice"/>
    <s v="Sudah Jadi FJ"/>
    <s v=""/>
  </r>
  <r>
    <d v="2026-06-15T00:00:00"/>
    <d v="2026-06-13T00:00:00"/>
    <s v="SO-KS/2606/130114"/>
    <s v="MKS Bali"/>
    <x v="81"/>
    <x v="0"/>
    <x v="7"/>
    <s v="060019"/>
    <s v="Nestle Orange Pouch NP 560gr/Pack"/>
    <n v="1"/>
    <s v="PACK"/>
    <n v="1"/>
    <n v="54100"/>
    <n v="0"/>
    <s v="Invoice"/>
    <s v="Sudah Jadi FJ"/>
    <s v=""/>
  </r>
  <r>
    <d v="2026-06-15T00:00:00"/>
    <d v="2026-06-13T00:00:00"/>
    <s v="SO-KS/2606/130116"/>
    <s v="MKS Bali"/>
    <x v="12"/>
    <x v="0"/>
    <x v="5"/>
    <s v="PSJ0046"/>
    <s v="Allana Tenderloin Whole"/>
    <n v="3"/>
    <s v="KG"/>
    <n v="2.98"/>
    <n v="566200"/>
    <n v="-0.02"/>
    <s v="Invoice"/>
    <s v="Sudah Jadi FJ"/>
    <s v=""/>
  </r>
  <r>
    <d v="2026-06-15T00:00:00"/>
    <d v="2026-06-13T00:00:00"/>
    <s v="SO-KS/2606/130117"/>
    <s v="MKS Bali"/>
    <x v="82"/>
    <x v="1"/>
    <x v="0"/>
    <s v="080241"/>
    <s v="THE ALTERNATIVE Barista Almond Milk 1 Lt"/>
    <n v="10"/>
    <s v="PCS"/>
    <n v="10"/>
    <n v="466200"/>
    <n v="0"/>
    <s v="Invoice"/>
    <s v="Sudah Jadi FJ"/>
    <s v=""/>
  </r>
  <r>
    <d v="2026-06-15T00:00:00"/>
    <d v="2026-06-13T00:00:00"/>
    <s v="SO-KS/2606/130118"/>
    <s v="MKS Bali"/>
    <x v="72"/>
    <x v="0"/>
    <x v="2"/>
    <s v="PSJ0228"/>
    <s v="Premium Minced Beef (2.5kg/pack)"/>
    <n v="5"/>
    <s v="KG"/>
    <n v="5"/>
    <n v="500000"/>
    <n v="0"/>
    <s v="Invoice"/>
    <s v="Sudah Jadi FJ"/>
    <s v="Tambahan Cafe"/>
  </r>
  <r>
    <d v="2026-06-15T00:00:00"/>
    <d v="2026-06-13T00:00:00"/>
    <s v="SO-KS/2606/130119"/>
    <s v="MKS Bali"/>
    <x v="83"/>
    <x v="1"/>
    <x v="15"/>
    <s v="PLN0005"/>
    <s v="RICH CRÈME ND 08 1000G POUCH"/>
    <n v="12"/>
    <s v="POU"/>
    <n v="12"/>
    <n v="674400.12"/>
    <n v="0"/>
    <s v="Invoice"/>
    <s v="Sudah Jadi FJ"/>
    <s v=""/>
  </r>
  <r>
    <d v="2026-06-15T00:00:00"/>
    <d v="2026-06-13T00:00:00"/>
    <s v="SO-KS/2606/130120"/>
    <s v="MKS Bali"/>
    <x v="84"/>
    <x v="1"/>
    <x v="15"/>
    <s v="PLN0005"/>
    <s v="RICH CRÈME ND 08 1000G POUCH"/>
    <n v="12"/>
    <s v="POU"/>
    <n v="12"/>
    <n v="674400.12"/>
    <n v="0"/>
    <s v="Invoice"/>
    <s v="Sudah Jadi FJ"/>
    <s v=""/>
  </r>
  <r>
    <d v="2026-06-15T00:00:00"/>
    <d v="2026-06-13T00:00:00"/>
    <s v="SO-KS/2606/130121"/>
    <s v="MKS Bali"/>
    <x v="85"/>
    <x v="1"/>
    <x v="15"/>
    <s v="PLN0005"/>
    <s v="RICH CRÈME ND 08 1000G POUCH"/>
    <n v="12"/>
    <s v="POU"/>
    <n v="12"/>
    <n v="674400.12"/>
    <n v="0"/>
    <s v="Invoice"/>
    <s v="Sudah Jadi FJ"/>
    <s v=""/>
  </r>
  <r>
    <d v="2026-06-15T00:00:00"/>
    <d v="2026-06-13T00:00:00"/>
    <s v="SO-KS/2606/130122"/>
    <s v="MKS Bali"/>
    <x v="86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6-15T00:00:00"/>
    <d v="2026-06-13T00:00:00"/>
    <s v="SO-KS/2606/130123"/>
    <s v="MKS Bali"/>
    <x v="87"/>
    <x v="1"/>
    <x v="15"/>
    <s v="PLN0005"/>
    <s v="RICH CRÈME ND 08 1000G POUCH"/>
    <n v="12"/>
    <s v="POU"/>
    <n v="12"/>
    <n v="674400.12"/>
    <n v="0"/>
    <s v="Invoice"/>
    <s v="Sudah Jadi FJ"/>
    <s v=""/>
  </r>
  <r>
    <d v="2026-06-15T00:00:00"/>
    <d v="2026-06-13T00:00:00"/>
    <s v="SO-KS/2606/130125"/>
    <s v="MKS Bali"/>
    <x v="88"/>
    <x v="1"/>
    <x v="4"/>
    <s v="080241"/>
    <s v="THE ALTERNATIVE Barista Almond Milk 1 Lt"/>
    <n v="12"/>
    <s v="PCS"/>
    <n v="12"/>
    <n v="559440"/>
    <n v="0"/>
    <s v="Invoice"/>
    <s v="Sudah Jadi FJ"/>
    <s v=""/>
  </r>
  <r>
    <d v="2026-06-15T00:00:00"/>
    <d v="2026-06-13T00:00:00"/>
    <s v="SO-KS/2606/130126"/>
    <s v="MKS Bali"/>
    <x v="89"/>
    <x v="0"/>
    <x v="10"/>
    <s v="080240"/>
    <s v="THE ALTERNATIVE Barista Oat Milk 1 Lt"/>
    <n v="6"/>
    <s v="PCS"/>
    <n v="6"/>
    <n v="279720"/>
    <n v="0"/>
    <s v="Invoice"/>
    <s v="Sudah Jadi FJ"/>
    <s v="BAR COFFEE"/>
  </r>
  <r>
    <d v="2026-06-15T00:00:00"/>
    <d v="2026-06-13T00:00:00"/>
    <s v="SO-KS/2606/130127"/>
    <s v="MKS Bali"/>
    <x v="90"/>
    <x v="0"/>
    <x v="2"/>
    <s v="SFM007"/>
    <s v="Tepung Double Zero @25Kg/Sack"/>
    <n v="3"/>
    <s v="SACK"/>
    <n v="3"/>
    <n v="945000"/>
    <n v="0"/>
    <s v="Invoice"/>
    <s v="Sudah Jadi FJ"/>
    <s v=""/>
  </r>
  <r>
    <d v="2026-06-15T00:00:00"/>
    <d v="2026-06-13T00:00:00"/>
    <s v="SO-KS/2606/130129"/>
    <s v="MKS Bali"/>
    <x v="91"/>
    <x v="1"/>
    <x v="10"/>
    <s v="120006"/>
    <s v="Tepung Crispy Ala Kentucky 1kg/pack"/>
    <n v="10"/>
    <s v="KG"/>
    <n v="10"/>
    <n v="327450"/>
    <n v="0"/>
    <s v="Invoice"/>
    <s v="Sudah Jadi FJ"/>
    <s v=""/>
  </r>
  <r>
    <d v="2026-06-15T00:00:00"/>
    <d v="2026-06-13T00:00:00"/>
    <s v="SO-KS/2606/130130"/>
    <s v="MKS Bali"/>
    <x v="92"/>
    <x v="0"/>
    <x v="10"/>
    <s v="120007"/>
    <s v="Tepung Double Zero 1kg/pack"/>
    <n v="6"/>
    <s v="KG"/>
    <n v="6"/>
    <n v="99900"/>
    <n v="0"/>
    <s v="Invoice"/>
    <s v="Sudah Jadi FJ"/>
    <s v=""/>
  </r>
  <r>
    <d v="2026-06-15T00:00:00"/>
    <d v="2026-06-13T00:00:00"/>
    <s v="SO-KS/2606/130130"/>
    <s v="MKS Bali"/>
    <x v="92"/>
    <x v="0"/>
    <x v="10"/>
    <s v="120018"/>
    <s v="Tepung Ninja 1kg/pack"/>
    <n v="6"/>
    <s v="KG"/>
    <n v="6"/>
    <n v="96570"/>
    <n v="0"/>
    <s v="Invoice"/>
    <s v="Sudah Jadi FJ"/>
    <s v=""/>
  </r>
  <r>
    <d v="2026-06-15T00:00:00"/>
    <d v="2026-06-13T00:00:00"/>
    <s v="SO-KS/2606/130131"/>
    <s v="MKS Bali"/>
    <x v="72"/>
    <x v="0"/>
    <x v="2"/>
    <s v="PSJ0228"/>
    <s v="Premium Minced Beef (2.5kg/pack)"/>
    <n v="5"/>
    <s v="KG"/>
    <n v="5"/>
    <n v="500000"/>
    <n v="0"/>
    <s v="Invoice"/>
    <s v="Sudah Jadi FJ"/>
    <s v="Tambahan. oasis"/>
  </r>
  <r>
    <d v="2026-06-15T00:00:00"/>
    <d v="2026-06-13T00:00:00"/>
    <s v="SO-KS/2606/130132"/>
    <s v="MKS Bali"/>
    <x v="86"/>
    <x v="0"/>
    <x v="0"/>
    <s v="PPA0092"/>
    <s v="Emborg Pizza Topping 2.3 Kg"/>
    <n v="50"/>
    <s v="KG"/>
    <n v="50.6"/>
    <n v="5059999.99"/>
    <n v="0.6"/>
    <s v="Invoice"/>
    <s v="Sudah Jadi FJ"/>
    <s v="kitchen asian"/>
  </r>
  <r>
    <d v="2026-06-15T00:00:00"/>
    <d v="2026-06-13T00:00:00"/>
    <s v="SO-KS/2606/130133"/>
    <s v="MKS Bali"/>
    <x v="93"/>
    <x v="0"/>
    <x v="1"/>
    <s v="120015"/>
    <s v="Tepung Japanese Tempura 1kg/pack"/>
    <n v="10"/>
    <s v="KG"/>
    <n v="10"/>
    <n v="362970"/>
    <n v="0"/>
    <s v="Invoice"/>
    <s v="Sudah Jadi FJ"/>
    <s v=""/>
  </r>
  <r>
    <d v="2026-06-15T00:00:00"/>
    <d v="2026-06-13T00:00:00"/>
    <s v="SO-KS/2606/130135"/>
    <s v="MKS Bali"/>
    <x v="94"/>
    <x v="0"/>
    <x v="3"/>
    <s v="SFM009"/>
    <s v="Tepung Hime @25Kg/Sack"/>
    <n v="40"/>
    <s v="SACK"/>
    <n v="40"/>
    <n v="12479999.949999999"/>
    <n v="0"/>
    <s v="Invoice"/>
    <s v="Sudah Jadi FJ"/>
    <s v=""/>
  </r>
  <r>
    <d v="2026-06-15T00:00:00"/>
    <d v="2026-06-13T00:00:00"/>
    <s v="SO-KS/2606/130136"/>
    <s v="MKS Bali"/>
    <x v="95"/>
    <x v="0"/>
    <x v="16"/>
    <s v="PSF0014"/>
    <s v="Tepung 00 Fusion @25Kg"/>
    <n v="30"/>
    <s v="SACK"/>
    <n v="30"/>
    <n v="8699999.9900000002"/>
    <n v="0"/>
    <s v="Invoice"/>
    <s v="Sudah Jadi FJ"/>
    <s v=""/>
  </r>
  <r>
    <d v="2026-06-15T00:00:00"/>
    <d v="2026-06-13T00:00:00"/>
    <s v="SO-KS/2606/130137"/>
    <s v="MKS Bali"/>
    <x v="96"/>
    <x v="0"/>
    <x v="2"/>
    <s v="SFM053"/>
    <s v="Inofa Heat Treated Wheat Flour SF 346 @1kg/pack"/>
    <n v="4"/>
    <s v="KG"/>
    <n v="4"/>
    <n v="108780"/>
    <n v="0"/>
    <s v="Invoice"/>
    <s v="Sudah Jadi FJ"/>
    <s v=""/>
  </r>
  <r>
    <d v="2026-06-15T00:00:00"/>
    <d v="2026-06-13T00:00:00"/>
    <s v="SO-KS/2606/130137"/>
    <s v="MKS Bali"/>
    <x v="96"/>
    <x v="0"/>
    <x v="2"/>
    <s v="SFM007"/>
    <s v="Tepung Double Zero @25Kg/Sack"/>
    <n v="1"/>
    <s v="SACK"/>
    <n v="1"/>
    <n v="327450"/>
    <n v="0"/>
    <s v="Invoice"/>
    <s v="Sudah Jadi FJ"/>
    <s v=""/>
  </r>
  <r>
    <d v="2026-06-15T00:00:00"/>
    <d v="2026-06-13T00:00:00"/>
    <s v="SO-KS/2606/130138"/>
    <s v="MKS Bali"/>
    <x v="97"/>
    <x v="0"/>
    <x v="4"/>
    <s v="PPA0092"/>
    <s v="Emborg Pizza Topping 2.3 Kg"/>
    <n v="2.2999999999999998"/>
    <s v="KG"/>
    <n v="2.2999999999999998"/>
    <n v="241499.99"/>
    <n v="0"/>
    <s v="Invoice"/>
    <s v="Sudah Jadi FJ"/>
    <s v="1 loaf"/>
  </r>
  <r>
    <d v="2026-06-15T00:00:00"/>
    <d v="2026-06-13T00:00:00"/>
    <s v="SO-KS/2606/130140"/>
    <s v="MKS Bali"/>
    <x v="98"/>
    <x v="1"/>
    <x v="17"/>
    <s v="PSJ0203"/>
    <s v="Borello Rump"/>
    <n v="2"/>
    <s v="KG"/>
    <n v="9.49"/>
    <n v="1414010"/>
    <n v="7.49"/>
    <s v="Invoice"/>
    <s v="Sudah Jadi FJ"/>
    <s v="chef reri mamas. 1 whole . Dikirim bareng kiriman mamas"/>
  </r>
  <r>
    <d v="2026-06-15T00:00:00"/>
    <d v="2026-06-13T00:00:00"/>
    <s v="SO-KS/2606/130141"/>
    <s v="MKS Bali"/>
    <x v="48"/>
    <x v="0"/>
    <x v="11"/>
    <s v="120014"/>
    <s v="Tepung Hime 1kg/pack"/>
    <n v="10"/>
    <s v="KG"/>
    <n v="10"/>
    <n v="149999.96"/>
    <n v="0"/>
    <s v="Invoice"/>
    <s v="Sudah Jadi FJ"/>
    <s v=""/>
  </r>
  <r>
    <d v="2026-06-15T00:00:00"/>
    <d v="2026-06-13T00:00:00"/>
    <s v="SO-KS/2606/130141"/>
    <s v="MKS Bali"/>
    <x v="48"/>
    <x v="0"/>
    <x v="11"/>
    <s v="120018"/>
    <s v="Tepung Ninja 1kg/pack"/>
    <n v="60"/>
    <s v="KG"/>
    <n v="60"/>
    <n v="899999.77"/>
    <n v="0"/>
    <s v="Invoice"/>
    <s v="Sudah Jadi FJ"/>
    <s v=""/>
  </r>
  <r>
    <d v="2026-06-15T00:00:00"/>
    <d v="2026-06-13T00:00:00"/>
    <s v="SO-KS/2606/130142"/>
    <s v="MKS Bali"/>
    <x v="99"/>
    <x v="0"/>
    <x v="5"/>
    <s v="PSJ0046"/>
    <s v="Allana Tenderloin Whole"/>
    <n v="12"/>
    <s v="KG"/>
    <n v="12.619899999999999"/>
    <n v="2397800"/>
    <n v="0.61990000000000001"/>
    <s v="Invoice"/>
    <s v="Sudah Jadi FJ"/>
    <s v=""/>
  </r>
  <r>
    <d v="2026-06-15T00:00:00"/>
    <d v="2026-06-13T00:00:00"/>
    <s v="SO-KS/2606/130143"/>
    <s v="MKS Bali"/>
    <x v="99"/>
    <x v="0"/>
    <x v="5"/>
    <s v="PLN0002"/>
    <s v="RICH CREME WHIPING CREAM 800G POUCH"/>
    <n v="2"/>
    <s v="POU"/>
    <n v="2"/>
    <n v="190920"/>
    <n v="0"/>
    <s v="Invoice"/>
    <s v="Sudah Jadi FJ"/>
    <s v=""/>
  </r>
  <r>
    <d v="2026-06-15T00:00:00"/>
    <d v="2026-06-13T00:00:00"/>
    <s v="SO-KS/2606/130144"/>
    <s v="MKS Bali"/>
    <x v="86"/>
    <x v="0"/>
    <x v="0"/>
    <s v="SFM007"/>
    <s v="Tepung Double Zero @25Kg/Sack"/>
    <n v="17"/>
    <s v="SACK"/>
    <n v="17"/>
    <n v="4658000.0599999996"/>
    <n v="0"/>
    <s v="Invoice"/>
    <s v="Sudah Jadi FJ"/>
    <s v=" kitchen fbc"/>
  </r>
  <r>
    <d v="2026-06-15T00:00:00"/>
    <d v="2026-06-13T00:00:00"/>
    <s v="SO-KS/2606/130144"/>
    <s v="MKS Bali"/>
    <x v="86"/>
    <x v="0"/>
    <x v="0"/>
    <s v="SFM009"/>
    <s v="Tepung Hime @25Kg/Sack"/>
    <n v="5"/>
    <s v="SACK"/>
    <n v="5"/>
    <n v="1390000.05"/>
    <n v="0"/>
    <s v="Invoice"/>
    <s v="Sudah Jadi FJ"/>
    <s v=" kitchen fbc"/>
  </r>
  <r>
    <d v="2026-06-15T00:00:00"/>
    <d v="2026-06-13T00:00:00"/>
    <s v="SO-KS/2606/130145"/>
    <s v="MKS Bali"/>
    <x v="86"/>
    <x v="0"/>
    <x v="0"/>
    <s v="PSJ0187"/>
    <s v="Borello Topside"/>
    <n v="18"/>
    <s v="KG"/>
    <n v="18.16"/>
    <n v="3087200"/>
    <n v="0.16"/>
    <s v="Invoice"/>
    <s v="Sudah Jadi FJ"/>
    <s v=" kitchen fbc"/>
  </r>
  <r>
    <d v="2026-06-15T00:00:00"/>
    <d v="2026-06-13T00:00:00"/>
    <s v="SO-KS/2606/130146"/>
    <s v="MKS Bali"/>
    <x v="99"/>
    <x v="0"/>
    <x v="5"/>
    <s v="PSJ0046"/>
    <s v="Allana Tenderloin Whole"/>
    <n v="10"/>
    <s v="KG"/>
    <n v="10.01"/>
    <n v="1901900"/>
    <n v="0.01"/>
    <s v="Invoice"/>
    <s v="Sudah Jadi FJ"/>
    <s v=""/>
  </r>
  <r>
    <d v="2026-06-15T00:00:00"/>
    <d v="2026-06-13T00:00:00"/>
    <s v="SO-KS/2606/130147"/>
    <s v="MKS Bali"/>
    <x v="99"/>
    <x v="0"/>
    <x v="5"/>
    <s v="PSJ0046"/>
    <s v="Allana Tenderloin Whole"/>
    <n v="10"/>
    <s v="KG"/>
    <n v="10"/>
    <n v="1900000"/>
    <n v="0"/>
    <s v="Invoice"/>
    <s v="Sudah Jadi FJ"/>
    <s v=""/>
  </r>
  <r>
    <d v="2026-06-15T00:00:00"/>
    <d v="2026-06-13T00:00:00"/>
    <s v="SO-KS/2606/130148"/>
    <s v="MKS Bali"/>
    <x v="100"/>
    <x v="0"/>
    <x v="8"/>
    <s v="120007"/>
    <s v="Tepung Double Zero 1kg/pack"/>
    <n v="100"/>
    <s v="KG"/>
    <n v="100"/>
    <n v="1550000.67"/>
    <n v="0"/>
    <s v="Invoice"/>
    <s v="Sudah Jadi FJ"/>
    <s v=""/>
  </r>
  <r>
    <d v="2026-06-15T00:00:00"/>
    <d v="2026-06-13T00:00:00"/>
    <s v="SO-KS/2606/130148"/>
    <s v="MKS Bali"/>
    <x v="100"/>
    <x v="0"/>
    <x v="8"/>
    <s v="120014"/>
    <s v="Tepung Hime 1kg/pack"/>
    <n v="20"/>
    <s v="KG"/>
    <n v="20"/>
    <n v="329999.89"/>
    <n v="0"/>
    <s v="Invoice"/>
    <s v="Sudah Jadi FJ"/>
    <s v=""/>
  </r>
  <r>
    <d v="2026-06-15T00:00:00"/>
    <d v="2026-06-13T00:00:00"/>
    <s v="SO-KS/2606/130148"/>
    <s v="MKS Bali"/>
    <x v="100"/>
    <x v="0"/>
    <x v="8"/>
    <s v="PSF0020"/>
    <s v="Tepung Ninja Fusion Pao 1Kg"/>
    <n v="6"/>
    <s v="KG"/>
    <n v="6"/>
    <n v="120000.02"/>
    <n v="0"/>
    <s v="Invoice"/>
    <s v="Sudah Jadi FJ"/>
    <s v=""/>
  </r>
  <r>
    <d v="2026-06-15T00:00:00"/>
    <d v="2026-06-13T00:00:00"/>
    <s v="SO-KS/2606/130150"/>
    <s v="MKS Bali"/>
    <x v="101"/>
    <x v="0"/>
    <x v="15"/>
    <s v="PSF0015"/>
    <s v="Tepung Stupa Emas 25 Kg"/>
    <n v="80"/>
    <s v="SACK"/>
    <n v="80"/>
    <n v="17440000.32"/>
    <n v="0"/>
    <s v="Invoice"/>
    <s v="Sudah Jadi FJ"/>
    <s v=""/>
  </r>
  <r>
    <d v="2026-06-15T00:00:00"/>
    <d v="2026-06-13T00:00:00"/>
    <s v="SO-KS/2606/130151"/>
    <s v="MKS Bali"/>
    <x v="102"/>
    <x v="0"/>
    <x v="10"/>
    <s v="SFM007"/>
    <s v="Tepung Double Zero @25Kg/Sack"/>
    <n v="2"/>
    <s v="SACK"/>
    <n v="2"/>
    <n v="654900"/>
    <n v="0"/>
    <s v="Invoice"/>
    <s v="Sudah Jadi FJ"/>
    <s v=""/>
  </r>
  <r>
    <d v="2026-06-15T00:00:00"/>
    <d v="2026-06-13T00:00:00"/>
    <s v="SO-KS/2606/130152"/>
    <s v="MKS Bali"/>
    <x v="103"/>
    <x v="0"/>
    <x v="3"/>
    <s v="SFM007"/>
    <s v="Tepung Double Zero @25Kg/Sack"/>
    <n v="1"/>
    <s v="SACK"/>
    <n v="1"/>
    <n v="280000"/>
    <n v="0"/>
    <s v="Invoice"/>
    <s v="Sudah Jadi FJ"/>
    <s v=""/>
  </r>
  <r>
    <d v="2026-06-15T00:00:00"/>
    <d v="2026-06-13T00:00:00"/>
    <s v="SO-KS/2606/130153"/>
    <s v="MKS Bali"/>
    <x v="99"/>
    <x v="0"/>
    <x v="5"/>
    <s v="PSJ0046"/>
    <s v="Allana Tenderloin Whole"/>
    <n v="2"/>
    <s v="KG"/>
    <n v="2.1"/>
    <n v="399000"/>
    <n v="0.1"/>
    <s v="Invoice"/>
    <s v="Sudah Jadi FJ"/>
    <s v=""/>
  </r>
  <r>
    <d v="2026-06-15T00:00:00"/>
    <d v="2026-06-13T00:00:00"/>
    <s v="SO-KS/2606/130154"/>
    <s v="MKS Bali"/>
    <x v="94"/>
    <x v="0"/>
    <x v="13"/>
    <s v="020020"/>
    <s v="NESTLE Milo Activ-Go NPro 960Gr/Pack"/>
    <n v="16"/>
    <s v="PACK"/>
    <n v="16"/>
    <n v="1679999.98"/>
    <n v="0"/>
    <s v="Invoice"/>
    <s v="Sudah Jadi FJ"/>
    <s v=""/>
  </r>
  <r>
    <d v="2026-06-15T00:00:00"/>
    <d v="2026-06-13T00:00:00"/>
    <s v="SO-KS/2606/130154"/>
    <s v="MKS Bali"/>
    <x v="94"/>
    <x v="0"/>
    <x v="13"/>
    <s v="020011"/>
    <s v="Nestle Dark Cocoa Drink Npro 1kg/Pack"/>
    <n v="16"/>
    <s v="PACK"/>
    <n v="16"/>
    <n v="1424000"/>
    <n v="0"/>
    <s v="Invoice"/>
    <s v="Sudah Jadi FJ"/>
    <s v=""/>
  </r>
  <r>
    <d v="2026-06-15T00:00:00"/>
    <d v="2026-06-13T00:00:00"/>
    <s v="SO-KS/2606/130155"/>
    <s v="MKS Bali"/>
    <x v="104"/>
    <x v="0"/>
    <x v="0"/>
    <s v="SFM007"/>
    <s v="Tepung Double Zero @25Kg/Sack"/>
    <n v="10"/>
    <s v="SACK"/>
    <n v="10"/>
    <n v="2730000.05"/>
    <n v="0"/>
    <s v="Invoice"/>
    <s v="Sudah Jadi FJ"/>
    <s v=""/>
  </r>
  <r>
    <d v="2026-06-15T00:00:00"/>
    <d v="2026-06-13T00:00:00"/>
    <s v="SO-KS/2606/130156"/>
    <s v="MKS Bali"/>
    <x v="105"/>
    <x v="0"/>
    <x v="0"/>
    <s v="SFM009"/>
    <s v="Tepung Hime @25Kg/Sack"/>
    <n v="4"/>
    <s v="SACK"/>
    <n v="4"/>
    <n v="1320000.01"/>
    <n v="0"/>
    <s v="Invoice"/>
    <s v="Sudah Jadi FJ"/>
    <s v=""/>
  </r>
  <r>
    <d v="2026-06-15T00:00:00"/>
    <d v="2026-06-13T00:00:00"/>
    <s v="SO-KS/2606/130157"/>
    <s v="MKS Bali"/>
    <x v="106"/>
    <x v="1"/>
    <x v="7"/>
    <s v="020020"/>
    <s v="NESTLE Milo Activ-Go NPro 960Gr/Pack"/>
    <n v="2"/>
    <s v="PACK"/>
    <n v="2"/>
    <n v="210000"/>
    <n v="0"/>
    <s v="Invoice"/>
    <s v="Sudah Jadi FJ"/>
    <s v=""/>
  </r>
  <r>
    <d v="2026-06-15T00:00:00"/>
    <d v="2026-06-13T00:00:00"/>
    <s v="SO-KS/2606/130157"/>
    <s v="MKS Bali"/>
    <x v="106"/>
    <x v="1"/>
    <x v="7"/>
    <s v="060015"/>
    <s v="Nestea Lychee Tea Npro 560gr/Pack"/>
    <n v="2"/>
    <s v="PACK"/>
    <n v="2"/>
    <n v="102200.01"/>
    <n v="0"/>
    <s v="Invoice"/>
    <s v="Sudah Jadi FJ"/>
    <s v=""/>
  </r>
  <r>
    <d v="2026-06-15T00:00:00"/>
    <d v="2026-06-13T00:00:00"/>
    <s v="SO-KS/2606/130158"/>
    <s v="MKS Bali"/>
    <x v="107"/>
    <x v="0"/>
    <x v="12"/>
    <s v="060013"/>
    <s v="Nestea Lemon Tea 1kg/Pack"/>
    <n v="12"/>
    <s v="PACK"/>
    <n v="12"/>
    <n v="770400.03"/>
    <n v="0"/>
    <s v="Invoice"/>
    <s v="Sudah Jadi FJ"/>
    <s v="Invoice 1"/>
  </r>
  <r>
    <d v="2026-06-15T00:00:00"/>
    <d v="2026-06-13T00:00:00"/>
    <s v="SO-KS/2606/130158"/>
    <s v="MKS Bali"/>
    <x v="107"/>
    <x v="0"/>
    <x v="12"/>
    <s v="060015"/>
    <s v="Nestea Lychee Tea Npro 560gr/Pack"/>
    <n v="24"/>
    <s v="PACK"/>
    <n v="24"/>
    <n v="1226400.1000000001"/>
    <n v="0"/>
    <s v="Invoice"/>
    <s v="Sudah Jadi FJ"/>
    <s v="Invoice 1"/>
  </r>
  <r>
    <d v="2026-06-15T00:00:00"/>
    <d v="2026-06-13T00:00:00"/>
    <s v="SO-KS/2606/130159"/>
    <s v="MKS Bali"/>
    <x v="108"/>
    <x v="0"/>
    <x v="0"/>
    <s v="SFM007"/>
    <s v="Tepung Double Zero @25Kg/Sack"/>
    <n v="2"/>
    <s v="SACK"/>
    <n v="2"/>
    <n v="570000"/>
    <n v="0"/>
    <s v="Invoice"/>
    <s v="Sudah Jadi FJ"/>
    <s v=""/>
  </r>
  <r>
    <d v="2026-06-15T00:00:00"/>
    <d v="2026-06-13T00:00:00"/>
    <s v="SO-KS/2606/130160"/>
    <s v="MKS Bali"/>
    <x v="109"/>
    <x v="0"/>
    <x v="12"/>
    <s v="080124"/>
    <s v="NESTLE MILO -E Uht Cmbk 110 Ml"/>
    <n v="72"/>
    <s v="PCS"/>
    <n v="72"/>
    <n v="208799.95"/>
    <n v="0"/>
    <s v="Invoice"/>
    <s v="Sudah Jadi FJ"/>
    <s v=""/>
  </r>
  <r>
    <d v="2026-06-15T00:00:00"/>
    <d v="2026-06-13T00:00:00"/>
    <s v="SO-KS/2606/130160"/>
    <s v="MKS Bali"/>
    <x v="109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6-15T00:00:00"/>
    <d v="2026-06-13T00:00:00"/>
    <s v="SO-KS/2606/130161"/>
    <s v="MKS Bali"/>
    <x v="107"/>
    <x v="0"/>
    <x v="12"/>
    <s v="020020"/>
    <s v="NESTLE Milo Activ-Go NPro 960Gr/Pack"/>
    <n v="16"/>
    <s v="PACK"/>
    <n v="16"/>
    <n v="1679999.92"/>
    <n v="0"/>
    <s v="Invoice"/>
    <s v="Sudah Jadi FJ"/>
    <s v="Invoice 2"/>
  </r>
  <r>
    <d v="2026-06-15T00:00:00"/>
    <d v="2026-06-13T00:00:00"/>
    <s v="SO-KS/2606/130162"/>
    <s v="MKS Bali"/>
    <x v="109"/>
    <x v="0"/>
    <x v="12"/>
    <s v="060004"/>
    <s v="Nescafe Cappuccino Caramel Era 500gr/Pack"/>
    <n v="30"/>
    <s v="PACK"/>
    <n v="30"/>
    <n v="1644259.99"/>
    <n v="0"/>
    <s v="Invoice"/>
    <s v="Sudah Jadi FJ"/>
    <s v=""/>
  </r>
  <r>
    <d v="2026-06-15T00:00:00"/>
    <d v="2026-06-13T00:00:00"/>
    <s v="SO-KS/2606/130164"/>
    <s v="MKS Bali"/>
    <x v="110"/>
    <x v="0"/>
    <x v="13"/>
    <s v="060004"/>
    <s v="Nescafe Cappuccino Caramel Era 500gr/Pack"/>
    <n v="60"/>
    <s v="PACK"/>
    <n v="60"/>
    <n v="4129200"/>
    <n v="0"/>
    <s v="Invoice"/>
    <s v="Sudah Jadi FJ"/>
    <s v=""/>
  </r>
  <r>
    <d v="2026-06-15T00:00:00"/>
    <d v="2026-06-13T00:00:00"/>
    <s v="SO-KS/2606/130165"/>
    <s v="MKS Bali"/>
    <x v="111"/>
    <x v="0"/>
    <x v="7"/>
    <s v="020011"/>
    <s v="Nestle Dark Cocoa Drink Npro 1kg/Pack"/>
    <n v="16"/>
    <s v="PACK"/>
    <n v="16"/>
    <n v="1562880"/>
    <n v="0"/>
    <s v="Invoice"/>
    <s v="Sudah Jadi FJ"/>
    <s v=""/>
  </r>
  <r>
    <d v="2026-06-15T00:00:00"/>
    <d v="2026-06-13T00:00:00"/>
    <s v="SO-KS/2606/130166"/>
    <s v="MKS Bali"/>
    <x v="112"/>
    <x v="0"/>
    <x v="0"/>
    <s v="SFM009"/>
    <s v="Tepung Hime @25Kg/Sack"/>
    <n v="1"/>
    <s v="SACK"/>
    <n v="1"/>
    <n v="290000"/>
    <n v="0"/>
    <s v="Invoice"/>
    <s v="Sudah Jadi FJ"/>
    <s v=""/>
  </r>
  <r>
    <d v="2026-06-15T00:00:00"/>
    <d v="2026-06-13T00:00:00"/>
    <s v="SO-KS/2606/130167"/>
    <s v="MKS Bali"/>
    <x v="113"/>
    <x v="0"/>
    <x v="16"/>
    <s v="SFM007"/>
    <s v="Tepung Double Zero @25Kg/Sack"/>
    <n v="10"/>
    <s v="SACK"/>
    <n v="10"/>
    <n v="3219000"/>
    <n v="0"/>
    <s v="Invoice"/>
    <s v="Sudah Jadi FJ"/>
    <s v=""/>
  </r>
  <r>
    <d v="2026-06-15T00:00:00"/>
    <d v="2026-06-13T00:00:00"/>
    <s v="SO-KS/2606/130169"/>
    <s v="MKS Bali"/>
    <x v="112"/>
    <x v="0"/>
    <x v="0"/>
    <s v="SFM009"/>
    <s v="Tepung Hime @25Kg/Sack"/>
    <n v="3"/>
    <s v="SACK"/>
    <n v="3"/>
    <n v="870000"/>
    <n v="0"/>
    <s v="Invoice"/>
    <s v="Sudah Jadi FJ"/>
    <s v=""/>
  </r>
  <r>
    <d v="2026-06-15T00:00:00"/>
    <d v="2026-06-13T00:00:00"/>
    <s v="SO-KS/2606/130170"/>
    <s v="MKS Bali"/>
    <x v="114"/>
    <x v="0"/>
    <x v="10"/>
    <s v="SFM007"/>
    <s v="Tepung Double Zero @25Kg/Sack"/>
    <n v="1"/>
    <s v="SACK"/>
    <n v="1"/>
    <n v="327450"/>
    <n v="0"/>
    <s v="Invoice"/>
    <s v="Sudah Jadi FJ"/>
    <s v=""/>
  </r>
  <r>
    <d v="2026-06-15T00:00:00"/>
    <d v="2026-06-13T00:00:00"/>
    <s v="SO-KS/2606/130170"/>
    <s v="MKS Bali"/>
    <x v="114"/>
    <x v="0"/>
    <x v="10"/>
    <s v="SFM053"/>
    <s v="Inofa Heat Treated Wheat Flour SF 346 @1kg/pack"/>
    <n v="5"/>
    <s v="KG"/>
    <n v="5"/>
    <n v="135975"/>
    <n v="0"/>
    <s v="Invoice"/>
    <s v="Sudah Jadi FJ"/>
    <s v=""/>
  </r>
  <r>
    <d v="2026-06-15T00:00:00"/>
    <d v="2026-06-13T00:00:00"/>
    <s v="SO-KS/2606/130172"/>
    <s v="MKS Bali"/>
    <x v="16"/>
    <x v="0"/>
    <x v="5"/>
    <s v="PPA0092"/>
    <s v="Emborg Pizza Topping 2.3 Kg"/>
    <n v="4.5999999999999996"/>
    <s v="KG"/>
    <n v="4.5999999999999996"/>
    <n v="460000"/>
    <n v="0"/>
    <s v="Invoice"/>
    <s v="Sudah Jadi FJ"/>
    <s v=""/>
  </r>
  <r>
    <d v="2026-06-15T00:00:00"/>
    <d v="2026-06-13T00:00:00"/>
    <s v="SO-KS/2606/130173"/>
    <s v="MKS Bali"/>
    <x v="115"/>
    <x v="0"/>
    <x v="4"/>
    <s v="SFM052"/>
    <s v="Inofa Heat Treated Wheat Flour SF 346 @25kg/sack"/>
    <n v="1"/>
    <s v="SACK"/>
    <n v="1"/>
    <n v="560000"/>
    <n v="0"/>
    <s v="Invoice"/>
    <s v="Sudah Jadi FJ"/>
    <s v=""/>
  </r>
  <r>
    <d v="2026-06-15T00:00:00"/>
    <d v="2026-06-13T00:00:00"/>
    <s v="SO-KS/2606/130174"/>
    <s v="MKS Bali"/>
    <x v="49"/>
    <x v="0"/>
    <x v="12"/>
    <s v="020020"/>
    <s v="NESTLE Milo Activ-Go NPro 960Gr/Pack"/>
    <n v="16"/>
    <s v="PACK"/>
    <n v="16"/>
    <n v="1679999.99"/>
    <n v="0"/>
    <s v="Invoice"/>
    <s v="Sudah Jadi FJ"/>
    <s v="DiscoveryMall Bali"/>
  </r>
  <r>
    <d v="2026-06-15T00:00:00"/>
    <d v="2026-06-13T00:00:00"/>
    <s v="SO-KS/2606/130174"/>
    <s v="MKS Bali"/>
    <x v="49"/>
    <x v="0"/>
    <x v="12"/>
    <s v="060090"/>
    <s v="Sjora Mango Peach Concentrate 1Liter/Pack"/>
    <n v="12"/>
    <s v="PACK"/>
    <n v="12"/>
    <n v="1165147.95"/>
    <n v="0"/>
    <s v="Invoice"/>
    <s v="Sudah Jadi FJ"/>
    <s v="DiscoveryMall Bali"/>
  </r>
  <r>
    <d v="2026-06-15T00:00:00"/>
    <d v="2026-06-13T00:00:00"/>
    <s v="SO-KS/2606/130175"/>
    <s v="MKS Bali"/>
    <x v="116"/>
    <x v="0"/>
    <x v="5"/>
    <s v="SFM009"/>
    <s v="Tepung Hime @25Kg/Sack"/>
    <n v="10"/>
    <s v="SACK"/>
    <n v="10"/>
    <n v="2979999.99"/>
    <n v="0"/>
    <s v="Invoice"/>
    <s v="Sudah Jadi FJ"/>
    <s v=""/>
  </r>
  <r>
    <d v="2026-06-15T00:00:00"/>
    <d v="2026-06-13T00:00:00"/>
    <s v="SO-KS/2606/130176"/>
    <s v="MKS Bali"/>
    <x v="117"/>
    <x v="0"/>
    <x v="17"/>
    <s v="PAN0004"/>
    <s v="DP Mozzarella 2.5Kg"/>
    <n v="10"/>
    <s v="KG"/>
    <n v="10"/>
    <n v="1224000"/>
    <n v="0"/>
    <s v="Invoice"/>
    <s v="Sudah Jadi FJ"/>
    <s v=""/>
  </r>
  <r>
    <d v="2026-06-15T00:00:00"/>
    <d v="2026-06-13T00:00:00"/>
    <s v="SO-KS/2606/130177"/>
    <s v="MKS Bali"/>
    <x v="118"/>
    <x v="0"/>
    <x v="12"/>
    <s v="060012"/>
    <s v="Nestea Green Tea 750gr/Pack"/>
    <n v="16"/>
    <s v="PACK"/>
    <n v="16"/>
    <n v="1111086.68"/>
    <n v="0"/>
    <s v="Invoice"/>
    <s v="Sudah Jadi FJ"/>
    <s v=""/>
  </r>
  <r>
    <d v="2026-06-15T00:00:00"/>
    <d v="2026-06-13T00:00:00"/>
    <s v="SO-KS/2606/130177"/>
    <s v="MKS Bali"/>
    <x v="118"/>
    <x v="0"/>
    <x v="12"/>
    <s v="060017"/>
    <s v="Nestle Blackcurrant Drink 750gr/Pack"/>
    <n v="16"/>
    <s v="PACK"/>
    <n v="16"/>
    <n v="1043665.28"/>
    <n v="0"/>
    <s v="Invoice"/>
    <s v="Sudah Jadi FJ"/>
    <s v=""/>
  </r>
  <r>
    <d v="2026-06-15T00:00:00"/>
    <d v="2026-06-13T00:00:00"/>
    <s v="SO-KS/2606/130177"/>
    <s v="MKS Bali"/>
    <x v="118"/>
    <x v="0"/>
    <x v="12"/>
    <s v="060018"/>
    <s v="Nestle Lemonade Original 640gr/Pack"/>
    <n v="12"/>
    <s v="PACK"/>
    <n v="12"/>
    <n v="622633.41"/>
    <n v="0"/>
    <s v="Invoice"/>
    <s v="Sudah Jadi FJ"/>
    <s v=""/>
  </r>
  <r>
    <d v="2026-06-15T00:00:00"/>
    <d v="2026-06-13T00:00:00"/>
    <s v="SO-KS/2606/130178"/>
    <s v="MKS Bali"/>
    <x v="119"/>
    <x v="0"/>
    <x v="5"/>
    <s v="PSJ0044"/>
    <s v="Halal Premium Oxtail Whole Cut 3Cm (2 Kg/Pack)"/>
    <n v="10.5299"/>
    <s v="KG"/>
    <n v="10.26"/>
    <n v="2462400"/>
    <n v="-0.26989999999999997"/>
    <s v="Invoice"/>
    <s v="Sudah Jadi FJ"/>
    <s v=""/>
  </r>
  <r>
    <d v="2026-06-15T00:00:00"/>
    <d v="2026-06-13T00:00:00"/>
    <s v="SO-KS/2606/130182"/>
    <s v="MKS Bali"/>
    <x v="120"/>
    <x v="0"/>
    <x v="4"/>
    <s v="080239"/>
    <s v="THE ALTERNATIVE Barista Soy Milk 1 Lt"/>
    <n v="12"/>
    <s v="PCS"/>
    <n v="12"/>
    <n v="461538"/>
    <n v="0"/>
    <s v="Invoice"/>
    <s v="Sudah Jadi FJ"/>
    <s v=""/>
  </r>
  <r>
    <d v="2026-06-15T00:00:00"/>
    <d v="2026-06-13T00:00:00"/>
    <s v="SO-KS/2606/130182"/>
    <s v="MKS Bali"/>
    <x v="120"/>
    <x v="0"/>
    <x v="4"/>
    <s v="080241"/>
    <s v="THE ALTERNATIVE Barista Almond Milk 1 Lt"/>
    <n v="36"/>
    <s v="PCS"/>
    <n v="36"/>
    <n v="1678320"/>
    <n v="0"/>
    <s v="Invoice"/>
    <s v="Sudah Jadi FJ"/>
    <s v=""/>
  </r>
  <r>
    <d v="2026-06-15T00:00:00"/>
    <d v="2026-06-13T00:00:00"/>
    <s v="SO-KS/2606/130183"/>
    <s v="MKS Bali"/>
    <x v="44"/>
    <x v="0"/>
    <x v="5"/>
    <s v="PSJ0044"/>
    <s v="Halal Premium Oxtail Whole Cut 3Cm (2 Kg/Pack)"/>
    <n v="30"/>
    <s v="KG"/>
    <n v="28.059899999999999"/>
    <n v="6173200"/>
    <n v="-1.9400999999999999"/>
    <s v="Invoice"/>
    <s v="Sudah Jadi FJ"/>
    <s v=""/>
  </r>
  <r>
    <d v="2026-06-15T00:00:00"/>
    <d v="2026-06-13T00:00:00"/>
    <s v="SO-KS/2606/130184"/>
    <s v="MKS Bali"/>
    <x v="121"/>
    <x v="0"/>
    <x v="17"/>
    <s v="120007"/>
    <s v="Tepung Double Zero 1kg/pack"/>
    <n v="6"/>
    <s v="KG"/>
    <n v="6"/>
    <n v="89999.98"/>
    <n v="0"/>
    <s v="Invoice"/>
    <s v="Sudah Jadi FJ"/>
    <s v=""/>
  </r>
  <r>
    <d v="2026-06-15T00:00:00"/>
    <d v="2026-06-13T00:00:00"/>
    <s v="SO-KS/2606/130185"/>
    <s v="MKS Bali"/>
    <x v="121"/>
    <x v="0"/>
    <x v="17"/>
    <s v="PSJ0104"/>
    <s v="Ralph Cube Roll"/>
    <n v="6"/>
    <s v="KG"/>
    <n v="6.63"/>
    <n v="1392300"/>
    <n v="0.63"/>
    <s v="Invoice"/>
    <s v="Sudah Jadi FJ"/>
    <s v=""/>
  </r>
  <r>
    <d v="2026-06-15T00:00:00"/>
    <d v="2026-06-13T00:00:00"/>
    <s v="SO-KS/2606/130186"/>
    <s v="MKS Bali"/>
    <x v="99"/>
    <x v="0"/>
    <x v="5"/>
    <s v="PPA0092"/>
    <s v="Emborg Pizza Topping 2.3 Kg"/>
    <n v="4"/>
    <s v="KG"/>
    <n v="4.5999999999999996"/>
    <n v="460000"/>
    <n v="0.6"/>
    <s v="Invoice"/>
    <s v="Sudah Jadi FJ"/>
    <s v=""/>
  </r>
  <r>
    <d v="2026-06-15T00:00:00"/>
    <d v="2026-06-13T00:00:00"/>
    <s v="SO-KS/2606/130187"/>
    <s v="MKS Bali"/>
    <x v="99"/>
    <x v="0"/>
    <x v="5"/>
    <s v="PSJ0046"/>
    <s v="Allana Tenderloin Whole"/>
    <n v="6"/>
    <s v="KG"/>
    <n v="6"/>
    <n v="1140000"/>
    <n v="0"/>
    <s v="Invoice"/>
    <s v="Sudah Jadi FJ"/>
    <s v=""/>
  </r>
  <r>
    <d v="2026-06-15T00:00:00"/>
    <d v="2026-06-13T00:00:00"/>
    <s v="SO-KS/2606/130189"/>
    <s v="MKS Bali"/>
    <x v="99"/>
    <x v="0"/>
    <x v="5"/>
    <s v="PPA0092"/>
    <s v="Emborg Pizza Topping 2.3 Kg"/>
    <n v="20"/>
    <s v="KG"/>
    <n v="20.6999"/>
    <n v="2069999.99"/>
    <n v="0.69989999999999997"/>
    <s v="Invoice"/>
    <s v="Sudah Jadi FJ"/>
    <s v=""/>
  </r>
  <r>
    <d v="2026-06-15T00:00:00"/>
    <d v="2026-06-13T00:00:00"/>
    <s v="SO-KS/2606/130191"/>
    <s v="MKS Bali"/>
    <x v="122"/>
    <x v="0"/>
    <x v="2"/>
    <s v="SFM009"/>
    <s v="Tepung Hime @25Kg/Sack"/>
    <n v="1"/>
    <s v="SACK"/>
    <n v="1"/>
    <n v="355200"/>
    <n v="0"/>
    <s v="Invoice"/>
    <s v="Sudah Jadi FJ"/>
    <s v=""/>
  </r>
  <r>
    <d v="2026-06-15T00:00:00"/>
    <d v="2026-06-13T00:00:00"/>
    <s v="SO-KS/2606/130192"/>
    <s v="MKS Bali"/>
    <x v="123"/>
    <x v="1"/>
    <x v="0"/>
    <s v="SFM007"/>
    <s v="Tepung Double Zero @25Kg/Sack"/>
    <n v="1"/>
    <s v="SACK"/>
    <n v="1"/>
    <n v="327450"/>
    <n v="0"/>
    <s v="Invoice"/>
    <s v="Sudah Jadi FJ"/>
    <s v=""/>
  </r>
  <r>
    <d v="2026-06-15T00:00:00"/>
    <d v="2026-06-13T00:00:00"/>
    <s v="SO-KS/2606/130194"/>
    <s v="MKS Bali"/>
    <x v="124"/>
    <x v="0"/>
    <x v="4"/>
    <s v="PSJ0046"/>
    <s v="Allana Tenderloin Whole"/>
    <n v="8"/>
    <s v="KG"/>
    <n v="8.2798999999999996"/>
    <n v="1531800"/>
    <n v="0.27989999999999998"/>
    <s v="Invoice"/>
    <s v="Sudah Jadi FJ"/>
    <s v="po estia"/>
  </r>
  <r>
    <d v="2026-06-15T00:00:00"/>
    <d v="2026-06-13T00:00:00"/>
    <s v="SO-KS/2606/130195"/>
    <s v="MKS Bali"/>
    <x v="124"/>
    <x v="0"/>
    <x v="4"/>
    <s v="SFM009"/>
    <s v="Tepung Hime @25Kg/Sack"/>
    <n v="15"/>
    <s v="SACK"/>
    <n v="15"/>
    <n v="4350000"/>
    <n v="0"/>
    <s v="Invoice"/>
    <s v="Sudah Jadi FJ"/>
    <s v=""/>
  </r>
  <r>
    <d v="2026-06-15T00:00:00"/>
    <d v="2026-06-13T00:00:00"/>
    <s v="SO-KS/2606/130196"/>
    <s v="MKS Bali"/>
    <x v="19"/>
    <x v="0"/>
    <x v="6"/>
    <s v="PPA0092"/>
    <s v="Emborg Pizza Topping 2.3 Kg"/>
    <n v="147"/>
    <s v="KG"/>
    <n v="147.19990000000001"/>
    <n v="15455999.25"/>
    <n v="0.19989999999999999"/>
    <s v="Invoice"/>
    <s v="Sudah Jadi FJ"/>
    <s v="KELAN"/>
  </r>
  <r>
    <d v="2026-06-15T00:00:00"/>
    <d v="2026-06-13T00:00:00"/>
    <s v="SO-KS/2606/130197"/>
    <s v="MKS Bali"/>
    <x v="125"/>
    <x v="0"/>
    <x v="10"/>
    <s v="120015"/>
    <s v="Tepung Japanese Tempura 1kg/pack"/>
    <n v="7"/>
    <s v="KG"/>
    <n v="7"/>
    <n v="254079"/>
    <n v="0"/>
    <s v="Invoice"/>
    <s v="Sudah Jadi FJ"/>
    <s v=""/>
  </r>
  <r>
    <d v="2026-06-15T00:00:00"/>
    <d v="2026-06-13T00:00:00"/>
    <s v="SO-KS/2606/130198"/>
    <s v="MKS Bali"/>
    <x v="126"/>
    <x v="1"/>
    <x v="10"/>
    <s v="PLN0005"/>
    <s v="RICH CRÈME ND 08 1000G POUCH"/>
    <n v="12"/>
    <s v="POU"/>
    <n v="12"/>
    <n v="719280"/>
    <n v="0"/>
    <s v="Invoice"/>
    <s v="Sudah Jadi FJ"/>
    <s v=""/>
  </r>
  <r>
    <d v="2026-06-15T00:00:00"/>
    <d v="2026-06-13T00:00:00"/>
    <s v="SO-KS/2606/130199"/>
    <s v="MKS Bali"/>
    <x v="127"/>
    <x v="1"/>
    <x v="18"/>
    <s v="300098"/>
    <s v="MAGGI Seasoning @800ml/Btl"/>
    <n v="6"/>
    <s v="BTL"/>
    <n v="6"/>
    <n v="416700.02"/>
    <n v="0"/>
    <s v="Invoice"/>
    <s v="Sudah Jadi FJ"/>
    <s v=""/>
  </r>
  <r>
    <d v="2026-06-15T00:00:00"/>
    <d v="2026-06-12T00:00:00"/>
    <s v="SO-KU/2606/120013"/>
    <s v="MKU Bali"/>
    <x v="128"/>
    <x v="1"/>
    <x v="11"/>
    <s v="PQW0010"/>
    <s v="IQF FF Shoestring 10Kg/Ctn"/>
    <n v="2"/>
    <s v="KTN"/>
    <n v="2"/>
    <n v="500000.01"/>
    <n v="0"/>
    <s v="Invoice"/>
    <s v="Sudah Jadi FJ"/>
    <s v=""/>
  </r>
  <r>
    <d v="2026-06-15T00:00:00"/>
    <d v="2026-06-12T00:00:00"/>
    <s v="SO-KU/2606/120018"/>
    <s v="MKU Bali"/>
    <x v="0"/>
    <x v="0"/>
    <x v="0"/>
    <s v="POS0024"/>
    <s v="O Sole Pomodori Pelati Peeled Tomatoes 2.5Kg"/>
    <n v="18"/>
    <s v="CAN"/>
    <n v="7.25"/>
    <n v="630750"/>
    <n v="-10.75"/>
    <s v="Invoice"/>
    <s v="Sudah Jadi FJ"/>
    <s v="KIRIM SENIN KE LUIGI"/>
  </r>
  <r>
    <d v="2026-06-15T00:00:00"/>
    <d v="2026-06-12T00:00:00"/>
    <s v="SO-KU/2606/120034"/>
    <s v="MKU Bali"/>
    <x v="52"/>
    <x v="0"/>
    <x v="5"/>
    <s v="PAS0039"/>
    <s v="Crr Rock'n Simply Crrrrips Straight Cut Fries 2.5 Kg"/>
    <n v="3"/>
    <s v="PACK"/>
    <n v="3"/>
    <n v="315000"/>
    <n v="0"/>
    <s v="Invoice"/>
    <s v="Sudah Jadi FJ"/>
    <s v=""/>
  </r>
  <r>
    <d v="2026-06-15T00:00:00"/>
    <d v="2026-06-12T00:00:00"/>
    <s v="SO-KU/2606/120035"/>
    <s v="MKU Bali"/>
    <x v="52"/>
    <x v="0"/>
    <x v="5"/>
    <s v="PEA0003"/>
    <s v="Gold Box Melange Butter MP331"/>
    <n v="50"/>
    <s v="KG"/>
    <n v="50"/>
    <n v="5000000"/>
    <n v="0"/>
    <s v="Invoice"/>
    <s v="Sudah Jadi FJ"/>
    <s v=""/>
  </r>
  <r>
    <d v="2026-06-15T00:00:00"/>
    <d v="2026-06-12T00:00:00"/>
    <s v="SO-KU/2606/120037"/>
    <s v="MKU Bali"/>
    <x v="52"/>
    <x v="0"/>
    <x v="5"/>
    <s v="POS0025"/>
    <s v="O Sole Doppio Concentrato Paste Tomato 2.2 Kg"/>
    <n v="1"/>
    <s v="CAN"/>
    <n v="1"/>
    <n v="135000"/>
    <n v="0"/>
    <s v="Invoice"/>
    <s v="Sudah Jadi FJ"/>
    <s v=""/>
  </r>
  <r>
    <d v="2026-06-15T00:00:00"/>
    <d v="2026-06-12T00:00:00"/>
    <s v="SO-KU/2606/120038"/>
    <s v="MKU Bali"/>
    <x v="52"/>
    <x v="0"/>
    <x v="5"/>
    <s v="PAS0022"/>
    <s v="Crr Rock'n Simply Crrrrips Straight Cut Fries 10 Kg/Ctn"/>
    <n v="9"/>
    <s v="KTN"/>
    <n v="9"/>
    <n v="3779999.99"/>
    <n v="0"/>
    <s v="Invoice"/>
    <s v="Sudah Jadi FJ"/>
    <s v=""/>
  </r>
  <r>
    <d v="2026-06-15T00:00:00"/>
    <d v="2026-06-12T00:00:00"/>
    <s v="SO-KU/2606/120038"/>
    <s v="MKU Bali"/>
    <x v="52"/>
    <x v="0"/>
    <x v="5"/>
    <s v="PAL0003"/>
    <s v="Isabi Smoked Salmon Slice 1Kg/Pack"/>
    <n v="1"/>
    <s v="PACK"/>
    <n v="1"/>
    <n v="444000"/>
    <n v="0"/>
    <s v="Invoice"/>
    <s v="Sudah Jadi FJ"/>
    <s v=""/>
  </r>
  <r>
    <d v="2026-06-15T00:00:00"/>
    <d v="2026-06-12T00:00:00"/>
    <s v="SO-KU/2606/120046"/>
    <s v="MKU Bali"/>
    <x v="129"/>
    <x v="0"/>
    <x v="16"/>
    <s v="PMS0026"/>
    <s v="Masterista Dark Chocolate 800Gr"/>
    <n v="2"/>
    <s v="POU"/>
    <n v="2"/>
    <n v="329670"/>
    <n v="0"/>
    <s v="Invoice"/>
    <s v="Sudah Jadi FJ"/>
    <s v=""/>
  </r>
  <r>
    <d v="2026-06-15T00:00:00"/>
    <d v="2026-06-12T00:00:00"/>
    <s v="SO-KU/2606/120046"/>
    <s v="MKU Bali"/>
    <x v="129"/>
    <x v="0"/>
    <x v="16"/>
    <s v="PMS0114"/>
    <s v="Masterista Cold Foam Sea Salt 500 Gr"/>
    <n v="3"/>
    <s v="PACK"/>
    <n v="3"/>
    <n v="165000"/>
    <n v="0"/>
    <s v="Invoice"/>
    <s v="Sudah Jadi FJ"/>
    <s v=""/>
  </r>
  <r>
    <d v="2026-06-15T00:00:00"/>
    <d v="2026-06-12T00:00:00"/>
    <s v="SO-KU/2606/120046"/>
    <s v="MKU Bali"/>
    <x v="129"/>
    <x v="0"/>
    <x v="16"/>
    <s v="PMS0178"/>
    <s v="Masterista Ceremonial Pure Matcha Powder 500 Gr"/>
    <n v="3"/>
    <s v="PACK"/>
    <n v="3"/>
    <n v="2664000"/>
    <n v="0"/>
    <s v="Invoice"/>
    <s v="Sudah Jadi FJ"/>
    <s v=""/>
  </r>
  <r>
    <d v="2026-06-15T00:00:00"/>
    <d v="2026-06-12T00:00:00"/>
    <s v="SO-KU/2606/120047"/>
    <s v="MKU Bali"/>
    <x v="95"/>
    <x v="0"/>
    <x v="16"/>
    <s v="PMS0026"/>
    <s v="Masterista Dark Chocolate 800Gr"/>
    <n v="5"/>
    <s v="POU"/>
    <n v="5"/>
    <n v="824175"/>
    <n v="0"/>
    <s v="Invoice"/>
    <s v="Sudah Jadi FJ"/>
    <s v=""/>
  </r>
  <r>
    <d v="2026-06-15T00:00:00"/>
    <d v="2026-06-12T00:00:00"/>
    <s v="SO-KU/2606/120049"/>
    <s v="MKU Bali"/>
    <x v="9"/>
    <x v="0"/>
    <x v="5"/>
    <s v="MRD1318A"/>
    <s v="MAMAS BELLY RIND ON SB OUT (SKIN ON) 3-5KG/PACK"/>
    <n v="5"/>
    <s v="KG"/>
    <n v="5.41"/>
    <n v="703300"/>
    <n v="0.41"/>
    <s v="Invoice"/>
    <s v="Sudah Jadi FJ"/>
    <s v=""/>
  </r>
  <r>
    <d v="2026-06-15T00:00:00"/>
    <d v="2026-06-12T00:00:00"/>
    <s v="SO-KU/2606/120050"/>
    <s v="MKU Bali"/>
    <x v="9"/>
    <x v="0"/>
    <x v="5"/>
    <s v="POT0046"/>
    <s v="Australian Butter Unsalted"/>
    <n v="50"/>
    <s v="KG"/>
    <n v="50"/>
    <n v="8300000.0300000003"/>
    <n v="0"/>
    <s v="Invoice"/>
    <s v="Sudah Jadi FJ"/>
    <s v=""/>
  </r>
  <r>
    <d v="2026-06-15T00:00:00"/>
    <d v="2026-06-12T00:00:00"/>
    <s v="SO-KU/2606/120051"/>
    <s v="MKU Bali"/>
    <x v="9"/>
    <x v="0"/>
    <x v="5"/>
    <s v="150226"/>
    <s v="Belly Skinless Premium (2.5Kg/Pack)"/>
    <n v="5"/>
    <s v="KG"/>
    <n v="5"/>
    <n v="600000"/>
    <n v="0"/>
    <s v="Invoice"/>
    <s v="Sudah Jadi FJ"/>
    <s v=""/>
  </r>
  <r>
    <d v="2026-06-15T00:00:00"/>
    <d v="2026-06-12T00:00:00"/>
    <s v="SO-KU/2606/120058"/>
    <s v="MKU Bali"/>
    <x v="130"/>
    <x v="0"/>
    <x v="5"/>
    <s v="PAL0003"/>
    <s v="Isabi Smoked Salmon Slice 1Kg/Pack"/>
    <n v="16"/>
    <s v="PACK"/>
    <n v="16"/>
    <n v="5999999.8600000003"/>
    <n v="0"/>
    <s v="Invoice"/>
    <s v="Sudah Jadi FJ"/>
    <s v=""/>
  </r>
  <r>
    <d v="2026-06-15T00:00:00"/>
    <d v="2026-06-12T00:00:00"/>
    <s v="SO-KU/2606/120061"/>
    <s v="MKU Bali"/>
    <x v="131"/>
    <x v="0"/>
    <x v="3"/>
    <s v="PIF0012"/>
    <s v="Pristine Classic Cooking Cream 1 Lt"/>
    <n v="8"/>
    <s v="LTR"/>
    <n v="8"/>
    <n v="439999.99"/>
    <n v="0"/>
    <s v="Invoice"/>
    <s v="Sudah Jadi FJ"/>
    <s v=""/>
  </r>
  <r>
    <d v="2026-06-15T00:00:00"/>
    <d v="2026-06-12T00:00:00"/>
    <s v="SO-KU/2606/120067"/>
    <s v="MKU Bali"/>
    <x v="132"/>
    <x v="0"/>
    <x v="5"/>
    <s v="POT0110"/>
    <s v="Bergold Shredded Pizza Topping Mozzarella"/>
    <n v="4"/>
    <s v="KG"/>
    <n v="4.5"/>
    <n v="495000"/>
    <n v="0.5"/>
    <s v="Invoice"/>
    <s v="Sudah Jadi FJ"/>
    <s v=""/>
  </r>
  <r>
    <d v="2026-06-15T00:00:00"/>
    <d v="2026-06-12T00:00:00"/>
    <s v="SO-KU/2606/120073"/>
    <s v="MKU Bali"/>
    <x v="17"/>
    <x v="0"/>
    <x v="3"/>
    <s v="PAS0036"/>
    <s v="Crr Rock'n Hash Brown Triangular 2.5Kg"/>
    <n v="1"/>
    <s v="PACK"/>
    <n v="1"/>
    <n v="120000"/>
    <n v="0"/>
    <s v="Invoice"/>
    <s v="Sudah Jadi FJ"/>
    <s v=""/>
  </r>
  <r>
    <d v="2026-06-15T00:00:00"/>
    <d v="2026-06-12T00:00:00"/>
    <s v="SO-KU/2606/120074"/>
    <s v="MKU Bali"/>
    <x v="133"/>
    <x v="0"/>
    <x v="3"/>
    <s v="PAS0014"/>
    <s v="Crr Rock'n Hash Brown Triangular 10Kg/Ctn"/>
    <n v="3"/>
    <s v="KTN"/>
    <n v="3"/>
    <n v="1440000"/>
    <n v="0"/>
    <s v="Invoice"/>
    <s v="Sudah Jadi FJ"/>
    <s v=""/>
  </r>
  <r>
    <d v="2026-06-15T00:00:00"/>
    <d v="2026-06-12T00:00:00"/>
    <s v="SO-KU/2606/120074"/>
    <s v="MKU Bali"/>
    <x v="133"/>
    <x v="0"/>
    <x v="3"/>
    <s v="PAS0036"/>
    <s v="Crr Rock'n Hash Brown Triangular 2.5Kg"/>
    <n v="3"/>
    <s v="PACK"/>
    <n v="3"/>
    <n v="360000"/>
    <n v="0"/>
    <s v="Invoice"/>
    <s v="Sudah Jadi FJ"/>
    <s v=""/>
  </r>
  <r>
    <d v="2026-06-15T00:00:00"/>
    <d v="2026-06-12T00:00:00"/>
    <s v="SO-KU/2606/120075"/>
    <s v="MKU Bali"/>
    <x v="17"/>
    <x v="0"/>
    <x v="3"/>
    <s v="MRD1318A"/>
    <s v="MAMAS BELLY RIND ON SB OUT (SKIN ON) 3-5KG/PACK"/>
    <n v="2"/>
    <s v="KG"/>
    <n v="6.41"/>
    <n v="814070"/>
    <n v="4.41"/>
    <s v="Invoice"/>
    <s v="Sudah Jadi FJ"/>
    <s v=""/>
  </r>
  <r>
    <d v="2026-06-15T00:00:00"/>
    <d v="2026-06-12T00:00:00"/>
    <s v="SO-KU/2606/120075"/>
    <s v="MKU Bali"/>
    <x v="17"/>
    <x v="0"/>
    <x v="3"/>
    <s v="PQW0012"/>
    <s v="IQF FF Shoestring 2.5 Kg/Pack"/>
    <n v="6"/>
    <s v="PACK"/>
    <n v="6"/>
    <n v="389999.94"/>
    <n v="0"/>
    <s v="Invoice"/>
    <s v="Sudah Jadi FJ"/>
    <s v=""/>
  </r>
  <r>
    <d v="2026-06-15T00:00:00"/>
    <d v="2026-06-12T00:00:00"/>
    <s v="SO-KU/2606/120077"/>
    <s v="MKU Bali"/>
    <x v="18"/>
    <x v="0"/>
    <x v="3"/>
    <s v="POT0110"/>
    <s v="Bergold Shredded Pizza Topping Mozzarella"/>
    <n v="3"/>
    <s v="KG"/>
    <n v="3"/>
    <n v="330000"/>
    <n v="0"/>
    <s v="Invoice"/>
    <s v="Sudah Jadi FJ"/>
    <s v=""/>
  </r>
  <r>
    <d v="2026-06-15T00:00:00"/>
    <d v="2026-06-12T00:00:00"/>
    <s v="SO-KU/2606/120078"/>
    <s v="MKU Bali"/>
    <x v="18"/>
    <x v="0"/>
    <x v="3"/>
    <s v="POT0110"/>
    <s v="Bergold Shredded Pizza Topping Mozzarella"/>
    <n v="9"/>
    <s v="KG"/>
    <n v="9"/>
    <n v="990000.01"/>
    <n v="0"/>
    <s v="Invoice"/>
    <s v="Sudah Jadi FJ"/>
    <s v=""/>
  </r>
  <r>
    <d v="2026-06-15T00:00:00"/>
    <d v="2026-06-12T00:00:00"/>
    <s v="SO-KU/2606/120079"/>
    <s v="MKU Bali"/>
    <x v="13"/>
    <x v="0"/>
    <x v="3"/>
    <s v="PAS0069"/>
    <s v="Arass English Breakfast Tea 100 Tb"/>
    <n v="2"/>
    <s v="BOX"/>
    <n v="2"/>
    <n v="95999.99"/>
    <n v="0"/>
    <s v="Invoice"/>
    <s v="Sudah Jadi FJ"/>
    <s v=""/>
  </r>
  <r>
    <d v="2026-06-15T00:00:00"/>
    <d v="2026-06-13T00:00:00"/>
    <s v="SO-KU/2606/130001"/>
    <s v="MKU Bali"/>
    <x v="134"/>
    <x v="0"/>
    <x v="5"/>
    <s v="PMS0092"/>
    <s v="Master House Blend 04 (60:40) M"/>
    <n v="12"/>
    <s v="PACK"/>
    <n v="12"/>
    <n v="3503160"/>
    <n v="0"/>
    <s v="Invoice"/>
    <s v="Sudah Jadi FJ"/>
    <s v=""/>
  </r>
  <r>
    <d v="2026-06-15T00:00:00"/>
    <d v="2026-06-13T00:00:00"/>
    <s v="SO-KU/2606/130002"/>
    <s v="MKU Bali"/>
    <x v="19"/>
    <x v="0"/>
    <x v="6"/>
    <s v="ASS-JT-LP250"/>
    <s v="Jasmine Tea @250gr/Pouch"/>
    <n v="1"/>
    <s v="POU"/>
    <n v="1"/>
    <n v="202020"/>
    <n v="0"/>
    <s v="Invoice"/>
    <s v="Sudah Jadi FJ"/>
    <s v="INTERNASIONAL"/>
  </r>
  <r>
    <d v="2026-06-15T00:00:00"/>
    <d v="2026-06-13T00:00:00"/>
    <s v="SO-KU/2606/130003"/>
    <s v="MKU Bali"/>
    <x v="19"/>
    <x v="0"/>
    <x v="6"/>
    <s v="ASS-PP-LP250"/>
    <s v="Peppermint @250gr"/>
    <n v="2"/>
    <s v="POU"/>
    <n v="2"/>
    <n v="532800"/>
    <n v="0"/>
    <s v="Invoice"/>
    <s v="Sudah Jadi FJ"/>
    <s v="INTERNASIONAL"/>
  </r>
  <r>
    <d v="2026-06-15T00:00:00"/>
    <d v="2026-06-13T00:00:00"/>
    <s v="SO-KU/2606/130003"/>
    <s v="MKU Bali"/>
    <x v="19"/>
    <x v="0"/>
    <x v="6"/>
    <s v="ASS-PL-LP250"/>
    <s v="Lemongrass @250gr"/>
    <n v="2"/>
    <s v="POU"/>
    <n v="2"/>
    <n v="299700"/>
    <n v="0"/>
    <s v="Invoice"/>
    <s v="Sudah Jadi FJ"/>
    <s v="INTERNASIONAL"/>
  </r>
  <r>
    <d v="2026-06-15T00:00:00"/>
    <d v="2026-06-13T00:00:00"/>
    <s v="SO-KU/2606/130003"/>
    <s v="MKU Bali"/>
    <x v="19"/>
    <x v="0"/>
    <x v="6"/>
    <s v="ASS-CH-L250"/>
    <s v="Chamomile Dream @250gr"/>
    <n v="1"/>
    <s v="PACK"/>
    <n v="1"/>
    <n v="338550"/>
    <n v="0"/>
    <s v="Invoice"/>
    <s v="Sudah Jadi FJ"/>
    <s v="INTERNASIONAL"/>
  </r>
  <r>
    <d v="2026-06-15T00:00:00"/>
    <d v="2026-06-13T00:00:00"/>
    <s v="SO-KU/2606/130006"/>
    <s v="MKU Bali"/>
    <x v="135"/>
    <x v="0"/>
    <x v="10"/>
    <s v="POT0038"/>
    <s v="Premium Straight Cut 2Kg"/>
    <n v="2"/>
    <s v="PACK"/>
    <n v="2"/>
    <n v="156000"/>
    <n v="0"/>
    <s v="Invoice"/>
    <s v="Sudah Jadi FJ"/>
    <s v=""/>
  </r>
  <r>
    <d v="2026-06-15T00:00:00"/>
    <d v="2026-06-13T00:00:00"/>
    <s v="SO-KU/2606/130008"/>
    <s v="MKU Bali"/>
    <x v="136"/>
    <x v="0"/>
    <x v="15"/>
    <s v="PMS0024"/>
    <s v="Masterista Original Matcha 800Gr"/>
    <n v="2"/>
    <s v="POU"/>
    <n v="2"/>
    <n v="337020"/>
    <n v="0"/>
    <s v="Invoice"/>
    <s v="Sudah Jadi FJ"/>
    <s v=""/>
  </r>
  <r>
    <d v="2026-06-15T00:00:00"/>
    <d v="2026-06-13T00:00:00"/>
    <s v="SO-KU/2606/130008"/>
    <s v="MKU Bali"/>
    <x v="136"/>
    <x v="0"/>
    <x v="15"/>
    <s v="PMS0027"/>
    <s v="Masterista Red Velvet Expecta 800Gr"/>
    <n v="2"/>
    <s v="POU"/>
    <n v="2"/>
    <n v="313020"/>
    <n v="0"/>
    <s v="Invoice"/>
    <s v="Sudah Jadi FJ"/>
    <s v=""/>
  </r>
  <r>
    <d v="2026-06-15T00:00:00"/>
    <d v="2026-06-13T00:00:00"/>
    <s v="SO-KU/2606/130008"/>
    <s v="MKU Bali"/>
    <x v="136"/>
    <x v="0"/>
    <x v="15"/>
    <s v="PMS0028"/>
    <s v="Masterista Taro Expecta 800Gr"/>
    <n v="2"/>
    <s v="POU"/>
    <n v="2"/>
    <n v="313020"/>
    <n v="0"/>
    <s v="Invoice"/>
    <s v="Sudah Jadi FJ"/>
    <s v=""/>
  </r>
  <r>
    <d v="2026-06-15T00:00:00"/>
    <d v="2026-06-13T00:00:00"/>
    <s v="SO-KU/2606/130009"/>
    <s v="MKU Bali"/>
    <x v="137"/>
    <x v="1"/>
    <x v="6"/>
    <s v="CKP1S-160"/>
    <s v="Daebak Soju Mango @360ml/btl"/>
    <n v="5"/>
    <s v="BTL"/>
    <n v="5"/>
    <n v="337500"/>
    <n v="0"/>
    <s v="Invoice"/>
    <s v="Sudah Jadi FJ"/>
    <s v=" Kirim diataa jam 1 siang, resto buka siang"/>
  </r>
  <r>
    <d v="2026-06-15T00:00:00"/>
    <d v="2026-06-13T00:00:00"/>
    <s v="SO-KU/2606/130009"/>
    <s v="MKU Bali"/>
    <x v="137"/>
    <x v="1"/>
    <x v="6"/>
    <s v="CKP1S-163"/>
    <s v="Daebak Soju Peach @360ml/btl"/>
    <n v="5"/>
    <s v="BTL"/>
    <n v="5"/>
    <n v="337500"/>
    <n v="0"/>
    <s v="Invoice"/>
    <s v="Sudah Jadi FJ"/>
    <s v=" Kirim diataa jam 1 siang, resto buka siang"/>
  </r>
  <r>
    <d v="2026-06-15T00:00:00"/>
    <d v="2026-06-13T00:00:00"/>
    <s v="SO-KU/2606/130009"/>
    <s v="MKU Bali"/>
    <x v="137"/>
    <x v="1"/>
    <x v="6"/>
    <s v="CKP1S-181"/>
    <s v="Daebak Soju Grape 360ml"/>
    <n v="5"/>
    <s v="BTL"/>
    <n v="5"/>
    <n v="337500"/>
    <n v="0"/>
    <s v="Invoice"/>
    <s v="Sudah Jadi FJ"/>
    <s v=" Kirim diataa jam 1 siang, resto buka siang"/>
  </r>
  <r>
    <d v="2026-06-15T00:00:00"/>
    <d v="2026-06-13T00:00:00"/>
    <s v="SO-KU/2606/130009"/>
    <s v="MKU Bali"/>
    <x v="137"/>
    <x v="1"/>
    <x v="6"/>
    <s v="PJS0004"/>
    <s v="Daebak Soju Strawberry @360ml/btl"/>
    <n v="5"/>
    <s v="BTL"/>
    <n v="5"/>
    <n v="337499.98"/>
    <n v="0"/>
    <s v="Invoice"/>
    <s v="Sudah Jadi FJ"/>
    <s v=" Kirim diataa jam 1 siang, resto buka siang"/>
  </r>
  <r>
    <d v="2026-06-15T00:00:00"/>
    <d v="2026-06-13T00:00:00"/>
    <s v="SO-KU/2606/130010"/>
    <s v="MKU Bali"/>
    <x v="40"/>
    <x v="0"/>
    <x v="4"/>
    <s v="POT0120"/>
    <s v="Bottegaio Umbro Olio Evo Cucina 5Lt"/>
    <n v="1"/>
    <s v="GLN"/>
    <n v="1"/>
    <n v="975000"/>
    <n v="0"/>
    <s v="Invoice"/>
    <s v="Sudah Jadi FJ"/>
    <s v=""/>
  </r>
  <r>
    <d v="2026-06-15T00:00:00"/>
    <d v="2026-06-13T00:00:00"/>
    <s v="SO-KU/2606/130012"/>
    <s v="MKU Bali"/>
    <x v="44"/>
    <x v="0"/>
    <x v="5"/>
    <s v="MRD1318A"/>
    <s v="MAMAS BELLY RIND ON SB OUT (SKIN ON) 3-5KG/PACK"/>
    <n v="10"/>
    <s v="KG"/>
    <n v="6.37"/>
    <n v="808990"/>
    <n v="-3.63"/>
    <s v="Invoice"/>
    <s v="Sudah Jadi FJ"/>
    <s v=""/>
  </r>
  <r>
    <d v="2026-06-15T00:00:00"/>
    <d v="2026-06-13T00:00:00"/>
    <s v="SO-KU/2606/130013"/>
    <s v="MKU Bali"/>
    <x v="44"/>
    <x v="0"/>
    <x v="5"/>
    <s v="PAL0003"/>
    <s v="Isabi Smoked Salmon Slice 1Kg/Pack"/>
    <n v="2"/>
    <s v="PACK"/>
    <n v="2"/>
    <n v="888000"/>
    <n v="0"/>
    <s v="Invoice"/>
    <s v="Sudah Jadi FJ"/>
    <s v=""/>
  </r>
  <r>
    <d v="2026-06-15T00:00:00"/>
    <d v="2026-06-13T00:00:00"/>
    <s v="SO-KU/2606/130014"/>
    <s v="MKU Bali"/>
    <x v="44"/>
    <x v="0"/>
    <x v="5"/>
    <s v="MRD1318A"/>
    <s v="MAMAS BELLY RIND ON SB OUT (SKIN ON) 3-5KG/PACK"/>
    <n v="10"/>
    <s v="KG"/>
    <n v="5.71"/>
    <n v="725170"/>
    <n v="-4.29"/>
    <s v="Invoice"/>
    <s v="Sudah Jadi FJ"/>
    <s v=""/>
  </r>
  <r>
    <d v="2026-06-15T00:00:00"/>
    <d v="2026-06-13T00:00:00"/>
    <s v="SO-KU/2606/130015"/>
    <s v="MKU Bali"/>
    <x v="47"/>
    <x v="0"/>
    <x v="14"/>
    <s v="PMS0186"/>
    <s v="Masterista Ice shaken es jeruk nipis 1kg"/>
    <n v="1"/>
    <s v="KG"/>
    <n v="1"/>
    <n v="112665"/>
    <n v="0"/>
    <s v="Invoice"/>
    <s v="Sudah Jadi FJ"/>
    <s v=""/>
  </r>
  <r>
    <d v="2026-06-15T00:00:00"/>
    <d v="2026-06-13T00:00:00"/>
    <s v="SO-KU/2606/130016"/>
    <s v="MKU Bali"/>
    <x v="138"/>
    <x v="0"/>
    <x v="14"/>
    <s v="CKP1S-163"/>
    <s v="Daebak Soju Peach @360ml/btl"/>
    <n v="20"/>
    <s v="BTL"/>
    <n v="20"/>
    <n v="1412719.2"/>
    <n v="0"/>
    <s v="Invoice"/>
    <s v="Sudah Jadi FJ"/>
    <s v=""/>
  </r>
  <r>
    <d v="2026-06-15T00:00:00"/>
    <d v="2026-06-13T00:00:00"/>
    <s v="SO-KU/2606/130016"/>
    <s v="MKU Bali"/>
    <x v="138"/>
    <x v="0"/>
    <x v="14"/>
    <s v="CKP1S-165"/>
    <s v="Daebak Soju Original 360ml"/>
    <n v="20"/>
    <s v="BTL"/>
    <n v="20"/>
    <n v="1349999.98"/>
    <n v="0"/>
    <s v="Invoice"/>
    <s v="Sudah Jadi FJ"/>
    <s v=""/>
  </r>
  <r>
    <d v="2026-06-15T00:00:00"/>
    <d v="2026-06-13T00:00:00"/>
    <s v="SO-KU/2606/130016"/>
    <s v="MKU Bali"/>
    <x v="138"/>
    <x v="0"/>
    <x v="14"/>
    <s v="PJS0006"/>
    <s v="Daebak Spark Blood Orange 330 Ml"/>
    <n v="24"/>
    <s v="BTL"/>
    <n v="24"/>
    <n v="551999.98"/>
    <n v="0"/>
    <s v="Invoice"/>
    <s v="Sudah Jadi FJ"/>
    <s v=""/>
  </r>
  <r>
    <d v="2026-06-15T00:00:00"/>
    <d v="2026-06-13T00:00:00"/>
    <s v="SO-KU/2606/130016"/>
    <s v="MKU Bali"/>
    <x v="138"/>
    <x v="0"/>
    <x v="14"/>
    <s v="PJS0007"/>
    <s v="Daebak Spark Grape 330 Ml"/>
    <n v="24"/>
    <s v="BTL"/>
    <n v="24"/>
    <n v="551999.98"/>
    <n v="0"/>
    <s v="Invoice"/>
    <s v="Sudah Jadi FJ"/>
    <s v=""/>
  </r>
  <r>
    <d v="2026-06-15T00:00:00"/>
    <d v="2026-06-13T00:00:00"/>
    <s v="SO-KU/2606/130017"/>
    <s v="MKU Bali"/>
    <x v="51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06-15T00:00:00"/>
    <d v="2026-06-13T00:00:00"/>
    <s v="SO-KU/2606/130017"/>
    <s v="MKU Bali"/>
    <x v="51"/>
    <x v="0"/>
    <x v="5"/>
    <s v="PAL0003"/>
    <s v="Isabi Smoked Salmon Slice 1Kg/Pack"/>
    <n v="2"/>
    <s v="PACK"/>
    <n v="2"/>
    <n v="869999.99"/>
    <n v="0"/>
    <s v="Invoice"/>
    <s v="Sudah Jadi FJ"/>
    <s v=""/>
  </r>
  <r>
    <d v="2026-06-15T00:00:00"/>
    <d v="2026-06-13T00:00:00"/>
    <s v="SO-KU/2606/130018"/>
    <s v="MKU Bali"/>
    <x v="51"/>
    <x v="0"/>
    <x v="5"/>
    <s v="MRD1318A"/>
    <s v="MAMAS BELLY RIND ON SB OUT (SKIN ON) 3-5KG/PACK"/>
    <n v="8"/>
    <s v="KG"/>
    <n v="8"/>
    <n v="1016000"/>
    <n v="0"/>
    <s v="Invoice"/>
    <s v="Sudah Jadi FJ"/>
    <s v=""/>
  </r>
  <r>
    <d v="2026-06-15T00:00:00"/>
    <d v="2026-06-13T00:00:00"/>
    <s v="SO-KU/2606/130020"/>
    <s v="MKU Bali"/>
    <x v="51"/>
    <x v="0"/>
    <x v="5"/>
    <s v="POT0110"/>
    <s v="Bergold Shredded Pizza Topping Mozzarella"/>
    <n v="19.5"/>
    <s v="KG"/>
    <n v="19.5"/>
    <n v="2203499.96"/>
    <n v="0"/>
    <s v="Invoice"/>
    <s v="Sudah Jadi FJ"/>
    <s v=""/>
  </r>
  <r>
    <d v="2026-06-15T00:00:00"/>
    <d v="2026-06-13T00:00:00"/>
    <s v="SO-KU/2606/130021"/>
    <s v="MKU Bali"/>
    <x v="51"/>
    <x v="0"/>
    <x v="5"/>
    <s v="POT0110"/>
    <s v="Bergold Shredded Pizza Topping Mozzarella"/>
    <n v="3"/>
    <s v="KG"/>
    <n v="3"/>
    <n v="338999.99"/>
    <n v="0"/>
    <s v="Invoice"/>
    <s v="Sudah Jadi FJ"/>
    <s v=""/>
  </r>
  <r>
    <d v="2026-06-15T00:00:00"/>
    <d v="2026-06-13T00:00:00"/>
    <s v="SO-KU/2606/130022"/>
    <s v="MKU Bali"/>
    <x v="51"/>
    <x v="0"/>
    <x v="5"/>
    <s v="POT0110"/>
    <s v="Bergold Shredded Pizza Topping Mozzarella"/>
    <n v="10.5"/>
    <s v="KG"/>
    <n v="10.5"/>
    <n v="1186499.98"/>
    <n v="0"/>
    <s v="Invoice"/>
    <s v="Sudah Jadi FJ"/>
    <s v=""/>
  </r>
  <r>
    <d v="2026-06-15T00:00:00"/>
    <d v="2026-06-13T00:00:00"/>
    <s v="SO-KU/2606/130023"/>
    <s v="MKU Bali"/>
    <x v="51"/>
    <x v="0"/>
    <x v="5"/>
    <s v="POT0110"/>
    <s v="Bergold Shredded Pizza Topping Mozzarella"/>
    <n v="6"/>
    <s v="KG"/>
    <n v="6"/>
    <n v="677999.99"/>
    <n v="0"/>
    <s v="Invoice"/>
    <s v="Sudah Jadi FJ"/>
    <s v=""/>
  </r>
  <r>
    <d v="2026-06-15T00:00:00"/>
    <d v="2026-06-13T00:00:00"/>
    <s v="SO-KU/2606/130024"/>
    <s v="MKU Bali"/>
    <x v="139"/>
    <x v="0"/>
    <x v="3"/>
    <s v="POT0038"/>
    <s v="Premium Straight Cut 2Kg"/>
    <n v="30"/>
    <s v="PACK"/>
    <n v="30"/>
    <n v="1800000"/>
    <n v="0"/>
    <s v="Invoice"/>
    <s v="Sudah Jadi FJ"/>
    <s v=""/>
  </r>
  <r>
    <d v="2026-06-15T00:00:00"/>
    <d v="2026-06-13T00:00:00"/>
    <s v="SO-KU/2606/130025"/>
    <s v="MKU Bali"/>
    <x v="140"/>
    <x v="0"/>
    <x v="3"/>
    <s v="PEA0005"/>
    <s v="Gold Box Melange Butter MP331 5 Kg"/>
    <n v="20"/>
    <s v="KG"/>
    <n v="20.4499"/>
    <n v="2556250.17"/>
    <n v="0.44990000000000002"/>
    <s v="Invoice"/>
    <s v="Sudah Jadi FJ"/>
    <s v=""/>
  </r>
  <r>
    <d v="2026-06-15T00:00:00"/>
    <d v="2026-06-13T00:00:00"/>
    <s v="SO-KU/2606/130026"/>
    <s v="MKU Bali"/>
    <x v="140"/>
    <x v="0"/>
    <x v="3"/>
    <s v="PIF0011"/>
    <s v="Pristine Classic Whip Topping 1 Lt"/>
    <n v="12"/>
    <s v="LTR"/>
    <n v="12"/>
    <n v="864000.07"/>
    <n v="0"/>
    <s v="Invoice"/>
    <s v="Sudah Jadi FJ"/>
    <s v=""/>
  </r>
  <r>
    <d v="2026-06-15T00:00:00"/>
    <d v="2026-06-13T00:00:00"/>
    <s v="SO-KU/2606/130027"/>
    <s v="MKU Bali"/>
    <x v="51"/>
    <x v="0"/>
    <x v="5"/>
    <s v="MRD1318A"/>
    <s v="MAMAS BELLY RIND ON SB OUT (SKIN ON) 3-5KG/PACK"/>
    <n v="13"/>
    <s v="KG"/>
    <n v="12.27"/>
    <n v="1558290"/>
    <n v="-0.73"/>
    <s v="Invoice"/>
    <s v="Sudah Jadi FJ"/>
    <s v=""/>
  </r>
  <r>
    <d v="2026-06-15T00:00:00"/>
    <d v="2026-06-13T00:00:00"/>
    <s v="SO-KU/2606/130028"/>
    <s v="MKU Bali"/>
    <x v="51"/>
    <x v="0"/>
    <x v="5"/>
    <s v="MRD1318A"/>
    <s v="MAMAS BELLY RIND ON SB OUT (SKIN ON) 3-5KG/PACK"/>
    <n v="45"/>
    <s v="KG"/>
    <n v="42.7"/>
    <n v="5422900"/>
    <n v="-2.2999999999999998"/>
    <s v="Invoice"/>
    <s v="Sudah Jadi FJ"/>
    <s v=""/>
  </r>
  <r>
    <d v="2026-06-15T00:00:00"/>
    <d v="2026-06-13T00:00:00"/>
    <s v="SO-KU/2606/130028"/>
    <s v="MKU Bali"/>
    <x v="51"/>
    <x v="0"/>
    <x v="5"/>
    <s v="PAL0003"/>
    <s v="Isabi Smoked Salmon Slice 1Kg/Pack"/>
    <n v="1"/>
    <s v="PACK"/>
    <n v="1"/>
    <n v="435000"/>
    <n v="0"/>
    <s v="Invoice"/>
    <s v="Sudah Jadi FJ"/>
    <s v=""/>
  </r>
  <r>
    <d v="2026-06-15T00:00:00"/>
    <d v="2026-06-13T00:00:00"/>
    <s v="SO-KU/2606/130029"/>
    <s v="MKU Bali"/>
    <x v="51"/>
    <x v="0"/>
    <x v="5"/>
    <s v="MRD1318A"/>
    <s v="MAMAS BELLY RIND ON SB OUT (SKIN ON) 3-5KG/PACK"/>
    <n v="3"/>
    <s v="KG"/>
    <n v="6.32"/>
    <n v="802640"/>
    <n v="3.32"/>
    <s v="Invoice"/>
    <s v="Sudah Jadi FJ"/>
    <s v=""/>
  </r>
  <r>
    <d v="2026-06-15T00:00:00"/>
    <d v="2026-06-13T00:00:00"/>
    <s v="SO-KU/2606/130030"/>
    <s v="MKU Bali"/>
    <x v="51"/>
    <x v="0"/>
    <x v="5"/>
    <s v="POT0110"/>
    <s v="Bergold Shredded Pizza Topping Mozzarella"/>
    <n v="4.5"/>
    <s v="KG"/>
    <n v="4.5"/>
    <n v="508499.99"/>
    <n v="0"/>
    <s v="Invoice"/>
    <s v="Sudah Jadi FJ"/>
    <s v=""/>
  </r>
  <r>
    <d v="2026-06-15T00:00:00"/>
    <d v="2026-06-13T00:00:00"/>
    <s v="SO-KU/2606/130031"/>
    <s v="MKU Bali"/>
    <x v="51"/>
    <x v="0"/>
    <x v="5"/>
    <s v="PAL0003"/>
    <s v="Isabi Smoked Salmon Slice 1Kg/Pack"/>
    <n v="1"/>
    <s v="PACK"/>
    <n v="1"/>
    <n v="435000"/>
    <n v="0"/>
    <s v="Invoice"/>
    <s v="Sudah Jadi FJ"/>
    <s v=""/>
  </r>
  <r>
    <d v="2026-06-15T00:00:00"/>
    <d v="2026-06-13T00:00:00"/>
    <s v="SO-KU/2606/130032"/>
    <s v="MKU Bali"/>
    <x v="51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06-15T00:00:00"/>
    <d v="2026-06-13T00:00:00"/>
    <s v="SO-KU/2606/130033"/>
    <s v="MKU Bali"/>
    <x v="141"/>
    <x v="1"/>
    <x v="2"/>
    <s v="PMS0034"/>
    <s v="Masterista Ice Shaken Lychee Tea 1000Gr"/>
    <n v="1"/>
    <s v="PACK"/>
    <n v="1"/>
    <n v="73815"/>
    <n v="0"/>
    <s v="Invoice"/>
    <s v="Sudah Jadi FJ"/>
    <s v=""/>
  </r>
  <r>
    <d v="2026-06-15T00:00:00"/>
    <d v="2026-06-13T00:00:00"/>
    <s v="SO-KU/2606/130033"/>
    <s v="MKU Bali"/>
    <x v="141"/>
    <x v="1"/>
    <x v="2"/>
    <s v="PMS0072"/>
    <s v="ICE SHAKEN PEACH TEA 1000 GR"/>
    <n v="1"/>
    <s v="PACK"/>
    <n v="1"/>
    <n v="69665"/>
    <n v="0"/>
    <s v="Invoice"/>
    <s v="Sudah Jadi FJ"/>
    <s v=""/>
  </r>
  <r>
    <d v="2026-06-15T00:00:00"/>
    <d v="2026-06-13T00:00:00"/>
    <s v="SO-KU/2606/130033"/>
    <s v="MKU Bali"/>
    <x v="141"/>
    <x v="1"/>
    <x v="2"/>
    <s v="PMS0173"/>
    <s v="Masterista Syrup RUM 850 Ml"/>
    <n v="1"/>
    <s v="BTL"/>
    <n v="1"/>
    <n v="110000"/>
    <n v="0"/>
    <s v="Invoice"/>
    <s v="Sudah Jadi FJ"/>
    <s v=""/>
  </r>
  <r>
    <d v="2026-06-15T00:00:00"/>
    <d v="2026-06-13T00:00:00"/>
    <s v="SO-KU/2606/130034"/>
    <s v="MKU Bali"/>
    <x v="142"/>
    <x v="1"/>
    <x v="15"/>
    <s v="PMS0026"/>
    <s v="Masterista Dark Chocolate 800Gr"/>
    <n v="2"/>
    <s v="POU"/>
    <n v="2"/>
    <n v="329670"/>
    <n v="0"/>
    <s v="Invoice"/>
    <s v="Sudah Jadi FJ"/>
    <s v=""/>
  </r>
  <r>
    <d v="2026-06-15T00:00:00"/>
    <d v="2026-06-13T00:00:00"/>
    <s v="SO-KU/2606/130035"/>
    <s v="MKU Bali"/>
    <x v="56"/>
    <x v="0"/>
    <x v="4"/>
    <s v="PIF0012"/>
    <s v="Pristine Classic Cooking Cream 1 Lt"/>
    <n v="3"/>
    <s v="LTR"/>
    <n v="3"/>
    <n v="204000"/>
    <n v="0"/>
    <s v="Invoice"/>
    <s v="Sudah Jadi FJ"/>
    <s v=""/>
  </r>
  <r>
    <d v="2026-06-15T00:00:00"/>
    <d v="2026-06-13T00:00:00"/>
    <s v="SO-KU/2606/130036"/>
    <s v="MKU Bali"/>
    <x v="56"/>
    <x v="0"/>
    <x v="4"/>
    <s v="POT0038"/>
    <s v="Premium Straight Cut 2Kg"/>
    <n v="15"/>
    <s v="PACK"/>
    <n v="15"/>
    <n v="900000"/>
    <n v="0"/>
    <s v="Invoice"/>
    <s v="Sudah Jadi FJ"/>
    <s v=""/>
  </r>
  <r>
    <d v="2026-06-15T00:00:00"/>
    <d v="2026-06-13T00:00:00"/>
    <s v="SO-KU/2606/130037"/>
    <s v="MKU Bali"/>
    <x v="143"/>
    <x v="0"/>
    <x v="5"/>
    <s v="PAS0014"/>
    <s v="Crr Rock'n Hash Brown Triangular 10Kg/Ctn"/>
    <n v="3"/>
    <s v="KTN"/>
    <n v="3"/>
    <n v="1590000"/>
    <n v="0"/>
    <s v="Invoice"/>
    <s v="Sudah Jadi FJ"/>
    <s v=""/>
  </r>
  <r>
    <d v="2026-06-15T00:00:00"/>
    <d v="2026-06-13T00:00:00"/>
    <s v="SO-KU/2606/130038"/>
    <s v="MKU Bali"/>
    <x v="65"/>
    <x v="0"/>
    <x v="10"/>
    <s v="POS0024"/>
    <s v="O Sole Pomodori Pelati Peeled Tomatoes 2.5Kg"/>
    <n v="48"/>
    <s v="CAN"/>
    <n v="48"/>
    <n v="3839999.89"/>
    <n v="0"/>
    <s v="Invoice"/>
    <s v="Sudah Jadi FJ"/>
    <s v=""/>
  </r>
  <r>
    <d v="2026-06-15T00:00:00"/>
    <d v="2026-06-13T00:00:00"/>
    <s v="SO-KU/2606/130039"/>
    <s v="MKU Bali"/>
    <x v="144"/>
    <x v="0"/>
    <x v="1"/>
    <s v="PEA0005"/>
    <s v="Gold Box Melange Butter MP331 5 Kg"/>
    <n v="10"/>
    <s v="KG"/>
    <n v="10.3"/>
    <n v="1390499.99"/>
    <n v="0.3"/>
    <s v="Invoice"/>
    <s v="Sudah Jadi FJ"/>
    <s v=""/>
  </r>
  <r>
    <d v="2026-06-15T00:00:00"/>
    <d v="2026-06-13T00:00:00"/>
    <s v="SO-KU/2606/130040"/>
    <s v="MKU Bali"/>
    <x v="145"/>
    <x v="0"/>
    <x v="19"/>
    <s v="PSJ0026"/>
    <s v="Samcan Babi Tanpa Kulit"/>
    <n v="50"/>
    <s v="KG"/>
    <n v="51.049900000000001"/>
    <n v="5564450"/>
    <n v="1.0499000000000001"/>
    <s v="Invoice"/>
    <s v="Sudah Jadi FJ"/>
    <s v="PENERIMAAN BARANG NAUGHTY NURIS SANUR _x000a_JAM 08.00-13.00"/>
  </r>
  <r>
    <d v="2026-06-15T00:00:00"/>
    <d v="2026-06-13T00:00:00"/>
    <s v="SO-KU/2606/130041"/>
    <s v="MKU Bali"/>
    <x v="146"/>
    <x v="1"/>
    <x v="8"/>
    <s v="PAS0036"/>
    <s v="Crr Rock'n Hash Brown Triangular 2.5Kg"/>
    <n v="8"/>
    <s v="PACK"/>
    <n v="8"/>
    <n v="1200000"/>
    <n v="0"/>
    <s v="Invoice"/>
    <s v="Sudah Jadi FJ"/>
    <s v=""/>
  </r>
  <r>
    <d v="2026-06-15T00:00:00"/>
    <d v="2026-06-13T00:00:00"/>
    <s v="SO-KU/2606/130042"/>
    <s v="MKU Bali"/>
    <x v="72"/>
    <x v="0"/>
    <x v="2"/>
    <s v="PAL0003"/>
    <s v="Isabi Smoked Salmon Slice 1Kg/Pack"/>
    <n v="5"/>
    <s v="PACK"/>
    <n v="5"/>
    <n v="2220000"/>
    <n v="0"/>
    <s v="Invoice"/>
    <s v="Sudah Jadi FJ"/>
    <s v=" cafe"/>
  </r>
  <r>
    <d v="2026-06-15T00:00:00"/>
    <d v="2026-06-13T00:00:00"/>
    <s v="SO-KU/2606/130043"/>
    <s v="MKU Bali"/>
    <x v="72"/>
    <x v="0"/>
    <x v="2"/>
    <s v="PAL0003"/>
    <s v="Isabi Smoked Salmon Slice 1Kg/Pack"/>
    <n v="5"/>
    <s v="PACK"/>
    <n v="5"/>
    <n v="2220000"/>
    <n v="0"/>
    <s v="Invoice"/>
    <s v="Sudah Jadi FJ"/>
    <s v=" oasis"/>
  </r>
  <r>
    <d v="2026-06-15T00:00:00"/>
    <d v="2026-06-13T00:00:00"/>
    <s v="SO-KU/2606/130044"/>
    <s v="MKU Bali"/>
    <x v="147"/>
    <x v="0"/>
    <x v="1"/>
    <s v="PEA0005"/>
    <s v="Gold Box Melange Butter MP331 5 Kg"/>
    <n v="15"/>
    <s v="KG"/>
    <n v="14.9"/>
    <n v="2011499.98"/>
    <n v="-0.1"/>
    <s v="Invoice"/>
    <s v="Sudah Jadi FJ"/>
    <s v=""/>
  </r>
  <r>
    <d v="2026-06-15T00:00:00"/>
    <d v="2026-06-13T00:00:00"/>
    <s v="SO-KU/2606/130045"/>
    <s v="MKU Bali"/>
    <x v="148"/>
    <x v="1"/>
    <x v="10"/>
    <s v="POS0024"/>
    <s v="O Sole Pomodori Pelati Peeled Tomatoes 2.5Kg"/>
    <n v="12"/>
    <s v="CAN"/>
    <n v="12"/>
    <n v="1139999.99"/>
    <n v="0"/>
    <s v="Invoice"/>
    <s v="Sudah Jadi FJ"/>
    <s v=""/>
  </r>
  <r>
    <d v="2026-06-15T00:00:00"/>
    <d v="2026-06-13T00:00:00"/>
    <s v="SO-KU/2606/130046"/>
    <s v="MKU Bali"/>
    <x v="20"/>
    <x v="0"/>
    <x v="6"/>
    <s v="POT0034"/>
    <s v="Premium Straight Cut 6x2Kg"/>
    <n v="1"/>
    <s v="KTN"/>
    <n v="1"/>
    <n v="466200"/>
    <n v="0"/>
    <s v="Invoice"/>
    <s v="Sudah Jadi FJ"/>
    <s v=""/>
  </r>
  <r>
    <d v="2026-06-15T00:00:00"/>
    <d v="2026-06-13T00:00:00"/>
    <s v="SO-KU/2606/130048"/>
    <s v="MKU Bali"/>
    <x v="149"/>
    <x v="1"/>
    <x v="1"/>
    <s v="PAS0036"/>
    <s v="Crr Rock'n Hash Brown Triangular 2.5Kg"/>
    <n v="2"/>
    <s v="PACK"/>
    <n v="2"/>
    <n v="300000"/>
    <n v="0"/>
    <s v="Invoice"/>
    <s v="Sudah Jadi FJ"/>
    <s v=" KIRIM TMO coffee Berawa_x000a_"/>
  </r>
  <r>
    <d v="2026-06-15T00:00:00"/>
    <d v="2026-06-13T00:00:00"/>
    <s v="SO-KU/2606/130049"/>
    <s v="MKU Bali"/>
    <x v="150"/>
    <x v="1"/>
    <x v="6"/>
    <s v="ASS-LY-TB50"/>
    <s v="Lychee Tea @50TB/Box"/>
    <n v="1"/>
    <s v="BOX"/>
    <n v="1"/>
    <n v="117810.01"/>
    <n v="0"/>
    <s v="Invoice"/>
    <s v="Sudah Jadi FJ"/>
    <s v=""/>
  </r>
  <r>
    <d v="2026-06-15T00:00:00"/>
    <d v="2026-06-13T00:00:00"/>
    <s v="SO-KU/2606/130050"/>
    <s v="MKU Bali"/>
    <x v="151"/>
    <x v="0"/>
    <x v="6"/>
    <s v="POS0024"/>
    <s v="O Sole Pomodori Pelati Peeled Tomatoes 2.5Kg"/>
    <n v="6"/>
    <s v="CAN"/>
    <n v="6"/>
    <n v="510000"/>
    <n v="0"/>
    <s v="Invoice"/>
    <s v="Sudah Jadi FJ"/>
    <s v=""/>
  </r>
  <r>
    <d v="2026-06-15T00:00:00"/>
    <d v="2026-06-13T00:00:00"/>
    <s v="SO-KU/2606/130052"/>
    <s v="MKU Bali"/>
    <x v="152"/>
    <x v="0"/>
    <x v="20"/>
    <s v="PSJ0029"/>
    <s v="Iga Babi"/>
    <n v="300"/>
    <s v="KG"/>
    <n v="309"/>
    <n v="30591000"/>
    <n v="9"/>
    <s v="Invoice"/>
    <s v="Sudah Jadi FJ"/>
    <s v="Mohon sampai nuris seminyak jam 9 Pagi"/>
  </r>
  <r>
    <d v="2026-06-15T00:00:00"/>
    <d v="2026-06-13T00:00:00"/>
    <s v="SO-KU/2606/130053"/>
    <s v="MKU Bali"/>
    <x v="153"/>
    <x v="1"/>
    <x v="2"/>
    <s v="PMS0076"/>
    <s v="Masterista Creamer Base (Creamy)"/>
    <n v="12"/>
    <s v="PACK"/>
    <n v="11"/>
    <n v="319000"/>
    <n v="-1"/>
    <s v="Invoice"/>
    <s v="Sudah Jadi FJ"/>
    <s v=""/>
  </r>
  <r>
    <d v="2026-06-15T00:00:00"/>
    <d v="2026-06-13T00:00:00"/>
    <s v="SO-KU/2606/130054"/>
    <s v="MKU Bali"/>
    <x v="152"/>
    <x v="0"/>
    <x v="20"/>
    <s v="PSJ0027"/>
    <s v="Iga Babi Super"/>
    <n v="200"/>
    <s v="KG"/>
    <n v="203.59989999999999"/>
    <n v="20767200"/>
    <n v="3.5998999999999999"/>
    <s v="Invoice"/>
    <s v="Sudah Jadi FJ"/>
    <s v="Mohon sampai nuris seminyak jam 10 Pagi"/>
  </r>
  <r>
    <d v="2026-06-15T00:00:00"/>
    <d v="2026-06-13T00:00:00"/>
    <s v="SO-KU/2606/130055"/>
    <s v="MKU Bali"/>
    <x v="90"/>
    <x v="0"/>
    <x v="2"/>
    <s v="POS0024"/>
    <s v="O Sole Pomodori Pelati Peeled Tomatoes 2.5Kg"/>
    <n v="18"/>
    <s v="CAN"/>
    <n v="18"/>
    <n v="1439999.96"/>
    <n v="0"/>
    <s v="Invoice"/>
    <s v="Sudah Jadi FJ"/>
    <s v=""/>
  </r>
  <r>
    <d v="2026-06-15T00:00:00"/>
    <d v="2026-06-13T00:00:00"/>
    <s v="SO-KU/2606/130057"/>
    <s v="MKU Bali"/>
    <x v="154"/>
    <x v="1"/>
    <x v="8"/>
    <s v="PSJ0019"/>
    <s v="Pork B Sliced (1kg/pack)"/>
    <n v="20"/>
    <s v="KG"/>
    <n v="20"/>
    <n v="2000000"/>
    <n v="0"/>
    <s v="Invoice"/>
    <s v="Sudah Jadi FJ"/>
    <s v=""/>
  </r>
  <r>
    <d v="2026-06-15T00:00:00"/>
    <d v="2026-06-13T00:00:00"/>
    <s v="SO-KU/2606/130059"/>
    <s v="MKU Bali"/>
    <x v="155"/>
    <x v="0"/>
    <x v="4"/>
    <s v="PAS0036"/>
    <s v="Crr Rock'n Hash Brown Triangular 2.5Kg"/>
    <n v="8"/>
    <s v="PACK"/>
    <n v="8"/>
    <n v="1059999.99"/>
    <n v="0"/>
    <s v="Invoice"/>
    <s v="Sudah Jadi FJ"/>
    <s v=""/>
  </r>
  <r>
    <d v="2026-06-15T00:00:00"/>
    <d v="2026-06-13T00:00:00"/>
    <s v="SO-KU/2606/130060"/>
    <s v="MKU Bali"/>
    <x v="86"/>
    <x v="0"/>
    <x v="0"/>
    <s v="MRD1318A"/>
    <s v="MAMAS BELLY RIND ON SB OUT (SKIN ON) 3-5KG/PACK"/>
    <n v="10"/>
    <s v="KG"/>
    <n v="13.14"/>
    <n v="1668780"/>
    <n v="3.14"/>
    <s v="Invoice"/>
    <s v="Sudah Jadi FJ"/>
    <s v=" kitchen fbc"/>
  </r>
  <r>
    <d v="2026-06-15T00:00:00"/>
    <d v="2026-06-13T00:00:00"/>
    <s v="SO-KU/2606/130060"/>
    <s v="MKU Bali"/>
    <x v="86"/>
    <x v="0"/>
    <x v="0"/>
    <s v="150226"/>
    <s v="Belly Skinless Premium (2.5Kg/Pack)"/>
    <n v="10"/>
    <s v="KG"/>
    <n v="9.01"/>
    <n v="1081200"/>
    <n v="-0.99"/>
    <s v="Invoice"/>
    <s v="Sudah Jadi FJ"/>
    <s v=" kitchen fbc"/>
  </r>
  <r>
    <d v="2026-06-15T00:00:00"/>
    <d v="2026-06-13T00:00:00"/>
    <s v="SO-KU/2606/130061"/>
    <s v="MKU Bali"/>
    <x v="105"/>
    <x v="0"/>
    <x v="0"/>
    <s v="POS0024"/>
    <s v="O Sole Pomodori Pelati Peeled Tomatoes 2.5Kg"/>
    <n v="12"/>
    <s v="CAN"/>
    <n v="12"/>
    <n v="1008000.06"/>
    <n v="0"/>
    <s v="Invoice"/>
    <s v="Sudah Jadi FJ"/>
    <s v=""/>
  </r>
  <r>
    <d v="2026-06-15T00:00:00"/>
    <d v="2026-06-13T00:00:00"/>
    <s v="SO-KU/2606/130062"/>
    <s v="MKU Bali"/>
    <x v="156"/>
    <x v="0"/>
    <x v="6"/>
    <s v="POT0046"/>
    <s v="Australian Butter Unsalted"/>
    <n v="25"/>
    <s v="KG"/>
    <n v="25"/>
    <n v="4125000.04"/>
    <n v="0"/>
    <s v="Invoice"/>
    <s v="Sudah Jadi FJ"/>
    <s v=""/>
  </r>
  <r>
    <d v="2026-06-15T00:00:00"/>
    <d v="2026-06-13T00:00:00"/>
    <s v="SO-KU/2606/130062"/>
    <s v="MKU Bali"/>
    <x v="156"/>
    <x v="0"/>
    <x v="6"/>
    <s v="PAS0064"/>
    <s v="Crr Rock'n Waffle Fries 2.5 Kg"/>
    <n v="10"/>
    <s v="PACK"/>
    <n v="10"/>
    <n v="1400000.04"/>
    <n v="0"/>
    <s v="Invoice"/>
    <s v="Sudah Jadi FJ"/>
    <s v=""/>
  </r>
  <r>
    <d v="2026-06-15T00:00:00"/>
    <d v="2026-06-13T00:00:00"/>
    <s v="SO-KU/2606/130064"/>
    <s v="MKU Bali"/>
    <x v="157"/>
    <x v="1"/>
    <x v="16"/>
    <s v="PMS0178"/>
    <s v="Masterista Ceremonial Pure Matcha Powder 500 Gr"/>
    <n v="1"/>
    <s v="PACK"/>
    <n v="1"/>
    <n v="888000"/>
    <n v="0"/>
    <s v="Invoice"/>
    <s v="Sudah Jadi FJ"/>
    <s v="barangnya dikirim ke Lyra cofe"/>
  </r>
  <r>
    <d v="2026-06-15T00:00:00"/>
    <d v="2026-06-13T00:00:00"/>
    <s v="SO-KU/2606/130065"/>
    <s v="MKU Bali"/>
    <x v="158"/>
    <x v="0"/>
    <x v="5"/>
    <s v="PAS0014"/>
    <s v="Crr Rock'n Hash Brown Triangular 10Kg/Ctn"/>
    <n v="1"/>
    <s v="KTN"/>
    <n v="1"/>
    <n v="550000.01"/>
    <n v="0"/>
    <s v="Invoice"/>
    <s v="Sudah Jadi FJ"/>
    <s v=""/>
  </r>
  <r>
    <d v="2026-06-15T00:00:00"/>
    <d v="2026-06-13T00:00:00"/>
    <s v="SO-KU/2606/130066"/>
    <s v="MKU Bali"/>
    <x v="159"/>
    <x v="0"/>
    <x v="3"/>
    <s v="POT0046"/>
    <s v="Australian Butter Unsalted"/>
    <n v="50"/>
    <s v="KG"/>
    <n v="50"/>
    <n v="8249991.2000000002"/>
    <n v="0"/>
    <s v="Invoice"/>
    <s v="Sudah Jadi FJ"/>
    <s v=""/>
  </r>
  <r>
    <d v="2026-06-15T00:00:00"/>
    <d v="2026-06-13T00:00:00"/>
    <s v="SO-KU/2606/130067"/>
    <s v="MKU Bali"/>
    <x v="117"/>
    <x v="0"/>
    <x v="17"/>
    <s v="PIF0012"/>
    <s v="Pristine Classic Cooking Cream 1 Lt"/>
    <n v="12"/>
    <s v="LTR"/>
    <n v="12"/>
    <n v="652680"/>
    <n v="0"/>
    <s v="Invoice"/>
    <s v="Sudah Jadi FJ"/>
    <s v=""/>
  </r>
  <r>
    <d v="2026-06-15T00:00:00"/>
    <d v="2026-06-13T00:00:00"/>
    <s v="SO-KU/2606/130067"/>
    <s v="MKU Bali"/>
    <x v="117"/>
    <x v="0"/>
    <x v="17"/>
    <s v="PDM0004"/>
    <s v="Armando Spaghetti 500 Gr/Pack"/>
    <n v="10"/>
    <s v="PACK"/>
    <n v="10"/>
    <n v="155400"/>
    <n v="0"/>
    <s v="Invoice"/>
    <s v="Sudah Jadi FJ"/>
    <s v=""/>
  </r>
  <r>
    <d v="2026-06-15T00:00:00"/>
    <d v="2026-06-13T00:00:00"/>
    <s v="SO-KU/2606/130068"/>
    <s v="MKU Bali"/>
    <x v="117"/>
    <x v="0"/>
    <x v="17"/>
    <s v="PAS0015"/>
    <s v="Crr Rock'n Super Crispy Jakets Spicy Wedges 10Kg/Ctn"/>
    <n v="2"/>
    <s v="KTN"/>
    <n v="2"/>
    <n v="870000"/>
    <n v="0"/>
    <s v="Invoice"/>
    <s v="Sudah Jadi FJ"/>
    <s v=""/>
  </r>
  <r>
    <d v="2026-06-15T00:00:00"/>
    <d v="2026-06-13T00:00:00"/>
    <s v="SO-KU/2606/130068"/>
    <s v="MKU Bali"/>
    <x v="117"/>
    <x v="0"/>
    <x v="17"/>
    <s v="PAS0026"/>
    <s v="Crr Rock'n Batter Skin On Fries 9x9mm 10Kg/Ctn"/>
    <n v="3"/>
    <s v="KTN"/>
    <n v="3"/>
    <n v="1275000"/>
    <n v="0"/>
    <s v="Invoice"/>
    <s v="Sudah Jadi FJ"/>
    <s v=""/>
  </r>
  <r>
    <d v="2026-06-15T00:00:00"/>
    <d v="2026-06-13T00:00:00"/>
    <s v="SO-KU/2606/130069"/>
    <s v="MKU Bali"/>
    <x v="117"/>
    <x v="0"/>
    <x v="17"/>
    <s v="ASS-EGT"/>
    <s v="Earl Grey @50TB/Box"/>
    <n v="1"/>
    <s v="BOX"/>
    <n v="1"/>
    <n v="95000.01"/>
    <n v="0"/>
    <s v="Invoice"/>
    <s v="Sudah Jadi FJ"/>
    <s v=""/>
  </r>
  <r>
    <d v="2026-06-15T00:00:00"/>
    <d v="2026-06-13T00:00:00"/>
    <s v="SO-KU/2606/130069"/>
    <s v="MKU Bali"/>
    <x v="117"/>
    <x v="0"/>
    <x v="17"/>
    <s v="ASS-JVJ"/>
    <s v="Javanese Jasmine Tea @50TB/Box"/>
    <n v="1"/>
    <s v="BOX"/>
    <n v="1"/>
    <n v="95000.01"/>
    <n v="0"/>
    <s v="Invoice"/>
    <s v="Sudah Jadi FJ"/>
    <s v=""/>
  </r>
  <r>
    <d v="2026-06-15T00:00:00"/>
    <d v="2026-06-13T00:00:00"/>
    <s v="SO-KU/2606/130069"/>
    <s v="MKU Bali"/>
    <x v="117"/>
    <x v="0"/>
    <x v="17"/>
    <s v="ASS-PGT"/>
    <s v="Pure Green Tea @50TB/Box"/>
    <n v="1"/>
    <s v="BOX"/>
    <n v="1"/>
    <n v="84359.99"/>
    <n v="0"/>
    <s v="Invoice"/>
    <s v="Sudah Jadi FJ"/>
    <s v=""/>
  </r>
  <r>
    <d v="2026-06-15T00:00:00"/>
    <d v="2026-06-13T00:00:00"/>
    <s v="SO-KU/2606/130070"/>
    <s v="MKU Bali"/>
    <x v="160"/>
    <x v="1"/>
    <x v="6"/>
    <s v="PIF0011"/>
    <s v="Pristine Classic Whip Topping 1 Lt"/>
    <n v="5"/>
    <s v="LTR"/>
    <n v="5"/>
    <n v="285000"/>
    <n v="0"/>
    <s v="Invoice"/>
    <s v="Sudah Jadi FJ"/>
    <s v=""/>
  </r>
  <r>
    <d v="2026-06-15T00:00:00"/>
    <d v="2026-06-13T00:00:00"/>
    <s v="SO-KU/2606/130070"/>
    <s v="MKU Bali"/>
    <x v="160"/>
    <x v="1"/>
    <x v="6"/>
    <s v="PIF0012"/>
    <s v="Pristine Classic Cooking Cream 1 Lt"/>
    <n v="1"/>
    <s v="LTR"/>
    <n v="1"/>
    <n v="64000"/>
    <n v="0"/>
    <s v="Invoice"/>
    <s v="Sudah Jadi FJ"/>
    <s v=""/>
  </r>
  <r>
    <d v="2026-06-15T00:00:00"/>
    <d v="2026-06-13T00:00:00"/>
    <s v="SO-KU/2606/130071"/>
    <s v="MKU Bali"/>
    <x v="161"/>
    <x v="1"/>
    <x v="4"/>
    <s v="PIF0011"/>
    <s v="Pristine Classic Whip Topping 1 Lt"/>
    <n v="6"/>
    <s v="LTR"/>
    <n v="6"/>
    <n v="341999.99"/>
    <n v="0"/>
    <s v="Invoice"/>
    <s v="Sudah Jadi FJ"/>
    <s v=""/>
  </r>
  <r>
    <d v="2026-06-15T00:00:00"/>
    <d v="2026-06-13T00:00:00"/>
    <s v="SO-KU/2606/130072"/>
    <s v="MKU Bali"/>
    <x v="162"/>
    <x v="1"/>
    <x v="6"/>
    <s v="PIF0011"/>
    <s v="Pristine Classic Whip Topping 1 Lt"/>
    <n v="10"/>
    <s v="LTR"/>
    <n v="10"/>
    <n v="569999.98"/>
    <n v="0"/>
    <s v="Invoice"/>
    <s v="Sudah Jadi FJ"/>
    <s v=""/>
  </r>
  <r>
    <d v="2026-06-15T00:00:00"/>
    <d v="2026-06-13T00:00:00"/>
    <s v="SO-KU/2606/130072"/>
    <s v="MKU Bali"/>
    <x v="162"/>
    <x v="1"/>
    <x v="6"/>
    <s v="PIF0012"/>
    <s v="Pristine Classic Cooking Cream 1 Lt"/>
    <n v="2"/>
    <s v="LTR"/>
    <n v="2"/>
    <n v="128000.01"/>
    <n v="0"/>
    <s v="Invoice"/>
    <s v="Sudah Jadi FJ"/>
    <s v=""/>
  </r>
  <r>
    <d v="2026-06-15T00:00:00"/>
    <d v="2026-06-13T00:00:00"/>
    <s v="SO-KU/2606/130073"/>
    <s v="MKU Bali"/>
    <x v="117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6-15T00:00:00"/>
    <d v="2026-06-13T00:00:00"/>
    <s v="SO-KU/2606/130075"/>
    <s v="MKU Bali"/>
    <x v="121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6-15T00:00:00"/>
    <d v="2026-06-13T00:00:00"/>
    <s v="SO-KU/2606/130076"/>
    <s v="MKU Bali"/>
    <x v="121"/>
    <x v="0"/>
    <x v="17"/>
    <s v="MRD1318A"/>
    <s v="MAMAS BELLY RIND ON SB OUT (SKIN ON) 3-5KG/PACK"/>
    <n v="12"/>
    <s v="KG"/>
    <n v="9.7798999999999996"/>
    <n v="1193160"/>
    <n v="-2.2201"/>
    <s v="Invoice"/>
    <s v="Sudah Jadi FJ"/>
    <s v=""/>
  </r>
  <r>
    <d v="2026-06-15T00:00:00"/>
    <d v="2026-06-13T00:00:00"/>
    <s v="SO-KU/2606/130076"/>
    <s v="MKU Bali"/>
    <x v="121"/>
    <x v="0"/>
    <x v="17"/>
    <s v="PSJ0019"/>
    <s v="Pork B Sliced (1kg/pack)"/>
    <n v="5"/>
    <s v="KG"/>
    <n v="5"/>
    <n v="500000"/>
    <n v="0"/>
    <s v="Invoice"/>
    <s v="Sudah Jadi FJ"/>
    <s v=""/>
  </r>
  <r>
    <d v="2026-06-15T00:00:00"/>
    <d v="2026-06-13T00:00:00"/>
    <s v="SO-KU/2606/130076"/>
    <s v="MKU Bali"/>
    <x v="121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6-15T00:00:00"/>
    <d v="2026-06-13T00:00:00"/>
    <s v="SO-KU/2606/130077"/>
    <s v="MKU Bali"/>
    <x v="163"/>
    <x v="0"/>
    <x v="10"/>
    <s v="ASS-CH-TB50"/>
    <s v="Chamomile Dream @50Tb/Box"/>
    <n v="2"/>
    <s v="BOX"/>
    <n v="2"/>
    <n v="180000"/>
    <n v="0"/>
    <s v="Invoice"/>
    <s v="Sudah Jadi FJ"/>
    <s v=""/>
  </r>
  <r>
    <d v="2026-06-15T00:00:00"/>
    <d v="2026-06-13T00:00:00"/>
    <s v="SO-KU/2606/130077"/>
    <s v="MKU Bali"/>
    <x v="163"/>
    <x v="0"/>
    <x v="10"/>
    <s v="ASS-EGT"/>
    <s v="Earl Grey @50TB/Box"/>
    <n v="1"/>
    <s v="BOX"/>
    <n v="1"/>
    <n v="90000"/>
    <n v="0"/>
    <s v="Invoice"/>
    <s v="Sudah Jadi FJ"/>
    <s v=""/>
  </r>
  <r>
    <d v="2026-06-15T00:00:00"/>
    <d v="2026-06-13T00:00:00"/>
    <s v="SO-KU/2606/130077"/>
    <s v="MKU Bali"/>
    <x v="163"/>
    <x v="0"/>
    <x v="10"/>
    <s v="ASS-JVJ"/>
    <s v="Javanese Jasmine Tea @50TB/Box"/>
    <n v="2"/>
    <s v="BOX"/>
    <n v="2"/>
    <n v="180000"/>
    <n v="0"/>
    <s v="Invoice"/>
    <s v="Sudah Jadi FJ"/>
    <s v=""/>
  </r>
  <r>
    <d v="2026-06-15T00:00:00"/>
    <d v="2026-06-13T00:00:00"/>
    <s v="SO-KU/2606/130077"/>
    <s v="MKU Bali"/>
    <x v="163"/>
    <x v="0"/>
    <x v="10"/>
    <s v="ASS-PGT"/>
    <s v="Pure Green Tea @50TB/Box"/>
    <n v="1"/>
    <s v="BOX"/>
    <n v="1"/>
    <n v="89999.99"/>
    <n v="0"/>
    <s v="Invoice"/>
    <s v="Sudah Jadi FJ"/>
    <s v=""/>
  </r>
  <r>
    <d v="2026-06-15T00:00:00"/>
    <d v="2026-06-13T00:00:00"/>
    <s v="SO-KU/2606/130078"/>
    <s v="MKU Bali"/>
    <x v="164"/>
    <x v="0"/>
    <x v="17"/>
    <s v="PAS0053"/>
    <s v="Crr Rock'n Waffle Fries 10Kg/Ctn"/>
    <n v="15"/>
    <s v="KTN"/>
    <n v="15"/>
    <n v="6524999.9699999997"/>
    <n v="0"/>
    <s v="Invoice"/>
    <s v="Sudah Jadi FJ"/>
    <s v="SPC JOGJA NO 275"/>
  </r>
  <r>
    <d v="2026-06-15T00:00:00"/>
    <d v="2026-06-13T00:00:00"/>
    <s v="SO-KU/2606/130079"/>
    <s v="MKU Bali"/>
    <x v="164"/>
    <x v="0"/>
    <x v="17"/>
    <s v="PEA0004"/>
    <s v="Gold Box Extra Butter MP341"/>
    <n v="250"/>
    <s v="KG"/>
    <n v="250"/>
    <n v="19425000"/>
    <n v="0"/>
    <s v="Invoice"/>
    <s v="Sudah Jadi FJ"/>
    <s v="SPC JKT NO 288"/>
  </r>
  <r>
    <d v="2026-06-15T00:00:00"/>
    <d v="2026-06-13T00:00:00"/>
    <s v="SO-KU/2606/130080"/>
    <s v="MKU Bali"/>
    <x v="164"/>
    <x v="0"/>
    <x v="17"/>
    <s v="PQW0004"/>
    <s v="IQF White Onion Whole 10Kg/Ctn"/>
    <n v="20"/>
    <s v="KTN"/>
    <n v="20"/>
    <n v="5200000"/>
    <n v="0"/>
    <s v="Invoice"/>
    <s v="Sudah Jadi FJ"/>
    <s v="WHM"/>
  </r>
  <r>
    <d v="2026-06-15T00:00:00"/>
    <d v="2026-06-13T00:00:00"/>
    <s v="SO-KU/2606/130081"/>
    <s v="MKU Bali"/>
    <x v="131"/>
    <x v="0"/>
    <x v="3"/>
    <s v="PIF0012"/>
    <s v="Pristine Classic Cooking Cream 1 Lt"/>
    <n v="30"/>
    <s v="LTR"/>
    <n v="30"/>
    <n v="1649999.98"/>
    <n v="0"/>
    <s v="Invoice"/>
    <s v="Sudah Jadi FJ"/>
    <s v=""/>
  </r>
  <r>
    <d v="2026-06-15T00:00:00"/>
    <d v="2026-06-13T00:00:00"/>
    <s v="SO-KU/2606/130082"/>
    <s v="MKU Bali"/>
    <x v="89"/>
    <x v="0"/>
    <x v="10"/>
    <s v="PIF0011"/>
    <s v="Pristine Classic Whip Topping 1 Lt"/>
    <n v="12"/>
    <s v="LTR"/>
    <n v="12"/>
    <n v="772560"/>
    <n v="0"/>
    <s v="Invoice"/>
    <s v="Sudah Jadi FJ"/>
    <s v="BAR CRET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427F0-CF80-4908-88E6-D8ADDC3AEB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6">
        <item x="27"/>
        <item x="15"/>
        <item x="89"/>
        <item x="11"/>
        <item x="55"/>
        <item x="129"/>
        <item x="131"/>
        <item x="35"/>
        <item x="7"/>
        <item x="81"/>
        <item x="103"/>
        <item x="72"/>
        <item x="58"/>
        <item x="38"/>
        <item x="30"/>
        <item x="29"/>
        <item x="106"/>
        <item x="153"/>
        <item x="64"/>
        <item x="68"/>
        <item x="155"/>
        <item x="9"/>
        <item x="147"/>
        <item x="144"/>
        <item x="91"/>
        <item x="88"/>
        <item x="45"/>
        <item x="114"/>
        <item x="92"/>
        <item x="48"/>
        <item x="100"/>
        <item x="73"/>
        <item x="117"/>
        <item x="136"/>
        <item x="123"/>
        <item x="66"/>
        <item x="86"/>
        <item x="63"/>
        <item x="134"/>
        <item x="126"/>
        <item x="70"/>
        <item x="122"/>
        <item x="6"/>
        <item x="139"/>
        <item x="140"/>
        <item x="46"/>
        <item x="34"/>
        <item x="14"/>
        <item x="51"/>
        <item x="41"/>
        <item x="82"/>
        <item x="95"/>
        <item x="156"/>
        <item x="44"/>
        <item x="37"/>
        <item x="162"/>
        <item x="160"/>
        <item x="161"/>
        <item x="137"/>
        <item x="42"/>
        <item x="74"/>
        <item x="80"/>
        <item x="28"/>
        <item x="148"/>
        <item x="97"/>
        <item x="101"/>
        <item x="125"/>
        <item x="20"/>
        <item x="5"/>
        <item x="104"/>
        <item x="31"/>
        <item x="75"/>
        <item x="54"/>
        <item x="12"/>
        <item x="60"/>
        <item x="23"/>
        <item x="90"/>
        <item x="65"/>
        <item x="18"/>
        <item x="121"/>
        <item x="112"/>
        <item x="21"/>
        <item x="50"/>
        <item x="133"/>
        <item x="99"/>
        <item x="102"/>
        <item x="67"/>
        <item x="52"/>
        <item x="4"/>
        <item x="94"/>
        <item x="145"/>
        <item x="152"/>
        <item x="33"/>
        <item x="71"/>
        <item x="142"/>
        <item x="157"/>
        <item x="10"/>
        <item x="98"/>
        <item x="138"/>
        <item x="47"/>
        <item x="32"/>
        <item x="39"/>
        <item x="0"/>
        <item x="93"/>
        <item x="111"/>
        <item x="113"/>
        <item x="76"/>
        <item x="109"/>
        <item x="57"/>
        <item x="43"/>
        <item x="143"/>
        <item x="116"/>
        <item x="105"/>
        <item x="8"/>
        <item x="49"/>
        <item x="110"/>
        <item x="164"/>
        <item x="19"/>
        <item x="107"/>
        <item x="154"/>
        <item x="120"/>
        <item x="130"/>
        <item x="69"/>
        <item x="53"/>
        <item x="85"/>
        <item x="83"/>
        <item x="84"/>
        <item x="87"/>
        <item x="108"/>
        <item x="78"/>
        <item x="13"/>
        <item x="124"/>
        <item x="132"/>
        <item x="128"/>
        <item x="61"/>
        <item x="26"/>
        <item x="25"/>
        <item x="22"/>
        <item x="151"/>
        <item x="141"/>
        <item x="163"/>
        <item x="16"/>
        <item x="3"/>
        <item x="135"/>
        <item x="119"/>
        <item x="149"/>
        <item x="150"/>
        <item x="17"/>
        <item x="96"/>
        <item x="2"/>
        <item x="1"/>
        <item x="77"/>
        <item x="127"/>
        <item x="146"/>
        <item x="158"/>
        <item x="62"/>
        <item x="159"/>
        <item x="40"/>
        <item x="115"/>
        <item x="118"/>
        <item x="36"/>
        <item x="59"/>
        <item x="79"/>
        <item x="56"/>
        <item x="2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1"/>
        <item x="6"/>
        <item x="15"/>
        <item x="16"/>
        <item x="2"/>
        <item x="3"/>
        <item x="9"/>
        <item x="17"/>
        <item x="5"/>
        <item x="8"/>
        <item x="14"/>
        <item x="19"/>
        <item x="20"/>
        <item x="13"/>
        <item x="18"/>
        <item x="7"/>
        <item x="12"/>
        <item x="10"/>
        <item x="4"/>
        <item x="0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6">
    <i>
      <x/>
    </i>
    <i r="1">
      <x v="22"/>
    </i>
    <i r="1">
      <x v="23"/>
    </i>
    <i r="1">
      <x v="31"/>
    </i>
    <i r="1">
      <x v="103"/>
    </i>
    <i r="1">
      <x v="150"/>
    </i>
    <i>
      <x v="1"/>
    </i>
    <i r="1">
      <x v="8"/>
    </i>
    <i r="1">
      <x v="52"/>
    </i>
    <i r="1">
      <x v="67"/>
    </i>
    <i r="1">
      <x v="117"/>
    </i>
    <i r="1">
      <x v="138"/>
    </i>
    <i>
      <x v="2"/>
    </i>
    <i r="1">
      <x v="33"/>
    </i>
    <i r="1">
      <x v="40"/>
    </i>
    <i r="1">
      <x v="65"/>
    </i>
    <i>
      <x v="3"/>
    </i>
    <i r="1">
      <x v="5"/>
    </i>
    <i r="1">
      <x v="51"/>
    </i>
    <i r="1">
      <x v="105"/>
    </i>
    <i>
      <x v="4"/>
    </i>
    <i r="1">
      <x v="11"/>
    </i>
    <i r="1">
      <x v="41"/>
    </i>
    <i r="1">
      <x v="71"/>
    </i>
    <i r="1">
      <x v="76"/>
    </i>
    <i r="1">
      <x v="134"/>
    </i>
    <i r="1">
      <x v="148"/>
    </i>
    <i r="1">
      <x v="149"/>
    </i>
    <i r="1">
      <x v="155"/>
    </i>
    <i>
      <x v="5"/>
    </i>
    <i r="1">
      <x v="6"/>
    </i>
    <i r="1">
      <x v="10"/>
    </i>
    <i r="1">
      <x v="43"/>
    </i>
    <i r="1">
      <x v="44"/>
    </i>
    <i r="1">
      <x v="47"/>
    </i>
    <i r="1">
      <x v="68"/>
    </i>
    <i r="1">
      <x v="78"/>
    </i>
    <i r="1">
      <x v="83"/>
    </i>
    <i r="1">
      <x v="89"/>
    </i>
    <i r="1">
      <x v="101"/>
    </i>
    <i r="1">
      <x v="130"/>
    </i>
    <i r="1">
      <x v="142"/>
    </i>
    <i r="1">
      <x v="147"/>
    </i>
    <i r="1">
      <x v="156"/>
    </i>
    <i>
      <x v="6"/>
    </i>
    <i r="1">
      <x v="100"/>
    </i>
    <i>
      <x v="7"/>
    </i>
    <i r="1">
      <x v="32"/>
    </i>
    <i r="1">
      <x v="79"/>
    </i>
    <i r="1">
      <x v="116"/>
    </i>
    <i>
      <x v="8"/>
    </i>
    <i r="1">
      <x v="3"/>
    </i>
    <i r="1">
      <x v="21"/>
    </i>
    <i r="1">
      <x v="38"/>
    </i>
    <i r="1">
      <x v="42"/>
    </i>
    <i r="1">
      <x v="48"/>
    </i>
    <i r="1">
      <x v="49"/>
    </i>
    <i r="1">
      <x v="53"/>
    </i>
    <i r="1">
      <x v="59"/>
    </i>
    <i r="1">
      <x v="73"/>
    </i>
    <i r="1">
      <x v="84"/>
    </i>
    <i r="1">
      <x v="87"/>
    </i>
    <i r="1">
      <x v="93"/>
    </i>
    <i r="1">
      <x v="96"/>
    </i>
    <i r="1">
      <x v="110"/>
    </i>
    <i r="1">
      <x v="111"/>
    </i>
    <i r="1">
      <x v="121"/>
    </i>
    <i r="1">
      <x v="132"/>
    </i>
    <i r="1">
      <x v="141"/>
    </i>
    <i r="1">
      <x v="144"/>
    </i>
    <i r="1">
      <x v="154"/>
    </i>
    <i>
      <x v="9"/>
    </i>
    <i r="1">
      <x v="30"/>
    </i>
    <i>
      <x v="10"/>
    </i>
    <i r="1">
      <x v="98"/>
    </i>
    <i r="1">
      <x v="99"/>
    </i>
    <i>
      <x v="11"/>
    </i>
    <i r="1">
      <x v="90"/>
    </i>
    <i>
      <x v="12"/>
    </i>
    <i r="1">
      <x v="91"/>
    </i>
    <i>
      <x v="13"/>
    </i>
    <i r="1">
      <x v="89"/>
    </i>
    <i r="1">
      <x v="115"/>
    </i>
    <i r="1">
      <x v="161"/>
    </i>
    <i r="1">
      <x v="162"/>
    </i>
    <i>
      <x v="15"/>
    </i>
    <i r="1">
      <x v="1"/>
    </i>
    <i r="1">
      <x v="9"/>
    </i>
    <i r="1">
      <x v="18"/>
    </i>
    <i r="1">
      <x v="61"/>
    </i>
    <i r="1">
      <x v="104"/>
    </i>
    <i>
      <x v="16"/>
    </i>
    <i r="1">
      <x v="45"/>
    </i>
    <i r="1">
      <x v="106"/>
    </i>
    <i r="1">
      <x v="107"/>
    </i>
    <i r="1">
      <x v="108"/>
    </i>
    <i r="1">
      <x v="109"/>
    </i>
    <i r="1">
      <x v="114"/>
    </i>
    <i r="1">
      <x v="118"/>
    </i>
    <i r="1">
      <x v="129"/>
    </i>
    <i r="1">
      <x v="159"/>
    </i>
    <i>
      <x v="17"/>
    </i>
    <i r="1">
      <x v="2"/>
    </i>
    <i r="1">
      <x v="18"/>
    </i>
    <i r="1">
      <x v="19"/>
    </i>
    <i r="1">
      <x v="27"/>
    </i>
    <i r="1">
      <x v="28"/>
    </i>
    <i r="1">
      <x v="37"/>
    </i>
    <i r="1">
      <x v="66"/>
    </i>
    <i r="1">
      <x v="77"/>
    </i>
    <i r="1">
      <x v="82"/>
    </i>
    <i r="1">
      <x v="85"/>
    </i>
    <i r="1">
      <x v="92"/>
    </i>
    <i r="1">
      <x v="122"/>
    </i>
    <i r="1">
      <x v="140"/>
    </i>
    <i r="1">
      <x v="143"/>
    </i>
    <i>
      <x v="18"/>
    </i>
    <i r="1">
      <x v="12"/>
    </i>
    <i r="1">
      <x v="13"/>
    </i>
    <i r="1">
      <x v="20"/>
    </i>
    <i r="1">
      <x v="64"/>
    </i>
    <i r="1">
      <x v="70"/>
    </i>
    <i r="1">
      <x v="81"/>
    </i>
    <i r="1">
      <x v="88"/>
    </i>
    <i r="1">
      <x v="113"/>
    </i>
    <i r="1">
      <x v="120"/>
    </i>
    <i r="1">
      <x v="131"/>
    </i>
    <i r="1">
      <x v="136"/>
    </i>
    <i r="1">
      <x v="157"/>
    </i>
    <i r="1">
      <x v="158"/>
    </i>
    <i r="1">
      <x v="160"/>
    </i>
    <i r="1">
      <x v="163"/>
    </i>
    <i>
      <x v="19"/>
    </i>
    <i r="1">
      <x v="7"/>
    </i>
    <i r="1">
      <x v="36"/>
    </i>
    <i r="1">
      <x v="69"/>
    </i>
    <i r="1">
      <x v="80"/>
    </i>
    <i r="1">
      <x v="102"/>
    </i>
    <i r="1">
      <x v="112"/>
    </i>
    <i r="1">
      <x v="128"/>
    </i>
    <i r="1">
      <x v="135"/>
    </i>
    <i r="1">
      <x v="164"/>
    </i>
    <i>
      <x v="20"/>
    </i>
    <i r="1">
      <x v="29"/>
    </i>
    <i r="1">
      <x v="4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5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5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2">
          <reference field="4" count="1">
            <x v="60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1">
            <x v="146"/>
          </reference>
          <reference field="6" count="1" selected="0">
            <x v="1"/>
          </reference>
        </references>
      </pivotArea>
    </format>
    <format dxfId="24">
      <pivotArea collapsedLevelsAreSubtotals="1" fieldPosition="0">
        <references count="2">
          <reference field="4" count="1">
            <x v="72"/>
          </reference>
          <reference field="6" count="1" selected="0">
            <x v="2"/>
          </reference>
        </references>
      </pivotArea>
    </format>
    <format dxfId="23">
      <pivotArea collapsedLevelsAreSubtotals="1" fieldPosition="0">
        <references count="2">
          <reference field="4" count="1">
            <x v="139"/>
          </reference>
          <reference field="6" count="1" selected="0">
            <x v="4"/>
          </reference>
        </references>
      </pivotArea>
    </format>
    <format dxfId="22">
      <pivotArea collapsedLevelsAreSubtotals="1" fieldPosition="0">
        <references count="2">
          <reference field="4" count="1">
            <x v="149"/>
          </reference>
          <reference field="6" count="1" selected="0">
            <x v="4"/>
          </reference>
        </references>
      </pivotArea>
    </format>
    <format dxfId="21">
      <pivotArea collapsedLevelsAreSubtotals="1" fieldPosition="0">
        <references count="2">
          <reference field="4" count="1">
            <x v="10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2">
            <x v="47"/>
            <x v="68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130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1">
            <x v="28"/>
          </reference>
          <reference field="6" count="1" selected="0">
            <x v="17"/>
          </reference>
        </references>
      </pivotArea>
    </format>
    <format dxfId="17">
      <pivotArea collapsedLevelsAreSubtotals="1" fieldPosition="0">
        <references count="2">
          <reference field="4" count="1">
            <x v="66"/>
          </reference>
          <reference field="6" count="1" selected="0">
            <x v="17"/>
          </reference>
        </references>
      </pivotArea>
    </format>
    <format dxfId="16">
      <pivotArea collapsedLevelsAreSubtotals="1" fieldPosition="0">
        <references count="2">
          <reference field="4" count="1">
            <x v="143"/>
          </reference>
          <reference field="6" count="1" selected="0">
            <x v="17"/>
          </reference>
        </references>
      </pivotArea>
    </format>
    <format dxfId="15">
      <pivotArea collapsedLevelsAreSubtotals="1" fieldPosition="0">
        <references count="2">
          <reference field="4" count="1">
            <x v="64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11C8-16BB-4F6F-A93A-4135BD5D2330}">
  <dimension ref="A1:B192"/>
  <sheetViews>
    <sheetView workbookViewId="0">
      <selection sqref="A1:B149"/>
    </sheetView>
  </sheetViews>
  <sheetFormatPr defaultRowHeight="15" x14ac:dyDescent="0.25"/>
  <cols>
    <col min="1" max="1" width="49.28515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756</v>
      </c>
      <c r="B3" s="9" t="s">
        <v>758</v>
      </c>
    </row>
    <row r="4" spans="1:2" x14ac:dyDescent="0.25">
      <c r="A4" s="6" t="s">
        <v>32</v>
      </c>
      <c r="B4" s="9">
        <v>6925470.0299999993</v>
      </c>
    </row>
    <row r="5" spans="1:2" x14ac:dyDescent="0.25">
      <c r="A5" s="7" t="s">
        <v>665</v>
      </c>
      <c r="B5" s="9">
        <v>2011499.98</v>
      </c>
    </row>
    <row r="6" spans="1:2" x14ac:dyDescent="0.25">
      <c r="A6" s="7" t="s">
        <v>651</v>
      </c>
      <c r="B6" s="9">
        <v>1390499.99</v>
      </c>
    </row>
    <row r="7" spans="1:2" x14ac:dyDescent="0.25">
      <c r="A7" s="7" t="s">
        <v>307</v>
      </c>
      <c r="B7" s="9">
        <v>905000.01</v>
      </c>
    </row>
    <row r="8" spans="1:2" x14ac:dyDescent="0.25">
      <c r="A8" s="7" t="s">
        <v>374</v>
      </c>
      <c r="B8" s="9">
        <v>362970</v>
      </c>
    </row>
    <row r="9" spans="1:2" x14ac:dyDescent="0.25">
      <c r="A9" s="7" t="s">
        <v>31</v>
      </c>
      <c r="B9" s="9">
        <v>2255500.0499999998</v>
      </c>
    </row>
    <row r="10" spans="1:2" x14ac:dyDescent="0.25">
      <c r="A10" s="6" t="s">
        <v>62</v>
      </c>
      <c r="B10" s="9">
        <v>29392869.329999998</v>
      </c>
    </row>
    <row r="11" spans="1:2" x14ac:dyDescent="0.25">
      <c r="A11" s="7" t="s">
        <v>61</v>
      </c>
      <c r="B11" s="9">
        <v>5110150</v>
      </c>
    </row>
    <row r="12" spans="1:2" x14ac:dyDescent="0.25">
      <c r="A12" s="7" t="s">
        <v>702</v>
      </c>
      <c r="B12" s="9">
        <v>5525000.0800000001</v>
      </c>
    </row>
    <row r="13" spans="1:2" x14ac:dyDescent="0.25">
      <c r="A13" s="7" t="s">
        <v>135</v>
      </c>
      <c r="B13" s="9">
        <v>1091200</v>
      </c>
    </row>
    <row r="14" spans="1:2" x14ac:dyDescent="0.25">
      <c r="A14" s="7" t="s">
        <v>128</v>
      </c>
      <c r="B14" s="9">
        <v>17156519.25</v>
      </c>
    </row>
    <row r="15" spans="1:2" x14ac:dyDescent="0.25">
      <c r="A15" s="7" t="s">
        <v>679</v>
      </c>
      <c r="B15" s="9">
        <v>510000</v>
      </c>
    </row>
    <row r="16" spans="1:2" x14ac:dyDescent="0.25">
      <c r="A16" s="6" t="s">
        <v>251</v>
      </c>
      <c r="B16" s="9">
        <v>20707060.310000002</v>
      </c>
    </row>
    <row r="17" spans="1:2" x14ac:dyDescent="0.25">
      <c r="A17" s="7" t="s">
        <v>578</v>
      </c>
      <c r="B17" s="9">
        <v>963060</v>
      </c>
    </row>
    <row r="18" spans="1:2" x14ac:dyDescent="0.25">
      <c r="A18" s="7" t="s">
        <v>296</v>
      </c>
      <c r="B18" s="9">
        <v>2303999.9900000002</v>
      </c>
    </row>
    <row r="19" spans="1:2" x14ac:dyDescent="0.25">
      <c r="A19" s="7" t="s">
        <v>406</v>
      </c>
      <c r="B19" s="9">
        <v>17440000.32</v>
      </c>
    </row>
    <row r="20" spans="1:2" x14ac:dyDescent="0.25">
      <c r="A20" s="6" t="s">
        <v>362</v>
      </c>
      <c r="B20" s="9">
        <v>15901844.99</v>
      </c>
    </row>
    <row r="21" spans="1:2" x14ac:dyDescent="0.25">
      <c r="A21" s="7" t="s">
        <v>516</v>
      </c>
      <c r="B21" s="9">
        <v>3158670</v>
      </c>
    </row>
    <row r="22" spans="1:2" x14ac:dyDescent="0.25">
      <c r="A22" s="7" t="s">
        <v>378</v>
      </c>
      <c r="B22" s="9">
        <v>9524174.9900000002</v>
      </c>
    </row>
    <row r="23" spans="1:2" x14ac:dyDescent="0.25">
      <c r="A23" s="7" t="s">
        <v>438</v>
      </c>
      <c r="B23" s="9">
        <v>3219000</v>
      </c>
    </row>
    <row r="24" spans="1:2" x14ac:dyDescent="0.25">
      <c r="A24" s="6" t="s">
        <v>38</v>
      </c>
      <c r="B24" s="9">
        <v>69150250.049999997</v>
      </c>
    </row>
    <row r="25" spans="1:2" x14ac:dyDescent="0.25">
      <c r="A25" s="7" t="s">
        <v>300</v>
      </c>
      <c r="B25" s="9">
        <v>18793500</v>
      </c>
    </row>
    <row r="26" spans="1:2" x14ac:dyDescent="0.25">
      <c r="A26" s="7" t="s">
        <v>475</v>
      </c>
      <c r="B26" s="9">
        <v>355200</v>
      </c>
    </row>
    <row r="27" spans="1:2" x14ac:dyDescent="0.25">
      <c r="A27" s="7" t="s">
        <v>311</v>
      </c>
      <c r="B27" s="9">
        <v>1065600</v>
      </c>
    </row>
    <row r="28" spans="1:2" x14ac:dyDescent="0.25">
      <c r="A28" s="7" t="s">
        <v>326</v>
      </c>
      <c r="B28" s="9">
        <v>2384999.96</v>
      </c>
    </row>
    <row r="29" spans="1:2" x14ac:dyDescent="0.25">
      <c r="A29" s="7" t="s">
        <v>277</v>
      </c>
      <c r="B29" s="9">
        <v>37600000</v>
      </c>
    </row>
    <row r="30" spans="1:2" x14ac:dyDescent="0.25">
      <c r="A30" s="7" t="s">
        <v>380</v>
      </c>
      <c r="B30" s="9">
        <v>436230</v>
      </c>
    </row>
    <row r="31" spans="1:2" x14ac:dyDescent="0.25">
      <c r="A31" s="7" t="s">
        <v>37</v>
      </c>
      <c r="B31" s="10">
        <v>279720</v>
      </c>
    </row>
    <row r="32" spans="1:2" x14ac:dyDescent="0.25">
      <c r="A32" s="7" t="s">
        <v>279</v>
      </c>
      <c r="B32" s="9">
        <v>8235000.0899999999</v>
      </c>
    </row>
    <row r="33" spans="1:2" x14ac:dyDescent="0.25">
      <c r="A33" s="6" t="s">
        <v>47</v>
      </c>
      <c r="B33" s="9">
        <v>38823231.309999995</v>
      </c>
    </row>
    <row r="34" spans="1:2" x14ac:dyDescent="0.25">
      <c r="A34" s="7" t="s">
        <v>536</v>
      </c>
      <c r="B34" s="9">
        <v>2089999.97</v>
      </c>
    </row>
    <row r="35" spans="1:2" x14ac:dyDescent="0.25">
      <c r="A35" s="7" t="s">
        <v>412</v>
      </c>
      <c r="B35" s="10">
        <v>280000</v>
      </c>
    </row>
    <row r="36" spans="1:2" x14ac:dyDescent="0.25">
      <c r="A36" s="7" t="s">
        <v>621</v>
      </c>
      <c r="B36" s="9">
        <v>1800000</v>
      </c>
    </row>
    <row r="37" spans="1:2" x14ac:dyDescent="0.25">
      <c r="A37" s="7" t="s">
        <v>623</v>
      </c>
      <c r="B37" s="9">
        <v>3420250.2399999998</v>
      </c>
    </row>
    <row r="38" spans="1:2" x14ac:dyDescent="0.25">
      <c r="A38" s="7" t="s">
        <v>102</v>
      </c>
      <c r="B38" s="10">
        <v>227499.99</v>
      </c>
    </row>
    <row r="39" spans="1:2" x14ac:dyDescent="0.25">
      <c r="A39" s="7" t="s">
        <v>57</v>
      </c>
      <c r="B39" s="10">
        <v>290000</v>
      </c>
    </row>
    <row r="40" spans="1:2" x14ac:dyDescent="0.25">
      <c r="A40" s="7" t="s">
        <v>126</v>
      </c>
      <c r="B40" s="9">
        <v>1599720.01</v>
      </c>
    </row>
    <row r="41" spans="1:2" x14ac:dyDescent="0.25">
      <c r="A41" s="7" t="s">
        <v>548</v>
      </c>
      <c r="B41" s="9">
        <v>1800000</v>
      </c>
    </row>
    <row r="42" spans="1:2" x14ac:dyDescent="0.25">
      <c r="A42" s="7" t="s">
        <v>376</v>
      </c>
      <c r="B42" s="9">
        <v>12479999.949999999</v>
      </c>
    </row>
    <row r="43" spans="1:2" x14ac:dyDescent="0.25">
      <c r="A43" s="7" t="s">
        <v>191</v>
      </c>
      <c r="B43" s="9">
        <v>1385000</v>
      </c>
    </row>
    <row r="44" spans="1:2" x14ac:dyDescent="0.25">
      <c r="A44" s="7" t="s">
        <v>98</v>
      </c>
      <c r="B44" s="10">
        <v>162599.99</v>
      </c>
    </row>
    <row r="45" spans="1:2" x14ac:dyDescent="0.25">
      <c r="A45" s="7" t="s">
        <v>46</v>
      </c>
      <c r="B45" s="9">
        <v>1964700</v>
      </c>
    </row>
    <row r="46" spans="1:2" x14ac:dyDescent="0.25">
      <c r="A46" s="7" t="s">
        <v>120</v>
      </c>
      <c r="B46" s="9">
        <v>3073469.96</v>
      </c>
    </row>
    <row r="47" spans="1:2" x14ac:dyDescent="0.25">
      <c r="A47" s="7" t="s">
        <v>711</v>
      </c>
      <c r="B47" s="9">
        <v>8249991.2000000002</v>
      </c>
    </row>
    <row r="48" spans="1:2" x14ac:dyDescent="0.25">
      <c r="A48" s="6" t="s">
        <v>175</v>
      </c>
      <c r="B48" s="9">
        <v>26500000.140000001</v>
      </c>
    </row>
    <row r="49" spans="1:2" x14ac:dyDescent="0.25">
      <c r="A49" s="7" t="s">
        <v>174</v>
      </c>
      <c r="B49" s="9">
        <v>26500000.140000001</v>
      </c>
    </row>
    <row r="50" spans="1:2" x14ac:dyDescent="0.25">
      <c r="A50" s="6" t="s">
        <v>386</v>
      </c>
      <c r="B50" s="9">
        <v>40611209.939999998</v>
      </c>
    </row>
    <row r="51" spans="1:2" x14ac:dyDescent="0.25">
      <c r="A51" s="7" t="s">
        <v>452</v>
      </c>
      <c r="B51" s="9">
        <v>5301440</v>
      </c>
    </row>
    <row r="52" spans="1:2" x14ac:dyDescent="0.25">
      <c r="A52" s="7" t="s">
        <v>467</v>
      </c>
      <c r="B52" s="9">
        <v>4159769.97</v>
      </c>
    </row>
    <row r="53" spans="1:2" x14ac:dyDescent="0.25">
      <c r="A53" s="7" t="s">
        <v>741</v>
      </c>
      <c r="B53" s="9">
        <v>31149999.969999999</v>
      </c>
    </row>
    <row r="54" spans="1:2" x14ac:dyDescent="0.25">
      <c r="A54" s="6" t="s">
        <v>50</v>
      </c>
      <c r="B54" s="9">
        <v>108681114.72999999</v>
      </c>
    </row>
    <row r="55" spans="1:2" x14ac:dyDescent="0.25">
      <c r="A55" s="7" t="s">
        <v>94</v>
      </c>
      <c r="B55" s="9">
        <v>1420000</v>
      </c>
    </row>
    <row r="56" spans="1:2" x14ac:dyDescent="0.25">
      <c r="A56" s="7" t="s">
        <v>73</v>
      </c>
      <c r="B56" s="9">
        <v>22375550.030000001</v>
      </c>
    </row>
    <row r="57" spans="1:2" x14ac:dyDescent="0.25">
      <c r="A57" s="7" t="s">
        <v>133</v>
      </c>
      <c r="B57" s="9">
        <v>3503160</v>
      </c>
    </row>
    <row r="58" spans="1:2" x14ac:dyDescent="0.25">
      <c r="A58" s="7" t="s">
        <v>59</v>
      </c>
      <c r="B58" s="9">
        <v>577200</v>
      </c>
    </row>
    <row r="59" spans="1:2" x14ac:dyDescent="0.25">
      <c r="A59" s="7" t="s">
        <v>235</v>
      </c>
      <c r="B59" s="9">
        <v>17404029.879999999</v>
      </c>
    </row>
    <row r="60" spans="1:2" x14ac:dyDescent="0.25">
      <c r="A60" s="7" t="s">
        <v>195</v>
      </c>
      <c r="B60" s="9">
        <v>737485</v>
      </c>
    </row>
    <row r="61" spans="1:2" x14ac:dyDescent="0.25">
      <c r="A61" s="7" t="s">
        <v>207</v>
      </c>
      <c r="B61" s="9">
        <v>14994219.98</v>
      </c>
    </row>
    <row r="62" spans="1:2" x14ac:dyDescent="0.25">
      <c r="A62" s="7" t="s">
        <v>197</v>
      </c>
      <c r="B62" s="9">
        <v>982350</v>
      </c>
    </row>
    <row r="63" spans="1:2" x14ac:dyDescent="0.25">
      <c r="A63" s="7" t="s">
        <v>96</v>
      </c>
      <c r="B63" s="9">
        <v>921700</v>
      </c>
    </row>
    <row r="64" spans="1:2" x14ac:dyDescent="0.25">
      <c r="A64" s="7" t="s">
        <v>390</v>
      </c>
      <c r="B64" s="9">
        <v>10459619.99</v>
      </c>
    </row>
    <row r="65" spans="1:2" x14ac:dyDescent="0.25">
      <c r="A65" s="7" t="s">
        <v>49</v>
      </c>
      <c r="B65" s="9">
        <v>11798199.99</v>
      </c>
    </row>
    <row r="66" spans="1:2" x14ac:dyDescent="0.25">
      <c r="A66" s="7" t="s">
        <v>298</v>
      </c>
      <c r="B66" s="9">
        <v>4155000</v>
      </c>
    </row>
    <row r="67" spans="1:2" x14ac:dyDescent="0.25">
      <c r="A67" s="7" t="s">
        <v>90</v>
      </c>
      <c r="B67" s="9">
        <v>547200</v>
      </c>
    </row>
    <row r="68" spans="1:2" x14ac:dyDescent="0.25">
      <c r="A68" s="7" t="s">
        <v>648</v>
      </c>
      <c r="B68" s="9">
        <v>1590000</v>
      </c>
    </row>
    <row r="69" spans="1:2" x14ac:dyDescent="0.25">
      <c r="A69" s="7" t="s">
        <v>132</v>
      </c>
      <c r="B69" s="9">
        <v>2979999.99</v>
      </c>
    </row>
    <row r="70" spans="1:2" x14ac:dyDescent="0.25">
      <c r="A70" s="7" t="s">
        <v>534</v>
      </c>
      <c r="B70" s="9">
        <v>5999999.8600000003</v>
      </c>
    </row>
    <row r="71" spans="1:2" x14ac:dyDescent="0.25">
      <c r="A71" s="7" t="s">
        <v>541</v>
      </c>
      <c r="B71" s="9">
        <v>495000</v>
      </c>
    </row>
    <row r="72" spans="1:2" x14ac:dyDescent="0.25">
      <c r="A72" s="7" t="s">
        <v>113</v>
      </c>
      <c r="B72" s="9">
        <v>4728000</v>
      </c>
    </row>
    <row r="73" spans="1:2" x14ac:dyDescent="0.25">
      <c r="A73" s="7" t="s">
        <v>460</v>
      </c>
      <c r="B73" s="9">
        <v>2462400</v>
      </c>
    </row>
    <row r="74" spans="1:2" x14ac:dyDescent="0.25">
      <c r="A74" s="7" t="s">
        <v>709</v>
      </c>
      <c r="B74" s="9">
        <v>550000.01</v>
      </c>
    </row>
    <row r="75" spans="1:2" x14ac:dyDescent="0.25">
      <c r="A75" s="6" t="s">
        <v>170</v>
      </c>
      <c r="B75" s="9">
        <v>2000000.58</v>
      </c>
    </row>
    <row r="76" spans="1:2" x14ac:dyDescent="0.25">
      <c r="A76" s="7" t="s">
        <v>402</v>
      </c>
      <c r="B76" s="9">
        <v>2000000.58</v>
      </c>
    </row>
    <row r="77" spans="1:2" x14ac:dyDescent="0.25">
      <c r="A77" s="6" t="s">
        <v>220</v>
      </c>
      <c r="B77" s="9">
        <v>4363444.1399999997</v>
      </c>
    </row>
    <row r="78" spans="1:2" x14ac:dyDescent="0.25">
      <c r="A78" s="7" t="s">
        <v>607</v>
      </c>
      <c r="B78" s="9">
        <v>3866719.1399999997</v>
      </c>
    </row>
    <row r="79" spans="1:2" x14ac:dyDescent="0.25">
      <c r="A79" s="7" t="s">
        <v>219</v>
      </c>
      <c r="B79" s="9">
        <v>496725</v>
      </c>
    </row>
    <row r="80" spans="1:2" x14ac:dyDescent="0.25">
      <c r="A80" s="6" t="s">
        <v>654</v>
      </c>
      <c r="B80" s="9">
        <v>5564450</v>
      </c>
    </row>
    <row r="81" spans="1:2" x14ac:dyDescent="0.25">
      <c r="A81" s="7" t="s">
        <v>653</v>
      </c>
      <c r="B81" s="9">
        <v>5564450</v>
      </c>
    </row>
    <row r="82" spans="1:2" x14ac:dyDescent="0.25">
      <c r="A82" s="6" t="s">
        <v>328</v>
      </c>
      <c r="B82" s="9">
        <v>51358200</v>
      </c>
    </row>
    <row r="83" spans="1:2" x14ac:dyDescent="0.25">
      <c r="A83" s="7" t="s">
        <v>327</v>
      </c>
      <c r="B83" s="9">
        <v>51358200</v>
      </c>
    </row>
    <row r="84" spans="1:2" x14ac:dyDescent="0.25">
      <c r="A84" s="6" t="s">
        <v>213</v>
      </c>
      <c r="B84" s="9">
        <v>11048199.949999999</v>
      </c>
    </row>
    <row r="85" spans="1:2" x14ac:dyDescent="0.25">
      <c r="A85" s="7" t="s">
        <v>376</v>
      </c>
      <c r="B85" s="9">
        <v>3103999.98</v>
      </c>
    </row>
    <row r="86" spans="1:2" x14ac:dyDescent="0.25">
      <c r="A86" s="7" t="s">
        <v>432</v>
      </c>
      <c r="B86" s="9">
        <v>4129200</v>
      </c>
    </row>
    <row r="87" spans="1:2" x14ac:dyDescent="0.25">
      <c r="A87" s="7" t="s">
        <v>270</v>
      </c>
      <c r="B87" s="9">
        <v>2402399.9699999997</v>
      </c>
    </row>
    <row r="88" spans="1:2" x14ac:dyDescent="0.25">
      <c r="A88" s="7" t="s">
        <v>331</v>
      </c>
      <c r="B88" s="9">
        <v>1412600</v>
      </c>
    </row>
    <row r="89" spans="1:2" x14ac:dyDescent="0.25">
      <c r="A89" s="6" t="s">
        <v>105</v>
      </c>
      <c r="B89" s="9">
        <v>10344880</v>
      </c>
    </row>
    <row r="90" spans="1:2" x14ac:dyDescent="0.25">
      <c r="A90" s="7" t="s">
        <v>104</v>
      </c>
      <c r="B90" s="9">
        <v>4937280</v>
      </c>
    </row>
    <row r="91" spans="1:2" x14ac:dyDescent="0.25">
      <c r="A91" s="7" t="s">
        <v>337</v>
      </c>
      <c r="B91" s="9">
        <v>320500</v>
      </c>
    </row>
    <row r="92" spans="1:2" x14ac:dyDescent="0.25">
      <c r="A92" s="7" t="s">
        <v>284</v>
      </c>
      <c r="B92" s="9">
        <v>2850480</v>
      </c>
    </row>
    <row r="93" spans="1:2" x14ac:dyDescent="0.25">
      <c r="A93" s="7" t="s">
        <v>335</v>
      </c>
      <c r="B93" s="9">
        <v>673740</v>
      </c>
    </row>
    <row r="94" spans="1:2" x14ac:dyDescent="0.25">
      <c r="A94" s="7" t="s">
        <v>434</v>
      </c>
      <c r="B94" s="9">
        <v>1562880</v>
      </c>
    </row>
    <row r="95" spans="1:2" x14ac:dyDescent="0.25">
      <c r="A95" s="6" t="s">
        <v>200</v>
      </c>
      <c r="B95" s="9">
        <v>131795592.20999999</v>
      </c>
    </row>
    <row r="96" spans="1:2" x14ac:dyDescent="0.25">
      <c r="A96" s="7" t="s">
        <v>217</v>
      </c>
      <c r="B96" s="9">
        <v>770400.03</v>
      </c>
    </row>
    <row r="97" spans="1:2" x14ac:dyDescent="0.25">
      <c r="A97" s="7" t="s">
        <v>315</v>
      </c>
      <c r="B97" s="9">
        <v>417599.9</v>
      </c>
    </row>
    <row r="98" spans="1:2" x14ac:dyDescent="0.25">
      <c r="A98" s="7" t="s">
        <v>427</v>
      </c>
      <c r="B98" s="9">
        <v>3437059.9299999997</v>
      </c>
    </row>
    <row r="99" spans="1:2" x14ac:dyDescent="0.25">
      <c r="A99" s="7" t="s">
        <v>263</v>
      </c>
      <c r="B99" s="9">
        <v>1792799.94</v>
      </c>
    </row>
    <row r="100" spans="1:2" x14ac:dyDescent="0.25">
      <c r="A100" s="7" t="s">
        <v>199</v>
      </c>
      <c r="B100" s="9">
        <v>110636999.03</v>
      </c>
    </row>
    <row r="101" spans="1:2" x14ac:dyDescent="0.25">
      <c r="A101" s="7" t="s">
        <v>228</v>
      </c>
      <c r="B101" s="9">
        <v>4525147.93</v>
      </c>
    </row>
    <row r="102" spans="1:2" x14ac:dyDescent="0.25">
      <c r="A102" s="7" t="s">
        <v>422</v>
      </c>
      <c r="B102" s="9">
        <v>3676800.05</v>
      </c>
    </row>
    <row r="103" spans="1:2" x14ac:dyDescent="0.25">
      <c r="A103" s="7" t="s">
        <v>319</v>
      </c>
      <c r="B103" s="9">
        <v>3761400.0300000003</v>
      </c>
    </row>
    <row r="104" spans="1:2" x14ac:dyDescent="0.25">
      <c r="A104" s="7" t="s">
        <v>456</v>
      </c>
      <c r="B104" s="9">
        <v>2777385.37</v>
      </c>
    </row>
    <row r="105" spans="1:2" x14ac:dyDescent="0.25">
      <c r="A105" s="6" t="s">
        <v>131</v>
      </c>
      <c r="B105" s="9">
        <v>23411984.129999999</v>
      </c>
    </row>
    <row r="106" spans="1:2" x14ac:dyDescent="0.25">
      <c r="A106" s="7" t="s">
        <v>359</v>
      </c>
      <c r="B106" s="9">
        <v>1052280</v>
      </c>
    </row>
    <row r="107" spans="1:2" x14ac:dyDescent="0.25">
      <c r="A107" s="7" t="s">
        <v>284</v>
      </c>
      <c r="B107" s="9">
        <v>2135000</v>
      </c>
    </row>
    <row r="108" spans="1:2" x14ac:dyDescent="0.25">
      <c r="A108" s="7" t="s">
        <v>293</v>
      </c>
      <c r="B108" s="9">
        <v>327450</v>
      </c>
    </row>
    <row r="109" spans="1:2" x14ac:dyDescent="0.25">
      <c r="A109" s="7" t="s">
        <v>442</v>
      </c>
      <c r="B109" s="9">
        <v>463425</v>
      </c>
    </row>
    <row r="110" spans="1:2" x14ac:dyDescent="0.25">
      <c r="A110" s="7" t="s">
        <v>366</v>
      </c>
      <c r="B110" s="10">
        <v>196470</v>
      </c>
    </row>
    <row r="111" spans="1:2" x14ac:dyDescent="0.25">
      <c r="A111" s="7" t="s">
        <v>281</v>
      </c>
      <c r="B111" s="9">
        <v>2750800.24</v>
      </c>
    </row>
    <row r="112" spans="1:2" x14ac:dyDescent="0.25">
      <c r="A112" s="7" t="s">
        <v>484</v>
      </c>
      <c r="B112" s="10">
        <v>254079</v>
      </c>
    </row>
    <row r="113" spans="1:2" x14ac:dyDescent="0.25">
      <c r="A113" s="7" t="s">
        <v>286</v>
      </c>
      <c r="B113" s="9">
        <v>6989999.8800000008</v>
      </c>
    </row>
    <row r="114" spans="1:2" x14ac:dyDescent="0.25">
      <c r="A114" s="7" t="s">
        <v>231</v>
      </c>
      <c r="B114" s="9">
        <v>1091780</v>
      </c>
    </row>
    <row r="115" spans="1:2" x14ac:dyDescent="0.25">
      <c r="A115" s="7" t="s">
        <v>410</v>
      </c>
      <c r="B115" s="9">
        <v>654900</v>
      </c>
    </row>
    <row r="116" spans="1:2" x14ac:dyDescent="0.25">
      <c r="A116" s="7" t="s">
        <v>178</v>
      </c>
      <c r="B116" s="9">
        <v>5490000.0199999996</v>
      </c>
    </row>
    <row r="117" spans="1:2" x14ac:dyDescent="0.25">
      <c r="A117" s="7" t="s">
        <v>130</v>
      </c>
      <c r="B117" s="9">
        <v>1309800</v>
      </c>
    </row>
    <row r="118" spans="1:2" x14ac:dyDescent="0.25">
      <c r="A118" s="7" t="s">
        <v>737</v>
      </c>
      <c r="B118" s="9">
        <v>539999.99</v>
      </c>
    </row>
    <row r="119" spans="1:2" x14ac:dyDescent="0.25">
      <c r="A119" s="7" t="s">
        <v>574</v>
      </c>
      <c r="B119" s="10">
        <v>156000</v>
      </c>
    </row>
    <row r="120" spans="1:2" x14ac:dyDescent="0.25">
      <c r="A120" s="6" t="s">
        <v>54</v>
      </c>
      <c r="B120" s="9">
        <v>29138707.91</v>
      </c>
    </row>
    <row r="121" spans="1:2" x14ac:dyDescent="0.25">
      <c r="A121" s="7" t="s">
        <v>267</v>
      </c>
      <c r="B121" s="9">
        <v>1322750</v>
      </c>
    </row>
    <row r="122" spans="1:2" x14ac:dyDescent="0.25">
      <c r="A122" s="7" t="s">
        <v>189</v>
      </c>
      <c r="B122" s="9">
        <v>1139999.99</v>
      </c>
    </row>
    <row r="123" spans="1:2" x14ac:dyDescent="0.25">
      <c r="A123" s="7" t="s">
        <v>698</v>
      </c>
      <c r="B123" s="9">
        <v>1059999.99</v>
      </c>
    </row>
    <row r="124" spans="1:2" x14ac:dyDescent="0.25">
      <c r="A124" s="7" t="s">
        <v>382</v>
      </c>
      <c r="B124" s="10">
        <v>241499.99</v>
      </c>
    </row>
    <row r="125" spans="1:2" x14ac:dyDescent="0.25">
      <c r="A125" s="7" t="s">
        <v>172</v>
      </c>
      <c r="B125" s="9">
        <v>975000</v>
      </c>
    </row>
    <row r="126" spans="1:2" x14ac:dyDescent="0.25">
      <c r="A126" s="7" t="s">
        <v>139</v>
      </c>
      <c r="B126" s="9">
        <v>654900</v>
      </c>
    </row>
    <row r="127" spans="1:2" x14ac:dyDescent="0.25">
      <c r="A127" s="7" t="s">
        <v>53</v>
      </c>
      <c r="B127" s="9">
        <v>1120000</v>
      </c>
    </row>
    <row r="128" spans="1:2" x14ac:dyDescent="0.25">
      <c r="A128" s="7" t="s">
        <v>65</v>
      </c>
      <c r="B128" s="9">
        <v>910000</v>
      </c>
    </row>
    <row r="129" spans="1:2" x14ac:dyDescent="0.25">
      <c r="A129" s="7" t="s">
        <v>462</v>
      </c>
      <c r="B129" s="9">
        <v>2139858</v>
      </c>
    </row>
    <row r="130" spans="1:2" x14ac:dyDescent="0.25">
      <c r="A130" s="7" t="s">
        <v>439</v>
      </c>
      <c r="B130" s="9">
        <v>5881800</v>
      </c>
    </row>
    <row r="131" spans="1:2" x14ac:dyDescent="0.25">
      <c r="A131" s="7" t="s">
        <v>154</v>
      </c>
      <c r="B131" s="9">
        <v>7400000</v>
      </c>
    </row>
    <row r="132" spans="1:2" x14ac:dyDescent="0.25">
      <c r="A132" s="7" t="s">
        <v>193</v>
      </c>
      <c r="B132" s="9">
        <v>1535000</v>
      </c>
    </row>
    <row r="133" spans="1:2" x14ac:dyDescent="0.25">
      <c r="A133" s="7" t="s">
        <v>445</v>
      </c>
      <c r="B133" s="9">
        <v>560000</v>
      </c>
    </row>
    <row r="134" spans="1:2" x14ac:dyDescent="0.25">
      <c r="A134" s="7" t="s">
        <v>185</v>
      </c>
      <c r="B134" s="9">
        <v>1500000</v>
      </c>
    </row>
    <row r="135" spans="1:2" x14ac:dyDescent="0.25">
      <c r="A135" s="7" t="s">
        <v>260</v>
      </c>
      <c r="B135" s="9">
        <v>2697899.94</v>
      </c>
    </row>
    <row r="136" spans="1:2" x14ac:dyDescent="0.25">
      <c r="A136" s="6" t="s">
        <v>21</v>
      </c>
      <c r="B136" s="9">
        <v>39733930.210000001</v>
      </c>
    </row>
    <row r="137" spans="1:2" x14ac:dyDescent="0.25">
      <c r="A137" s="7" t="s">
        <v>182</v>
      </c>
      <c r="B137" s="9">
        <v>945000</v>
      </c>
    </row>
    <row r="138" spans="1:2" x14ac:dyDescent="0.25">
      <c r="A138" s="7" t="s">
        <v>352</v>
      </c>
      <c r="B138" s="9">
        <v>22005180.09</v>
      </c>
    </row>
    <row r="139" spans="1:2" x14ac:dyDescent="0.25">
      <c r="A139" s="7" t="s">
        <v>416</v>
      </c>
      <c r="B139" s="9">
        <v>2730000.05</v>
      </c>
    </row>
    <row r="140" spans="1:2" x14ac:dyDescent="0.25">
      <c r="A140" s="7" t="s">
        <v>436</v>
      </c>
      <c r="B140" s="9">
        <v>1160000</v>
      </c>
    </row>
    <row r="141" spans="1:2" x14ac:dyDescent="0.25">
      <c r="A141" s="7" t="s">
        <v>19</v>
      </c>
      <c r="B141" s="9">
        <v>2095750</v>
      </c>
    </row>
    <row r="142" spans="1:2" x14ac:dyDescent="0.25">
      <c r="A142" s="7" t="s">
        <v>418</v>
      </c>
      <c r="B142" s="9">
        <v>2328000.0700000003</v>
      </c>
    </row>
    <row r="143" spans="1:2" x14ac:dyDescent="0.25">
      <c r="A143" s="7" t="s">
        <v>425</v>
      </c>
      <c r="B143" s="9">
        <v>570000</v>
      </c>
    </row>
    <row r="144" spans="1:2" x14ac:dyDescent="0.25">
      <c r="A144" s="7" t="s">
        <v>157</v>
      </c>
      <c r="B144" s="9">
        <v>7600000</v>
      </c>
    </row>
    <row r="145" spans="1:2" x14ac:dyDescent="0.25">
      <c r="A145" s="7" t="s">
        <v>152</v>
      </c>
      <c r="B145" s="9">
        <v>300000</v>
      </c>
    </row>
    <row r="146" spans="1:2" x14ac:dyDescent="0.25">
      <c r="A146" s="6" t="s">
        <v>181</v>
      </c>
      <c r="B146" s="9">
        <v>16419999.91</v>
      </c>
    </row>
    <row r="147" spans="1:2" x14ac:dyDescent="0.25">
      <c r="A147" s="7" t="s">
        <v>224</v>
      </c>
      <c r="B147" s="9">
        <v>2719999.73</v>
      </c>
    </row>
    <row r="148" spans="1:2" x14ac:dyDescent="0.25">
      <c r="A148" s="7" t="s">
        <v>180</v>
      </c>
      <c r="B148" s="9">
        <v>13700000.18</v>
      </c>
    </row>
    <row r="149" spans="1:2" x14ac:dyDescent="0.25">
      <c r="A149" s="6" t="s">
        <v>757</v>
      </c>
      <c r="B149" s="9">
        <v>681872439.87</v>
      </c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6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1.5703125" style="1" customWidth="1"/>
    <col min="2" max="2" width="12.140625" style="1" customWidth="1"/>
    <col min="3" max="3" width="18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46188</v>
      </c>
      <c r="B2" s="1">
        <v>46185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46188</v>
      </c>
      <c r="B3" s="1">
        <v>46185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</v>
      </c>
      <c r="K3" s="2" t="s">
        <v>24</v>
      </c>
      <c r="L3" s="3">
        <v>1</v>
      </c>
      <c r="M3" s="11">
        <v>565000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46188</v>
      </c>
      <c r="B4" s="1">
        <v>46185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32</v>
      </c>
      <c r="H4" s="2" t="s">
        <v>33</v>
      </c>
      <c r="I4" s="2" t="s">
        <v>34</v>
      </c>
      <c r="J4" s="3">
        <v>4</v>
      </c>
      <c r="K4" s="2" t="s">
        <v>24</v>
      </c>
      <c r="L4" s="3">
        <v>4</v>
      </c>
      <c r="M4" s="11">
        <v>1140000.01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46188</v>
      </c>
      <c r="B5" s="1">
        <v>46185</v>
      </c>
      <c r="C5" s="2" t="s">
        <v>36</v>
      </c>
      <c r="D5" s="2" t="s">
        <v>18</v>
      </c>
      <c r="E5" s="2" t="s">
        <v>37</v>
      </c>
      <c r="F5" s="2" t="s">
        <v>20</v>
      </c>
      <c r="G5" s="2" t="s">
        <v>38</v>
      </c>
      <c r="H5" s="2" t="s">
        <v>39</v>
      </c>
      <c r="I5" s="2" t="s">
        <v>40</v>
      </c>
      <c r="J5" s="3">
        <v>3</v>
      </c>
      <c r="K5" s="2" t="s">
        <v>41</v>
      </c>
      <c r="L5" s="3">
        <v>3</v>
      </c>
      <c r="M5" s="11">
        <v>139860</v>
      </c>
      <c r="N5" s="3">
        <v>0</v>
      </c>
      <c r="O5" s="2" t="s">
        <v>25</v>
      </c>
      <c r="P5" s="2" t="s">
        <v>26</v>
      </c>
      <c r="Q5" s="2" t="s">
        <v>42</v>
      </c>
    </row>
    <row r="6" spans="1:17" x14ac:dyDescent="0.25">
      <c r="A6" s="1">
        <v>46188</v>
      </c>
      <c r="B6" s="1">
        <v>46185</v>
      </c>
      <c r="C6" s="2" t="s">
        <v>36</v>
      </c>
      <c r="D6" s="2" t="s">
        <v>18</v>
      </c>
      <c r="E6" s="2" t="s">
        <v>37</v>
      </c>
      <c r="F6" s="2" t="s">
        <v>20</v>
      </c>
      <c r="G6" s="2" t="s">
        <v>38</v>
      </c>
      <c r="H6" s="2" t="s">
        <v>43</v>
      </c>
      <c r="I6" s="2" t="s">
        <v>44</v>
      </c>
      <c r="J6" s="3">
        <v>3</v>
      </c>
      <c r="K6" s="2" t="s">
        <v>41</v>
      </c>
      <c r="L6" s="3">
        <v>3</v>
      </c>
      <c r="M6" s="11">
        <v>139860</v>
      </c>
      <c r="N6" s="3">
        <v>0</v>
      </c>
      <c r="O6" s="2" t="s">
        <v>25</v>
      </c>
      <c r="P6" s="2" t="s">
        <v>26</v>
      </c>
      <c r="Q6" s="2" t="s">
        <v>42</v>
      </c>
    </row>
    <row r="7" spans="1:17" x14ac:dyDescent="0.25">
      <c r="A7" s="1">
        <v>46188</v>
      </c>
      <c r="B7" s="1">
        <v>46185</v>
      </c>
      <c r="C7" s="2" t="s">
        <v>45</v>
      </c>
      <c r="D7" s="2" t="s">
        <v>18</v>
      </c>
      <c r="E7" s="2" t="s">
        <v>46</v>
      </c>
      <c r="F7" s="2" t="s">
        <v>20</v>
      </c>
      <c r="G7" s="2" t="s">
        <v>47</v>
      </c>
      <c r="H7" s="2" t="s">
        <v>22</v>
      </c>
      <c r="I7" s="2" t="s">
        <v>23</v>
      </c>
      <c r="J7" s="3">
        <v>6</v>
      </c>
      <c r="K7" s="2" t="s">
        <v>24</v>
      </c>
      <c r="L7" s="3">
        <v>6</v>
      </c>
      <c r="M7" s="11">
        <v>1964700</v>
      </c>
      <c r="N7" s="3">
        <v>0</v>
      </c>
      <c r="O7" s="2" t="s">
        <v>25</v>
      </c>
      <c r="P7" s="2" t="s">
        <v>26</v>
      </c>
      <c r="Q7" s="2" t="s">
        <v>48</v>
      </c>
    </row>
    <row r="8" spans="1:17" x14ac:dyDescent="0.25">
      <c r="A8" s="1">
        <v>46188</v>
      </c>
      <c r="B8" s="1">
        <v>46185</v>
      </c>
      <c r="C8" s="2" t="s">
        <v>52</v>
      </c>
      <c r="D8" s="2" t="s">
        <v>18</v>
      </c>
      <c r="E8" s="2" t="s">
        <v>53</v>
      </c>
      <c r="F8" s="2" t="s">
        <v>20</v>
      </c>
      <c r="G8" s="2" t="s">
        <v>54</v>
      </c>
      <c r="H8" s="2" t="s">
        <v>22</v>
      </c>
      <c r="I8" s="2" t="s">
        <v>23</v>
      </c>
      <c r="J8" s="3">
        <v>4</v>
      </c>
      <c r="K8" s="2" t="s">
        <v>24</v>
      </c>
      <c r="L8" s="3">
        <v>4</v>
      </c>
      <c r="M8" s="11">
        <v>1120000</v>
      </c>
      <c r="N8" s="3">
        <v>0</v>
      </c>
      <c r="O8" s="2" t="s">
        <v>25</v>
      </c>
      <c r="P8" s="2" t="s">
        <v>26</v>
      </c>
      <c r="Q8" s="2" t="s">
        <v>55</v>
      </c>
    </row>
    <row r="9" spans="1:17" x14ac:dyDescent="0.25">
      <c r="A9" s="1">
        <v>46188</v>
      </c>
      <c r="B9" s="1">
        <v>46185</v>
      </c>
      <c r="C9" s="2" t="s">
        <v>56</v>
      </c>
      <c r="D9" s="2" t="s">
        <v>18</v>
      </c>
      <c r="E9" s="2" t="s">
        <v>57</v>
      </c>
      <c r="F9" s="2" t="s">
        <v>20</v>
      </c>
      <c r="G9" s="2" t="s">
        <v>47</v>
      </c>
      <c r="H9" s="2" t="s">
        <v>22</v>
      </c>
      <c r="I9" s="2" t="s">
        <v>23</v>
      </c>
      <c r="J9" s="3">
        <v>1</v>
      </c>
      <c r="K9" s="2" t="s">
        <v>24</v>
      </c>
      <c r="L9" s="3">
        <v>1</v>
      </c>
      <c r="M9" s="11">
        <v>290000</v>
      </c>
      <c r="N9" s="3">
        <v>0</v>
      </c>
      <c r="O9" s="2" t="s">
        <v>25</v>
      </c>
      <c r="P9" s="2" t="s">
        <v>26</v>
      </c>
      <c r="Q9" s="2" t="s">
        <v>42</v>
      </c>
    </row>
    <row r="10" spans="1:17" x14ac:dyDescent="0.25">
      <c r="A10" s="1">
        <v>46188</v>
      </c>
      <c r="B10" s="1">
        <v>46185</v>
      </c>
      <c r="C10" s="2" t="s">
        <v>58</v>
      </c>
      <c r="D10" s="2" t="s">
        <v>18</v>
      </c>
      <c r="E10" s="2" t="s">
        <v>59</v>
      </c>
      <c r="F10" s="2" t="s">
        <v>20</v>
      </c>
      <c r="G10" s="2" t="s">
        <v>50</v>
      </c>
      <c r="H10" s="2" t="s">
        <v>28</v>
      </c>
      <c r="I10" s="2" t="s">
        <v>29</v>
      </c>
      <c r="J10" s="3">
        <v>1</v>
      </c>
      <c r="K10" s="2" t="s">
        <v>24</v>
      </c>
      <c r="L10" s="3">
        <v>1</v>
      </c>
      <c r="M10" s="11">
        <v>577200</v>
      </c>
      <c r="N10" s="3">
        <v>0</v>
      </c>
      <c r="O10" s="2" t="s">
        <v>25</v>
      </c>
      <c r="P10" s="2" t="s">
        <v>26</v>
      </c>
      <c r="Q10" s="2" t="s">
        <v>42</v>
      </c>
    </row>
    <row r="11" spans="1:17" x14ac:dyDescent="0.25">
      <c r="A11" s="1">
        <v>46188</v>
      </c>
      <c r="B11" s="1">
        <v>46185</v>
      </c>
      <c r="C11" s="2" t="s">
        <v>60</v>
      </c>
      <c r="D11" s="2" t="s">
        <v>18</v>
      </c>
      <c r="E11" s="2" t="s">
        <v>61</v>
      </c>
      <c r="F11" s="2" t="s">
        <v>20</v>
      </c>
      <c r="G11" s="2" t="s">
        <v>62</v>
      </c>
      <c r="H11" s="2" t="s">
        <v>22</v>
      </c>
      <c r="I11" s="2" t="s">
        <v>23</v>
      </c>
      <c r="J11" s="3">
        <v>8</v>
      </c>
      <c r="K11" s="2" t="s">
        <v>24</v>
      </c>
      <c r="L11" s="3">
        <v>8</v>
      </c>
      <c r="M11" s="11">
        <v>2480000</v>
      </c>
      <c r="N11" s="3">
        <v>0</v>
      </c>
      <c r="O11" s="2" t="s">
        <v>25</v>
      </c>
      <c r="P11" s="2" t="s">
        <v>26</v>
      </c>
      <c r="Q11" s="2" t="s">
        <v>42</v>
      </c>
    </row>
    <row r="12" spans="1:17" x14ac:dyDescent="0.25">
      <c r="A12" s="1">
        <v>46188</v>
      </c>
      <c r="B12" s="1">
        <v>46185</v>
      </c>
      <c r="C12" s="2" t="s">
        <v>63</v>
      </c>
      <c r="D12" s="2" t="s">
        <v>18</v>
      </c>
      <c r="E12" s="2" t="s">
        <v>61</v>
      </c>
      <c r="F12" s="2" t="s">
        <v>20</v>
      </c>
      <c r="G12" s="2" t="s">
        <v>62</v>
      </c>
      <c r="H12" s="2" t="s">
        <v>22</v>
      </c>
      <c r="I12" s="2" t="s">
        <v>23</v>
      </c>
      <c r="J12" s="3">
        <v>2</v>
      </c>
      <c r="K12" s="2" t="s">
        <v>24</v>
      </c>
      <c r="L12" s="3">
        <v>2</v>
      </c>
      <c r="M12" s="11">
        <v>620000</v>
      </c>
      <c r="N12" s="3">
        <v>0</v>
      </c>
      <c r="O12" s="2" t="s">
        <v>25</v>
      </c>
      <c r="P12" s="2" t="s">
        <v>26</v>
      </c>
      <c r="Q12" s="2" t="s">
        <v>42</v>
      </c>
    </row>
    <row r="13" spans="1:17" x14ac:dyDescent="0.25">
      <c r="A13" s="1">
        <v>46188</v>
      </c>
      <c r="B13" s="1">
        <v>46185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54</v>
      </c>
      <c r="H13" s="2" t="s">
        <v>66</v>
      </c>
      <c r="I13" s="2" t="s">
        <v>67</v>
      </c>
      <c r="J13" s="3">
        <v>2</v>
      </c>
      <c r="K13" s="2" t="s">
        <v>24</v>
      </c>
      <c r="L13" s="3">
        <v>2</v>
      </c>
      <c r="M13" s="11">
        <v>610000</v>
      </c>
      <c r="N13" s="3">
        <v>0</v>
      </c>
      <c r="O13" s="2" t="s">
        <v>25</v>
      </c>
      <c r="P13" s="2" t="s">
        <v>26</v>
      </c>
      <c r="Q13" s="2" t="s">
        <v>68</v>
      </c>
    </row>
    <row r="14" spans="1:17" x14ac:dyDescent="0.25">
      <c r="A14" s="1">
        <v>46188</v>
      </c>
      <c r="B14" s="1">
        <v>46185</v>
      </c>
      <c r="C14" s="2" t="s">
        <v>64</v>
      </c>
      <c r="D14" s="2" t="s">
        <v>18</v>
      </c>
      <c r="E14" s="2" t="s">
        <v>65</v>
      </c>
      <c r="F14" s="2" t="s">
        <v>20</v>
      </c>
      <c r="G14" s="2" t="s">
        <v>54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11">
        <v>300000</v>
      </c>
      <c r="N14" s="3">
        <v>0</v>
      </c>
      <c r="O14" s="2" t="s">
        <v>25</v>
      </c>
      <c r="P14" s="2" t="s">
        <v>26</v>
      </c>
      <c r="Q14" s="2" t="s">
        <v>68</v>
      </c>
    </row>
    <row r="15" spans="1:17" x14ac:dyDescent="0.25">
      <c r="A15" s="1">
        <v>46188</v>
      </c>
      <c r="B15" s="1">
        <v>46185</v>
      </c>
      <c r="C15" s="2" t="s">
        <v>69</v>
      </c>
      <c r="D15" s="2" t="s">
        <v>18</v>
      </c>
      <c r="E15" s="2" t="s">
        <v>61</v>
      </c>
      <c r="F15" s="2" t="s">
        <v>20</v>
      </c>
      <c r="G15" s="2" t="s">
        <v>62</v>
      </c>
      <c r="H15" s="2" t="s">
        <v>70</v>
      </c>
      <c r="I15" s="2" t="s">
        <v>71</v>
      </c>
      <c r="J15" s="3">
        <v>15</v>
      </c>
      <c r="K15" s="2" t="s">
        <v>51</v>
      </c>
      <c r="L15" s="3">
        <v>14.89</v>
      </c>
      <c r="M15" s="11">
        <v>2010150</v>
      </c>
      <c r="N15" s="3">
        <v>-0.11</v>
      </c>
      <c r="O15" s="2" t="s">
        <v>25</v>
      </c>
      <c r="P15" s="2" t="s">
        <v>26</v>
      </c>
      <c r="Q15" s="2" t="s">
        <v>42</v>
      </c>
    </row>
    <row r="16" spans="1:17" x14ac:dyDescent="0.25">
      <c r="A16" s="1">
        <v>46188</v>
      </c>
      <c r="B16" s="1">
        <v>46185</v>
      </c>
      <c r="C16" s="2" t="s">
        <v>72</v>
      </c>
      <c r="D16" s="2" t="s">
        <v>18</v>
      </c>
      <c r="E16" s="2" t="s">
        <v>73</v>
      </c>
      <c r="F16" s="2" t="s">
        <v>20</v>
      </c>
      <c r="G16" s="2" t="s">
        <v>50</v>
      </c>
      <c r="H16" s="2" t="s">
        <v>74</v>
      </c>
      <c r="I16" s="2" t="s">
        <v>75</v>
      </c>
      <c r="J16" s="3">
        <v>20</v>
      </c>
      <c r="K16" s="2" t="s">
        <v>51</v>
      </c>
      <c r="L16" s="3">
        <v>20</v>
      </c>
      <c r="M16" s="11">
        <v>2100000</v>
      </c>
      <c r="N16" s="3">
        <v>0</v>
      </c>
      <c r="O16" s="2" t="s">
        <v>25</v>
      </c>
      <c r="P16" s="2" t="s">
        <v>26</v>
      </c>
      <c r="Q16" s="2" t="s">
        <v>42</v>
      </c>
    </row>
    <row r="17" spans="1:17" x14ac:dyDescent="0.25">
      <c r="A17" s="1">
        <v>46188</v>
      </c>
      <c r="B17" s="1">
        <v>46185</v>
      </c>
      <c r="C17" s="2" t="s">
        <v>76</v>
      </c>
      <c r="D17" s="2" t="s">
        <v>18</v>
      </c>
      <c r="E17" s="2" t="s">
        <v>73</v>
      </c>
      <c r="F17" s="2" t="s">
        <v>20</v>
      </c>
      <c r="G17" s="2" t="s">
        <v>50</v>
      </c>
      <c r="H17" s="2" t="s">
        <v>22</v>
      </c>
      <c r="I17" s="2" t="s">
        <v>23</v>
      </c>
      <c r="J17" s="3">
        <v>10</v>
      </c>
      <c r="K17" s="2" t="s">
        <v>24</v>
      </c>
      <c r="L17" s="3">
        <v>10</v>
      </c>
      <c r="M17" s="11">
        <v>2800000</v>
      </c>
      <c r="N17" s="3">
        <v>0</v>
      </c>
      <c r="O17" s="2" t="s">
        <v>25</v>
      </c>
      <c r="P17" s="2" t="s">
        <v>26</v>
      </c>
      <c r="Q17" s="2" t="s">
        <v>42</v>
      </c>
    </row>
    <row r="18" spans="1:17" x14ac:dyDescent="0.25">
      <c r="A18" s="1">
        <v>46188</v>
      </c>
      <c r="B18" s="1">
        <v>46185</v>
      </c>
      <c r="C18" s="2" t="s">
        <v>76</v>
      </c>
      <c r="D18" s="2" t="s">
        <v>18</v>
      </c>
      <c r="E18" s="2" t="s">
        <v>73</v>
      </c>
      <c r="F18" s="2" t="s">
        <v>20</v>
      </c>
      <c r="G18" s="2" t="s">
        <v>50</v>
      </c>
      <c r="H18" s="2" t="s">
        <v>77</v>
      </c>
      <c r="I18" s="2" t="s">
        <v>78</v>
      </c>
      <c r="J18" s="3">
        <v>4</v>
      </c>
      <c r="K18" s="2" t="s">
        <v>24</v>
      </c>
      <c r="L18" s="3">
        <v>4</v>
      </c>
      <c r="M18" s="11">
        <v>1120000</v>
      </c>
      <c r="N18" s="3">
        <v>0</v>
      </c>
      <c r="O18" s="2" t="s">
        <v>25</v>
      </c>
      <c r="P18" s="2" t="s">
        <v>26</v>
      </c>
      <c r="Q18" s="2" t="s">
        <v>42</v>
      </c>
    </row>
    <row r="19" spans="1:17" x14ac:dyDescent="0.25">
      <c r="A19" s="1">
        <v>46188</v>
      </c>
      <c r="B19" s="1">
        <v>46185</v>
      </c>
      <c r="C19" s="2" t="s">
        <v>79</v>
      </c>
      <c r="D19" s="2" t="s">
        <v>18</v>
      </c>
      <c r="E19" s="2" t="s">
        <v>73</v>
      </c>
      <c r="F19" s="2" t="s">
        <v>20</v>
      </c>
      <c r="G19" s="2" t="s">
        <v>50</v>
      </c>
      <c r="H19" s="2" t="s">
        <v>80</v>
      </c>
      <c r="I19" s="2" t="s">
        <v>81</v>
      </c>
      <c r="J19" s="3">
        <v>1</v>
      </c>
      <c r="K19" s="2" t="s">
        <v>82</v>
      </c>
      <c r="L19" s="3">
        <v>1</v>
      </c>
      <c r="M19" s="11">
        <v>2400000</v>
      </c>
      <c r="N19" s="3">
        <v>0</v>
      </c>
      <c r="O19" s="2" t="s">
        <v>25</v>
      </c>
      <c r="P19" s="2" t="s">
        <v>26</v>
      </c>
      <c r="Q19" s="2" t="s">
        <v>42</v>
      </c>
    </row>
    <row r="20" spans="1:17" x14ac:dyDescent="0.25">
      <c r="A20" s="1">
        <v>46188</v>
      </c>
      <c r="B20" s="1">
        <v>46185</v>
      </c>
      <c r="C20" s="2" t="s">
        <v>79</v>
      </c>
      <c r="D20" s="2" t="s">
        <v>18</v>
      </c>
      <c r="E20" s="2" t="s">
        <v>73</v>
      </c>
      <c r="F20" s="2" t="s">
        <v>20</v>
      </c>
      <c r="G20" s="2" t="s">
        <v>50</v>
      </c>
      <c r="H20" s="2" t="s">
        <v>83</v>
      </c>
      <c r="I20" s="2" t="s">
        <v>84</v>
      </c>
      <c r="J20" s="3">
        <v>5</v>
      </c>
      <c r="K20" s="2" t="s">
        <v>85</v>
      </c>
      <c r="L20" s="3">
        <v>5</v>
      </c>
      <c r="M20" s="11">
        <v>1200000</v>
      </c>
      <c r="N20" s="3">
        <v>0</v>
      </c>
      <c r="O20" s="2" t="s">
        <v>25</v>
      </c>
      <c r="P20" s="2" t="s">
        <v>26</v>
      </c>
      <c r="Q20" s="2" t="s">
        <v>42</v>
      </c>
    </row>
    <row r="21" spans="1:17" x14ac:dyDescent="0.25">
      <c r="A21" s="1">
        <v>46188</v>
      </c>
      <c r="B21" s="1">
        <v>46185</v>
      </c>
      <c r="C21" s="2" t="s">
        <v>86</v>
      </c>
      <c r="D21" s="2" t="s">
        <v>18</v>
      </c>
      <c r="E21" s="2" t="s">
        <v>73</v>
      </c>
      <c r="F21" s="2" t="s">
        <v>20</v>
      </c>
      <c r="G21" s="2" t="s">
        <v>50</v>
      </c>
      <c r="H21" s="2" t="s">
        <v>87</v>
      </c>
      <c r="I21" s="2" t="s">
        <v>88</v>
      </c>
      <c r="J21" s="3">
        <v>15</v>
      </c>
      <c r="K21" s="2" t="s">
        <v>51</v>
      </c>
      <c r="L21" s="3">
        <v>14.01</v>
      </c>
      <c r="M21" s="11">
        <v>3152250</v>
      </c>
      <c r="N21" s="3">
        <v>-0.99</v>
      </c>
      <c r="O21" s="2" t="s">
        <v>25</v>
      </c>
      <c r="P21" s="2" t="s">
        <v>26</v>
      </c>
      <c r="Q21" s="2" t="s">
        <v>42</v>
      </c>
    </row>
    <row r="22" spans="1:17" x14ac:dyDescent="0.25">
      <c r="A22" s="1">
        <v>46188</v>
      </c>
      <c r="B22" s="1">
        <v>46185</v>
      </c>
      <c r="C22" s="2" t="s">
        <v>89</v>
      </c>
      <c r="D22" s="2" t="s">
        <v>18</v>
      </c>
      <c r="E22" s="2" t="s">
        <v>90</v>
      </c>
      <c r="F22" s="2" t="s">
        <v>20</v>
      </c>
      <c r="G22" s="2" t="s">
        <v>50</v>
      </c>
      <c r="H22" s="2" t="s">
        <v>91</v>
      </c>
      <c r="I22" s="2" t="s">
        <v>92</v>
      </c>
      <c r="J22" s="3">
        <v>3</v>
      </c>
      <c r="K22" s="2" t="s">
        <v>51</v>
      </c>
      <c r="L22" s="3">
        <v>3.42</v>
      </c>
      <c r="M22" s="11">
        <v>547200</v>
      </c>
      <c r="N22" s="3">
        <v>0.42</v>
      </c>
      <c r="O22" s="2" t="s">
        <v>25</v>
      </c>
      <c r="P22" s="2" t="s">
        <v>26</v>
      </c>
      <c r="Q22" s="2" t="s">
        <v>55</v>
      </c>
    </row>
    <row r="23" spans="1:17" x14ac:dyDescent="0.25">
      <c r="A23" s="1">
        <v>46188</v>
      </c>
      <c r="B23" s="1">
        <v>46185</v>
      </c>
      <c r="C23" s="2" t="s">
        <v>93</v>
      </c>
      <c r="D23" s="2" t="s">
        <v>18</v>
      </c>
      <c r="E23" s="2" t="s">
        <v>94</v>
      </c>
      <c r="F23" s="2" t="s">
        <v>20</v>
      </c>
      <c r="G23" s="2" t="s">
        <v>50</v>
      </c>
      <c r="H23" s="2" t="s">
        <v>22</v>
      </c>
      <c r="I23" s="2" t="s">
        <v>23</v>
      </c>
      <c r="J23" s="3">
        <v>2</v>
      </c>
      <c r="K23" s="2" t="s">
        <v>24</v>
      </c>
      <c r="L23" s="3">
        <v>2</v>
      </c>
      <c r="M23" s="11">
        <v>559999.99</v>
      </c>
      <c r="N23" s="3">
        <v>0</v>
      </c>
      <c r="O23" s="2" t="s">
        <v>25</v>
      </c>
      <c r="P23" s="2" t="s">
        <v>26</v>
      </c>
      <c r="Q23" s="2" t="s">
        <v>42</v>
      </c>
    </row>
    <row r="24" spans="1:17" x14ac:dyDescent="0.25">
      <c r="A24" s="1">
        <v>46188</v>
      </c>
      <c r="B24" s="1">
        <v>46185</v>
      </c>
      <c r="C24" s="2" t="s">
        <v>93</v>
      </c>
      <c r="D24" s="2" t="s">
        <v>18</v>
      </c>
      <c r="E24" s="2" t="s">
        <v>94</v>
      </c>
      <c r="F24" s="2" t="s">
        <v>20</v>
      </c>
      <c r="G24" s="2" t="s">
        <v>50</v>
      </c>
      <c r="H24" s="2" t="s">
        <v>66</v>
      </c>
      <c r="I24" s="2" t="s">
        <v>67</v>
      </c>
      <c r="J24" s="3">
        <v>2</v>
      </c>
      <c r="K24" s="2" t="s">
        <v>24</v>
      </c>
      <c r="L24" s="3">
        <v>2</v>
      </c>
      <c r="M24" s="11">
        <v>580000</v>
      </c>
      <c r="N24" s="3">
        <v>0</v>
      </c>
      <c r="O24" s="2" t="s">
        <v>25</v>
      </c>
      <c r="P24" s="2" t="s">
        <v>26</v>
      </c>
      <c r="Q24" s="2" t="s">
        <v>42</v>
      </c>
    </row>
    <row r="25" spans="1:17" x14ac:dyDescent="0.25">
      <c r="A25" s="1">
        <v>46188</v>
      </c>
      <c r="B25" s="1">
        <v>46185</v>
      </c>
      <c r="C25" s="2" t="s">
        <v>93</v>
      </c>
      <c r="D25" s="2" t="s">
        <v>18</v>
      </c>
      <c r="E25" s="2" t="s">
        <v>94</v>
      </c>
      <c r="F25" s="2" t="s">
        <v>20</v>
      </c>
      <c r="G25" s="2" t="s">
        <v>50</v>
      </c>
      <c r="H25" s="2" t="s">
        <v>77</v>
      </c>
      <c r="I25" s="2" t="s">
        <v>78</v>
      </c>
      <c r="J25" s="3">
        <v>1</v>
      </c>
      <c r="K25" s="2" t="s">
        <v>24</v>
      </c>
      <c r="L25" s="3">
        <v>1</v>
      </c>
      <c r="M25" s="11">
        <v>280000.01</v>
      </c>
      <c r="N25" s="3">
        <v>0</v>
      </c>
      <c r="O25" s="2" t="s">
        <v>25</v>
      </c>
      <c r="P25" s="2" t="s">
        <v>26</v>
      </c>
      <c r="Q25" s="2" t="s">
        <v>42</v>
      </c>
    </row>
    <row r="26" spans="1:17" x14ac:dyDescent="0.25">
      <c r="A26" s="1">
        <v>46188</v>
      </c>
      <c r="B26" s="1">
        <v>46185</v>
      </c>
      <c r="C26" s="2" t="s">
        <v>95</v>
      </c>
      <c r="D26" s="2" t="s">
        <v>18</v>
      </c>
      <c r="E26" s="2" t="s">
        <v>96</v>
      </c>
      <c r="F26" s="2" t="s">
        <v>20</v>
      </c>
      <c r="G26" s="2" t="s">
        <v>50</v>
      </c>
      <c r="H26" s="2" t="s">
        <v>70</v>
      </c>
      <c r="I26" s="2" t="s">
        <v>71</v>
      </c>
      <c r="J26" s="3">
        <v>3</v>
      </c>
      <c r="K26" s="2" t="s">
        <v>51</v>
      </c>
      <c r="L26" s="3">
        <v>2.37</v>
      </c>
      <c r="M26" s="11">
        <v>355500</v>
      </c>
      <c r="N26" s="3">
        <v>-0.63</v>
      </c>
      <c r="O26" s="2" t="s">
        <v>25</v>
      </c>
      <c r="P26" s="2" t="s">
        <v>26</v>
      </c>
      <c r="Q26" s="2" t="s">
        <v>42</v>
      </c>
    </row>
    <row r="27" spans="1:17" x14ac:dyDescent="0.25">
      <c r="A27" s="1">
        <v>46188</v>
      </c>
      <c r="B27" s="1">
        <v>46185</v>
      </c>
      <c r="C27" s="2" t="s">
        <v>97</v>
      </c>
      <c r="D27" s="2" t="s">
        <v>18</v>
      </c>
      <c r="E27" s="2" t="s">
        <v>98</v>
      </c>
      <c r="F27" s="2" t="s">
        <v>20</v>
      </c>
      <c r="G27" s="2" t="s">
        <v>47</v>
      </c>
      <c r="H27" s="2" t="s">
        <v>99</v>
      </c>
      <c r="I27" s="2" t="s">
        <v>100</v>
      </c>
      <c r="J27" s="3">
        <v>4</v>
      </c>
      <c r="K27" s="2" t="s">
        <v>51</v>
      </c>
      <c r="L27" s="3">
        <v>4</v>
      </c>
      <c r="M27" s="11">
        <v>66600</v>
      </c>
      <c r="N27" s="3">
        <v>0</v>
      </c>
      <c r="O27" s="2" t="s">
        <v>25</v>
      </c>
      <c r="P27" s="2" t="s">
        <v>26</v>
      </c>
      <c r="Q27" s="2" t="s">
        <v>42</v>
      </c>
    </row>
    <row r="28" spans="1:17" x14ac:dyDescent="0.25">
      <c r="A28" s="1">
        <v>46188</v>
      </c>
      <c r="B28" s="1">
        <v>46185</v>
      </c>
      <c r="C28" s="2" t="s">
        <v>101</v>
      </c>
      <c r="D28" s="2" t="s">
        <v>18</v>
      </c>
      <c r="E28" s="2" t="s">
        <v>102</v>
      </c>
      <c r="F28" s="2" t="s">
        <v>20</v>
      </c>
      <c r="G28" s="2" t="s">
        <v>47</v>
      </c>
      <c r="H28" s="2" t="s">
        <v>43</v>
      </c>
      <c r="I28" s="2" t="s">
        <v>44</v>
      </c>
      <c r="J28" s="3">
        <v>5</v>
      </c>
      <c r="K28" s="2" t="s">
        <v>41</v>
      </c>
      <c r="L28" s="3">
        <v>5</v>
      </c>
      <c r="M28" s="11">
        <v>227499.99</v>
      </c>
      <c r="N28" s="3">
        <v>0</v>
      </c>
      <c r="O28" s="2" t="s">
        <v>25</v>
      </c>
      <c r="P28" s="2" t="s">
        <v>26</v>
      </c>
      <c r="Q28" s="2" t="s">
        <v>42</v>
      </c>
    </row>
    <row r="29" spans="1:17" x14ac:dyDescent="0.25">
      <c r="A29" s="1">
        <v>46188</v>
      </c>
      <c r="B29" s="1">
        <v>46185</v>
      </c>
      <c r="C29" s="2" t="s">
        <v>103</v>
      </c>
      <c r="D29" s="2" t="s">
        <v>18</v>
      </c>
      <c r="E29" s="2" t="s">
        <v>104</v>
      </c>
      <c r="F29" s="2" t="s">
        <v>20</v>
      </c>
      <c r="G29" s="2" t="s">
        <v>105</v>
      </c>
      <c r="H29" s="2" t="s">
        <v>106</v>
      </c>
      <c r="I29" s="2" t="s">
        <v>107</v>
      </c>
      <c r="J29" s="3">
        <v>24</v>
      </c>
      <c r="K29" s="2" t="s">
        <v>85</v>
      </c>
      <c r="L29" s="3">
        <v>24</v>
      </c>
      <c r="M29" s="11">
        <v>1691640</v>
      </c>
      <c r="N29" s="3">
        <v>0</v>
      </c>
      <c r="O29" s="2" t="s">
        <v>25</v>
      </c>
      <c r="P29" s="2" t="s">
        <v>26</v>
      </c>
      <c r="Q29" s="2" t="s">
        <v>55</v>
      </c>
    </row>
    <row r="30" spans="1:17" x14ac:dyDescent="0.25">
      <c r="A30" s="1">
        <v>46188</v>
      </c>
      <c r="B30" s="1">
        <v>46185</v>
      </c>
      <c r="C30" s="2" t="s">
        <v>103</v>
      </c>
      <c r="D30" s="2" t="s">
        <v>18</v>
      </c>
      <c r="E30" s="2" t="s">
        <v>104</v>
      </c>
      <c r="F30" s="2" t="s">
        <v>20</v>
      </c>
      <c r="G30" s="2" t="s">
        <v>105</v>
      </c>
      <c r="H30" s="2" t="s">
        <v>108</v>
      </c>
      <c r="I30" s="2" t="s">
        <v>109</v>
      </c>
      <c r="J30" s="3">
        <v>24</v>
      </c>
      <c r="K30" s="2" t="s">
        <v>85</v>
      </c>
      <c r="L30" s="3">
        <v>24</v>
      </c>
      <c r="M30" s="11">
        <v>1345320</v>
      </c>
      <c r="N30" s="3">
        <v>0</v>
      </c>
      <c r="O30" s="2" t="s">
        <v>25</v>
      </c>
      <c r="P30" s="2" t="s">
        <v>26</v>
      </c>
      <c r="Q30" s="2" t="s">
        <v>55</v>
      </c>
    </row>
    <row r="31" spans="1:17" x14ac:dyDescent="0.25">
      <c r="A31" s="1">
        <v>46188</v>
      </c>
      <c r="B31" s="1">
        <v>46185</v>
      </c>
      <c r="C31" s="2" t="s">
        <v>103</v>
      </c>
      <c r="D31" s="2" t="s">
        <v>18</v>
      </c>
      <c r="E31" s="2" t="s">
        <v>104</v>
      </c>
      <c r="F31" s="2" t="s">
        <v>20</v>
      </c>
      <c r="G31" s="2" t="s">
        <v>105</v>
      </c>
      <c r="H31" s="2" t="s">
        <v>110</v>
      </c>
      <c r="I31" s="2" t="s">
        <v>111</v>
      </c>
      <c r="J31" s="3">
        <v>16</v>
      </c>
      <c r="K31" s="2" t="s">
        <v>85</v>
      </c>
      <c r="L31" s="3">
        <v>16</v>
      </c>
      <c r="M31" s="11">
        <v>1900320</v>
      </c>
      <c r="N31" s="3">
        <v>0</v>
      </c>
      <c r="O31" s="2" t="s">
        <v>25</v>
      </c>
      <c r="P31" s="2" t="s">
        <v>26</v>
      </c>
      <c r="Q31" s="2" t="s">
        <v>55</v>
      </c>
    </row>
    <row r="32" spans="1:17" x14ac:dyDescent="0.25">
      <c r="A32" s="1">
        <v>46188</v>
      </c>
      <c r="B32" s="1">
        <v>46185</v>
      </c>
      <c r="C32" s="2" t="s">
        <v>112</v>
      </c>
      <c r="D32" s="2" t="s">
        <v>18</v>
      </c>
      <c r="E32" s="2" t="s">
        <v>113</v>
      </c>
      <c r="F32" s="2" t="s">
        <v>20</v>
      </c>
      <c r="G32" s="2" t="s">
        <v>50</v>
      </c>
      <c r="H32" s="2" t="s">
        <v>114</v>
      </c>
      <c r="I32" s="2" t="s">
        <v>115</v>
      </c>
      <c r="J32" s="3">
        <v>8</v>
      </c>
      <c r="K32" s="2" t="s">
        <v>24</v>
      </c>
      <c r="L32" s="3">
        <v>8</v>
      </c>
      <c r="M32" s="11">
        <v>1968000</v>
      </c>
      <c r="N32" s="3">
        <v>0</v>
      </c>
      <c r="O32" s="2" t="s">
        <v>25</v>
      </c>
      <c r="P32" s="2" t="s">
        <v>26</v>
      </c>
      <c r="Q32" s="2" t="s">
        <v>42</v>
      </c>
    </row>
    <row r="33" spans="1:17" x14ac:dyDescent="0.25">
      <c r="A33" s="1">
        <v>46188</v>
      </c>
      <c r="B33" s="1">
        <v>46185</v>
      </c>
      <c r="C33" s="2" t="s">
        <v>116</v>
      </c>
      <c r="D33" s="2" t="s">
        <v>18</v>
      </c>
      <c r="E33" s="2" t="s">
        <v>113</v>
      </c>
      <c r="F33" s="2" t="s">
        <v>20</v>
      </c>
      <c r="G33" s="2" t="s">
        <v>50</v>
      </c>
      <c r="H33" s="2" t="s">
        <v>117</v>
      </c>
      <c r="I33" s="2" t="s">
        <v>118</v>
      </c>
      <c r="J33" s="3">
        <v>23</v>
      </c>
      <c r="K33" s="2" t="s">
        <v>51</v>
      </c>
      <c r="L33" s="3">
        <v>23</v>
      </c>
      <c r="M33" s="11">
        <v>2300000</v>
      </c>
      <c r="N33" s="3">
        <v>0</v>
      </c>
      <c r="O33" s="2" t="s">
        <v>25</v>
      </c>
      <c r="P33" s="2" t="s">
        <v>26</v>
      </c>
      <c r="Q33" s="2" t="s">
        <v>42</v>
      </c>
    </row>
    <row r="34" spans="1:17" x14ac:dyDescent="0.25">
      <c r="A34" s="1">
        <v>46188</v>
      </c>
      <c r="B34" s="1">
        <v>46185</v>
      </c>
      <c r="C34" s="2" t="s">
        <v>119</v>
      </c>
      <c r="D34" s="2" t="s">
        <v>18</v>
      </c>
      <c r="E34" s="2" t="s">
        <v>120</v>
      </c>
      <c r="F34" s="2" t="s">
        <v>20</v>
      </c>
      <c r="G34" s="2" t="s">
        <v>47</v>
      </c>
      <c r="H34" s="2" t="s">
        <v>117</v>
      </c>
      <c r="I34" s="2" t="s">
        <v>118</v>
      </c>
      <c r="J34" s="3">
        <v>4.5</v>
      </c>
      <c r="K34" s="2" t="s">
        <v>51</v>
      </c>
      <c r="L34" s="3">
        <v>4.5999999999999996</v>
      </c>
      <c r="M34" s="11">
        <v>432400.02</v>
      </c>
      <c r="N34" s="3">
        <v>0.1</v>
      </c>
      <c r="O34" s="2" t="s">
        <v>25</v>
      </c>
      <c r="P34" s="2" t="s">
        <v>26</v>
      </c>
      <c r="Q34" s="2" t="s">
        <v>42</v>
      </c>
    </row>
    <row r="35" spans="1:17" x14ac:dyDescent="0.25">
      <c r="A35" s="1">
        <v>46188</v>
      </c>
      <c r="B35" s="1">
        <v>46185</v>
      </c>
      <c r="C35" s="2" t="s">
        <v>121</v>
      </c>
      <c r="D35" s="2" t="s">
        <v>18</v>
      </c>
      <c r="E35" s="2" t="s">
        <v>120</v>
      </c>
      <c r="F35" s="2" t="s">
        <v>20</v>
      </c>
      <c r="G35" s="2" t="s">
        <v>47</v>
      </c>
      <c r="H35" s="2" t="s">
        <v>87</v>
      </c>
      <c r="I35" s="2" t="s">
        <v>88</v>
      </c>
      <c r="J35" s="3">
        <v>2</v>
      </c>
      <c r="K35" s="2" t="s">
        <v>51</v>
      </c>
      <c r="L35" s="3">
        <v>2.31</v>
      </c>
      <c r="M35" s="11">
        <v>554400</v>
      </c>
      <c r="N35" s="3">
        <v>0.31</v>
      </c>
      <c r="O35" s="2" t="s">
        <v>25</v>
      </c>
      <c r="P35" s="2" t="s">
        <v>26</v>
      </c>
      <c r="Q35" s="2" t="s">
        <v>42</v>
      </c>
    </row>
    <row r="36" spans="1:17" x14ac:dyDescent="0.25">
      <c r="A36" s="1">
        <v>46188</v>
      </c>
      <c r="B36" s="1">
        <v>46185</v>
      </c>
      <c r="C36" s="2" t="s">
        <v>121</v>
      </c>
      <c r="D36" s="2" t="s">
        <v>18</v>
      </c>
      <c r="E36" s="2" t="s">
        <v>120</v>
      </c>
      <c r="F36" s="2" t="s">
        <v>20</v>
      </c>
      <c r="G36" s="2" t="s">
        <v>47</v>
      </c>
      <c r="H36" s="2" t="s">
        <v>122</v>
      </c>
      <c r="I36" s="2" t="s">
        <v>123</v>
      </c>
      <c r="J36" s="3">
        <v>2</v>
      </c>
      <c r="K36" s="2" t="s">
        <v>51</v>
      </c>
      <c r="L36" s="3">
        <v>1.74</v>
      </c>
      <c r="M36" s="11">
        <v>330600</v>
      </c>
      <c r="N36" s="3">
        <v>-0.26</v>
      </c>
      <c r="O36" s="2" t="s">
        <v>25</v>
      </c>
      <c r="P36" s="2" t="s">
        <v>26</v>
      </c>
      <c r="Q36" s="2" t="s">
        <v>42</v>
      </c>
    </row>
    <row r="37" spans="1:17" x14ac:dyDescent="0.25">
      <c r="A37" s="1">
        <v>46188</v>
      </c>
      <c r="B37" s="1">
        <v>46185</v>
      </c>
      <c r="C37" s="2" t="s">
        <v>124</v>
      </c>
      <c r="D37" s="2" t="s">
        <v>18</v>
      </c>
      <c r="E37" s="2" t="s">
        <v>120</v>
      </c>
      <c r="F37" s="2" t="s">
        <v>20</v>
      </c>
      <c r="G37" s="2" t="s">
        <v>47</v>
      </c>
      <c r="H37" s="2" t="s">
        <v>87</v>
      </c>
      <c r="I37" s="2" t="s">
        <v>88</v>
      </c>
      <c r="J37" s="3">
        <v>1</v>
      </c>
      <c r="K37" s="2" t="s">
        <v>51</v>
      </c>
      <c r="L37" s="3">
        <v>1.8</v>
      </c>
      <c r="M37" s="11">
        <v>432000</v>
      </c>
      <c r="N37" s="3">
        <v>0.8</v>
      </c>
      <c r="O37" s="2" t="s">
        <v>25</v>
      </c>
      <c r="P37" s="2" t="s">
        <v>26</v>
      </c>
      <c r="Q37" s="2" t="s">
        <v>42</v>
      </c>
    </row>
    <row r="38" spans="1:17" x14ac:dyDescent="0.25">
      <c r="A38" s="1">
        <v>46188</v>
      </c>
      <c r="B38" s="1">
        <v>46185</v>
      </c>
      <c r="C38" s="2" t="s">
        <v>125</v>
      </c>
      <c r="D38" s="2" t="s">
        <v>18</v>
      </c>
      <c r="E38" s="2" t="s">
        <v>126</v>
      </c>
      <c r="F38" s="2" t="s">
        <v>20</v>
      </c>
      <c r="G38" s="2" t="s">
        <v>47</v>
      </c>
      <c r="H38" s="2" t="s">
        <v>43</v>
      </c>
      <c r="I38" s="2" t="s">
        <v>44</v>
      </c>
      <c r="J38" s="3">
        <v>6</v>
      </c>
      <c r="K38" s="2" t="s">
        <v>41</v>
      </c>
      <c r="L38" s="3">
        <v>6</v>
      </c>
      <c r="M38" s="11">
        <v>279720</v>
      </c>
      <c r="N38" s="3">
        <v>0</v>
      </c>
      <c r="O38" s="2" t="s">
        <v>25</v>
      </c>
      <c r="P38" s="2" t="s">
        <v>26</v>
      </c>
      <c r="Q38" s="2" t="s">
        <v>42</v>
      </c>
    </row>
    <row r="39" spans="1:17" x14ac:dyDescent="0.25">
      <c r="A39" s="1">
        <v>46188</v>
      </c>
      <c r="B39" s="1">
        <v>46186</v>
      </c>
      <c r="C39" s="2" t="s">
        <v>127</v>
      </c>
      <c r="D39" s="2" t="s">
        <v>18</v>
      </c>
      <c r="E39" s="2" t="s">
        <v>128</v>
      </c>
      <c r="F39" s="2" t="s">
        <v>20</v>
      </c>
      <c r="G39" s="2" t="s">
        <v>62</v>
      </c>
      <c r="H39" s="2" t="s">
        <v>22</v>
      </c>
      <c r="I39" s="2" t="s">
        <v>23</v>
      </c>
      <c r="J39" s="3">
        <v>1</v>
      </c>
      <c r="K39" s="2" t="s">
        <v>24</v>
      </c>
      <c r="L39" s="3">
        <v>1</v>
      </c>
      <c r="M39" s="11">
        <v>327450</v>
      </c>
      <c r="N39" s="3">
        <v>0</v>
      </c>
      <c r="O39" s="2" t="s">
        <v>25</v>
      </c>
      <c r="P39" s="2" t="s">
        <v>26</v>
      </c>
      <c r="Q39" s="2" t="s">
        <v>129</v>
      </c>
    </row>
    <row r="40" spans="1:17" x14ac:dyDescent="0.25">
      <c r="A40" s="1">
        <v>46188</v>
      </c>
      <c r="B40" s="1">
        <v>46186</v>
      </c>
      <c r="C40" s="2" t="s">
        <v>134</v>
      </c>
      <c r="D40" s="2" t="s">
        <v>18</v>
      </c>
      <c r="E40" s="2" t="s">
        <v>135</v>
      </c>
      <c r="F40" s="2" t="s">
        <v>20</v>
      </c>
      <c r="G40" s="2" t="s">
        <v>62</v>
      </c>
      <c r="H40" s="2" t="s">
        <v>136</v>
      </c>
      <c r="I40" s="2" t="s">
        <v>137</v>
      </c>
      <c r="J40" s="3">
        <v>5</v>
      </c>
      <c r="K40" s="2" t="s">
        <v>51</v>
      </c>
      <c r="L40" s="3">
        <v>5</v>
      </c>
      <c r="M40" s="11">
        <v>625000</v>
      </c>
      <c r="N40" s="3">
        <v>0</v>
      </c>
      <c r="O40" s="2" t="s">
        <v>25</v>
      </c>
      <c r="P40" s="2" t="s">
        <v>26</v>
      </c>
      <c r="Q40" s="2" t="s">
        <v>42</v>
      </c>
    </row>
    <row r="41" spans="1:17" x14ac:dyDescent="0.25">
      <c r="A41" s="1">
        <v>46188</v>
      </c>
      <c r="B41" s="1">
        <v>46186</v>
      </c>
      <c r="C41" s="2" t="s">
        <v>138</v>
      </c>
      <c r="D41" s="2" t="s">
        <v>18</v>
      </c>
      <c r="E41" s="2" t="s">
        <v>139</v>
      </c>
      <c r="F41" s="2" t="s">
        <v>20</v>
      </c>
      <c r="G41" s="2" t="s">
        <v>54</v>
      </c>
      <c r="H41" s="2" t="s">
        <v>22</v>
      </c>
      <c r="I41" s="2" t="s">
        <v>23</v>
      </c>
      <c r="J41" s="3">
        <v>2</v>
      </c>
      <c r="K41" s="2" t="s">
        <v>24</v>
      </c>
      <c r="L41" s="3">
        <v>2</v>
      </c>
      <c r="M41" s="11">
        <v>654900</v>
      </c>
      <c r="N41" s="3">
        <v>0</v>
      </c>
      <c r="O41" s="2" t="s">
        <v>25</v>
      </c>
      <c r="P41" s="2" t="s">
        <v>26</v>
      </c>
      <c r="Q41" s="2" t="s">
        <v>42</v>
      </c>
    </row>
    <row r="42" spans="1:17" x14ac:dyDescent="0.25">
      <c r="A42" s="1">
        <v>46188</v>
      </c>
      <c r="B42" s="1">
        <v>46186</v>
      </c>
      <c r="C42" s="2" t="s">
        <v>140</v>
      </c>
      <c r="D42" s="2" t="s">
        <v>18</v>
      </c>
      <c r="E42" s="2" t="s">
        <v>141</v>
      </c>
      <c r="F42" s="2" t="s">
        <v>142</v>
      </c>
      <c r="G42" s="2" t="s">
        <v>62</v>
      </c>
      <c r="H42" s="2" t="s">
        <v>143</v>
      </c>
      <c r="I42" s="2" t="s">
        <v>144</v>
      </c>
      <c r="J42" s="3">
        <v>10</v>
      </c>
      <c r="K42" s="2" t="s">
        <v>51</v>
      </c>
      <c r="L42" s="3">
        <v>10</v>
      </c>
      <c r="M42" s="11">
        <v>362970</v>
      </c>
      <c r="N42" s="3">
        <v>0</v>
      </c>
      <c r="O42" s="2" t="s">
        <v>25</v>
      </c>
      <c r="P42" s="2" t="s">
        <v>26</v>
      </c>
      <c r="Q42" s="2" t="s">
        <v>145</v>
      </c>
    </row>
    <row r="43" spans="1:17" x14ac:dyDescent="0.25">
      <c r="A43" s="1">
        <v>46188</v>
      </c>
      <c r="B43" s="1">
        <v>46186</v>
      </c>
      <c r="C43" s="2" t="s">
        <v>146</v>
      </c>
      <c r="D43" s="2" t="s">
        <v>18</v>
      </c>
      <c r="E43" s="2" t="s">
        <v>147</v>
      </c>
      <c r="F43" s="2" t="s">
        <v>142</v>
      </c>
      <c r="G43" s="2" t="s">
        <v>32</v>
      </c>
      <c r="H43" s="2" t="s">
        <v>148</v>
      </c>
      <c r="I43" s="2" t="s">
        <v>149</v>
      </c>
      <c r="J43" s="3">
        <v>72</v>
      </c>
      <c r="K43" s="2" t="s">
        <v>85</v>
      </c>
      <c r="L43" s="3">
        <v>72</v>
      </c>
      <c r="M43" s="11">
        <v>3356640</v>
      </c>
      <c r="N43" s="3">
        <v>0</v>
      </c>
      <c r="O43" s="2" t="s">
        <v>25</v>
      </c>
      <c r="P43" s="2" t="s">
        <v>26</v>
      </c>
      <c r="Q43" s="2" t="s">
        <v>150</v>
      </c>
    </row>
    <row r="44" spans="1:17" x14ac:dyDescent="0.25">
      <c r="A44" s="1">
        <v>46188</v>
      </c>
      <c r="B44" s="1">
        <v>46186</v>
      </c>
      <c r="C44" s="2" t="s">
        <v>151</v>
      </c>
      <c r="D44" s="2" t="s">
        <v>18</v>
      </c>
      <c r="E44" s="2" t="s">
        <v>152</v>
      </c>
      <c r="F44" s="2" t="s">
        <v>20</v>
      </c>
      <c r="G44" s="2" t="s">
        <v>21</v>
      </c>
      <c r="H44" s="2" t="s">
        <v>22</v>
      </c>
      <c r="I44" s="2" t="s">
        <v>23</v>
      </c>
      <c r="J44" s="3">
        <v>1</v>
      </c>
      <c r="K44" s="2" t="s">
        <v>24</v>
      </c>
      <c r="L44" s="3">
        <v>1</v>
      </c>
      <c r="M44" s="11">
        <v>300000</v>
      </c>
      <c r="N44" s="3">
        <v>0</v>
      </c>
      <c r="O44" s="2" t="s">
        <v>25</v>
      </c>
      <c r="P44" s="2" t="s">
        <v>26</v>
      </c>
      <c r="Q44" s="2" t="s">
        <v>42</v>
      </c>
    </row>
    <row r="45" spans="1:17" x14ac:dyDescent="0.25">
      <c r="A45" s="1">
        <v>46188</v>
      </c>
      <c r="B45" s="1">
        <v>46186</v>
      </c>
      <c r="C45" s="2" t="s">
        <v>153</v>
      </c>
      <c r="D45" s="2" t="s">
        <v>18</v>
      </c>
      <c r="E45" s="2" t="s">
        <v>154</v>
      </c>
      <c r="F45" s="2" t="s">
        <v>20</v>
      </c>
      <c r="G45" s="2" t="s">
        <v>54</v>
      </c>
      <c r="H45" s="2" t="s">
        <v>122</v>
      </c>
      <c r="I45" s="2" t="s">
        <v>123</v>
      </c>
      <c r="J45" s="3">
        <v>40</v>
      </c>
      <c r="K45" s="2" t="s">
        <v>51</v>
      </c>
      <c r="L45" s="3">
        <v>40</v>
      </c>
      <c r="M45" s="11">
        <v>7400000</v>
      </c>
      <c r="N45" s="3">
        <v>0</v>
      </c>
      <c r="O45" s="2" t="s">
        <v>25</v>
      </c>
      <c r="P45" s="2" t="s">
        <v>26</v>
      </c>
      <c r="Q45" s="2" t="s">
        <v>155</v>
      </c>
    </row>
    <row r="46" spans="1:17" x14ac:dyDescent="0.25">
      <c r="A46" s="1">
        <v>46188</v>
      </c>
      <c r="B46" s="1">
        <v>46186</v>
      </c>
      <c r="C46" s="2" t="s">
        <v>156</v>
      </c>
      <c r="D46" s="2" t="s">
        <v>18</v>
      </c>
      <c r="E46" s="2" t="s">
        <v>157</v>
      </c>
      <c r="F46" s="2" t="s">
        <v>20</v>
      </c>
      <c r="G46" s="2" t="s">
        <v>21</v>
      </c>
      <c r="H46" s="2" t="s">
        <v>122</v>
      </c>
      <c r="I46" s="2" t="s">
        <v>123</v>
      </c>
      <c r="J46" s="3">
        <v>40</v>
      </c>
      <c r="K46" s="2" t="s">
        <v>51</v>
      </c>
      <c r="L46" s="3">
        <v>40</v>
      </c>
      <c r="M46" s="11">
        <v>7600000</v>
      </c>
      <c r="N46" s="3">
        <v>0</v>
      </c>
      <c r="O46" s="2" t="s">
        <v>25</v>
      </c>
      <c r="P46" s="2" t="s">
        <v>26</v>
      </c>
      <c r="Q46" s="2" t="s">
        <v>158</v>
      </c>
    </row>
    <row r="47" spans="1:17" x14ac:dyDescent="0.25">
      <c r="A47" s="1">
        <v>46188</v>
      </c>
      <c r="B47" s="1">
        <v>46186</v>
      </c>
      <c r="C47" s="2" t="s">
        <v>159</v>
      </c>
      <c r="D47" s="2" t="s">
        <v>18</v>
      </c>
      <c r="E47" s="2" t="s">
        <v>160</v>
      </c>
      <c r="F47" s="2" t="s">
        <v>142</v>
      </c>
      <c r="G47" s="2" t="s">
        <v>38</v>
      </c>
      <c r="H47" s="2" t="s">
        <v>22</v>
      </c>
      <c r="I47" s="2" t="s">
        <v>23</v>
      </c>
      <c r="J47" s="3">
        <v>2</v>
      </c>
      <c r="K47" s="2" t="s">
        <v>24</v>
      </c>
      <c r="L47" s="3">
        <v>2</v>
      </c>
      <c r="M47" s="11">
        <v>654900</v>
      </c>
      <c r="N47" s="3">
        <v>0</v>
      </c>
      <c r="O47" s="2" t="s">
        <v>25</v>
      </c>
      <c r="P47" s="2" t="s">
        <v>26</v>
      </c>
      <c r="Q47" s="2" t="s">
        <v>161</v>
      </c>
    </row>
    <row r="48" spans="1:17" x14ac:dyDescent="0.25">
      <c r="A48" s="1">
        <v>46188</v>
      </c>
      <c r="B48" s="1">
        <v>46186</v>
      </c>
      <c r="C48" s="2" t="s">
        <v>162</v>
      </c>
      <c r="D48" s="2" t="s">
        <v>18</v>
      </c>
      <c r="E48" s="2" t="s">
        <v>163</v>
      </c>
      <c r="F48" s="2" t="s">
        <v>142</v>
      </c>
      <c r="G48" s="2" t="s">
        <v>62</v>
      </c>
      <c r="H48" s="2" t="s">
        <v>22</v>
      </c>
      <c r="I48" s="2" t="s">
        <v>23</v>
      </c>
      <c r="J48" s="3">
        <v>1</v>
      </c>
      <c r="K48" s="2" t="s">
        <v>24</v>
      </c>
      <c r="L48" s="3">
        <v>1</v>
      </c>
      <c r="M48" s="11">
        <v>327450</v>
      </c>
      <c r="N48" s="3">
        <v>0</v>
      </c>
      <c r="O48" s="2" t="s">
        <v>25</v>
      </c>
      <c r="P48" s="2" t="s">
        <v>26</v>
      </c>
      <c r="Q48" s="2" t="s">
        <v>164</v>
      </c>
    </row>
    <row r="49" spans="1:17" x14ac:dyDescent="0.25">
      <c r="A49" s="1">
        <v>46188</v>
      </c>
      <c r="B49" s="1">
        <v>46186</v>
      </c>
      <c r="C49" s="2" t="s">
        <v>165</v>
      </c>
      <c r="D49" s="2" t="s">
        <v>18</v>
      </c>
      <c r="E49" s="2" t="s">
        <v>166</v>
      </c>
      <c r="F49" s="2" t="s">
        <v>142</v>
      </c>
      <c r="G49" s="2" t="s">
        <v>62</v>
      </c>
      <c r="H49" s="2" t="s">
        <v>66</v>
      </c>
      <c r="I49" s="2" t="s">
        <v>67</v>
      </c>
      <c r="J49" s="3">
        <v>1</v>
      </c>
      <c r="K49" s="2" t="s">
        <v>24</v>
      </c>
      <c r="L49" s="3">
        <v>1</v>
      </c>
      <c r="M49" s="11">
        <v>325000</v>
      </c>
      <c r="N49" s="3">
        <v>0</v>
      </c>
      <c r="O49" s="2" t="s">
        <v>25</v>
      </c>
      <c r="P49" s="2" t="s">
        <v>26</v>
      </c>
      <c r="Q49" s="2" t="s">
        <v>167</v>
      </c>
    </row>
    <row r="50" spans="1:17" x14ac:dyDescent="0.25">
      <c r="A50" s="1">
        <v>46188</v>
      </c>
      <c r="B50" s="1">
        <v>46186</v>
      </c>
      <c r="C50" s="2" t="s">
        <v>165</v>
      </c>
      <c r="D50" s="2" t="s">
        <v>18</v>
      </c>
      <c r="E50" s="2" t="s">
        <v>166</v>
      </c>
      <c r="F50" s="2" t="s">
        <v>142</v>
      </c>
      <c r="G50" s="2" t="s">
        <v>62</v>
      </c>
      <c r="H50" s="2" t="s">
        <v>22</v>
      </c>
      <c r="I50" s="2" t="s">
        <v>23</v>
      </c>
      <c r="J50" s="3">
        <v>1</v>
      </c>
      <c r="K50" s="2" t="s">
        <v>24</v>
      </c>
      <c r="L50" s="3">
        <v>1</v>
      </c>
      <c r="M50" s="11">
        <v>314999.99</v>
      </c>
      <c r="N50" s="3">
        <v>0</v>
      </c>
      <c r="O50" s="2" t="s">
        <v>25</v>
      </c>
      <c r="P50" s="2" t="s">
        <v>26</v>
      </c>
      <c r="Q50" s="2" t="s">
        <v>167</v>
      </c>
    </row>
    <row r="51" spans="1:17" x14ac:dyDescent="0.25">
      <c r="A51" s="1">
        <v>46188</v>
      </c>
      <c r="B51" s="1">
        <v>46186</v>
      </c>
      <c r="C51" s="2" t="s">
        <v>168</v>
      </c>
      <c r="D51" s="2" t="s">
        <v>18</v>
      </c>
      <c r="E51" s="2" t="s">
        <v>169</v>
      </c>
      <c r="F51" s="2" t="s">
        <v>142</v>
      </c>
      <c r="G51" s="2" t="s">
        <v>170</v>
      </c>
      <c r="H51" s="2" t="s">
        <v>22</v>
      </c>
      <c r="I51" s="2" t="s">
        <v>23</v>
      </c>
      <c r="J51" s="3">
        <v>10</v>
      </c>
      <c r="K51" s="2" t="s">
        <v>24</v>
      </c>
      <c r="L51" s="3">
        <v>10</v>
      </c>
      <c r="M51" s="11">
        <v>3000000</v>
      </c>
      <c r="N51" s="3">
        <v>0</v>
      </c>
      <c r="O51" s="2" t="s">
        <v>25</v>
      </c>
      <c r="P51" s="2" t="s">
        <v>26</v>
      </c>
      <c r="Q51" s="2" t="s">
        <v>42</v>
      </c>
    </row>
    <row r="52" spans="1:17" x14ac:dyDescent="0.25">
      <c r="A52" s="1">
        <v>46188</v>
      </c>
      <c r="B52" s="1">
        <v>46186</v>
      </c>
      <c r="C52" s="2" t="s">
        <v>171</v>
      </c>
      <c r="D52" s="2" t="s">
        <v>18</v>
      </c>
      <c r="E52" s="2" t="s">
        <v>172</v>
      </c>
      <c r="F52" s="2" t="s">
        <v>20</v>
      </c>
      <c r="G52" s="2" t="s">
        <v>54</v>
      </c>
      <c r="H52" s="2" t="s">
        <v>22</v>
      </c>
      <c r="I52" s="2" t="s">
        <v>23</v>
      </c>
      <c r="J52" s="3">
        <v>3</v>
      </c>
      <c r="K52" s="2" t="s">
        <v>24</v>
      </c>
      <c r="L52" s="3">
        <v>3</v>
      </c>
      <c r="M52" s="11">
        <v>975000</v>
      </c>
      <c r="N52" s="3">
        <v>0</v>
      </c>
      <c r="O52" s="2" t="s">
        <v>25</v>
      </c>
      <c r="P52" s="2" t="s">
        <v>26</v>
      </c>
      <c r="Q52" s="2" t="s">
        <v>42</v>
      </c>
    </row>
    <row r="53" spans="1:17" x14ac:dyDescent="0.25">
      <c r="A53" s="1">
        <v>46188</v>
      </c>
      <c r="B53" s="1">
        <v>46186</v>
      </c>
      <c r="C53" s="2" t="s">
        <v>173</v>
      </c>
      <c r="D53" s="2" t="s">
        <v>18</v>
      </c>
      <c r="E53" s="2" t="s">
        <v>174</v>
      </c>
      <c r="F53" s="2" t="s">
        <v>20</v>
      </c>
      <c r="G53" s="2" t="s">
        <v>175</v>
      </c>
      <c r="H53" s="2" t="s">
        <v>77</v>
      </c>
      <c r="I53" s="2" t="s">
        <v>78</v>
      </c>
      <c r="J53" s="3">
        <v>100</v>
      </c>
      <c r="K53" s="2" t="s">
        <v>24</v>
      </c>
      <c r="L53" s="3">
        <v>100</v>
      </c>
      <c r="M53" s="11">
        <v>26500000.140000001</v>
      </c>
      <c r="N53" s="3">
        <v>0</v>
      </c>
      <c r="O53" s="2" t="s">
        <v>25</v>
      </c>
      <c r="P53" s="2" t="s">
        <v>26</v>
      </c>
      <c r="Q53" s="2" t="s">
        <v>176</v>
      </c>
    </row>
    <row r="54" spans="1:17" x14ac:dyDescent="0.25">
      <c r="A54" s="1">
        <v>46188</v>
      </c>
      <c r="B54" s="1">
        <v>46186</v>
      </c>
      <c r="C54" s="2" t="s">
        <v>177</v>
      </c>
      <c r="D54" s="2" t="s">
        <v>18</v>
      </c>
      <c r="E54" s="2" t="s">
        <v>178</v>
      </c>
      <c r="F54" s="2" t="s">
        <v>20</v>
      </c>
      <c r="G54" s="2" t="s">
        <v>131</v>
      </c>
      <c r="H54" s="2" t="s">
        <v>143</v>
      </c>
      <c r="I54" s="2" t="s">
        <v>144</v>
      </c>
      <c r="J54" s="3">
        <v>50</v>
      </c>
      <c r="K54" s="2" t="s">
        <v>51</v>
      </c>
      <c r="L54" s="3">
        <v>50</v>
      </c>
      <c r="M54" s="11">
        <v>1650000.02</v>
      </c>
      <c r="N54" s="3">
        <v>0</v>
      </c>
      <c r="O54" s="2" t="s">
        <v>25</v>
      </c>
      <c r="P54" s="2" t="s">
        <v>26</v>
      </c>
      <c r="Q54" s="2" t="s">
        <v>42</v>
      </c>
    </row>
    <row r="55" spans="1:17" x14ac:dyDescent="0.25">
      <c r="A55" s="1">
        <v>46188</v>
      </c>
      <c r="B55" s="1">
        <v>46186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181</v>
      </c>
      <c r="H55" s="2" t="s">
        <v>22</v>
      </c>
      <c r="I55" s="2" t="s">
        <v>23</v>
      </c>
      <c r="J55" s="3">
        <v>50</v>
      </c>
      <c r="K55" s="2" t="s">
        <v>24</v>
      </c>
      <c r="L55" s="3">
        <v>50</v>
      </c>
      <c r="M55" s="11">
        <v>13700000.18</v>
      </c>
      <c r="N55" s="3">
        <v>0</v>
      </c>
      <c r="O55" s="2" t="s">
        <v>25</v>
      </c>
      <c r="P55" s="2" t="s">
        <v>26</v>
      </c>
      <c r="Q55" s="2" t="s">
        <v>42</v>
      </c>
    </row>
    <row r="56" spans="1:17" x14ac:dyDescent="0.25">
      <c r="A56" s="1">
        <v>46188</v>
      </c>
      <c r="B56" s="1">
        <v>46186</v>
      </c>
      <c r="C56" s="2" t="s">
        <v>183</v>
      </c>
      <c r="D56" s="2" t="s">
        <v>18</v>
      </c>
      <c r="E56" s="2" t="s">
        <v>182</v>
      </c>
      <c r="F56" s="2" t="s">
        <v>20</v>
      </c>
      <c r="G56" s="2" t="s">
        <v>21</v>
      </c>
      <c r="H56" s="2" t="s">
        <v>77</v>
      </c>
      <c r="I56" s="2" t="s">
        <v>78</v>
      </c>
      <c r="J56" s="3">
        <v>1</v>
      </c>
      <c r="K56" s="2" t="s">
        <v>24</v>
      </c>
      <c r="L56" s="3">
        <v>1</v>
      </c>
      <c r="M56" s="11">
        <v>315000</v>
      </c>
      <c r="N56" s="3">
        <v>0</v>
      </c>
      <c r="O56" s="2" t="s">
        <v>25</v>
      </c>
      <c r="P56" s="2" t="s">
        <v>26</v>
      </c>
      <c r="Q56" s="2" t="s">
        <v>42</v>
      </c>
    </row>
    <row r="57" spans="1:17" x14ac:dyDescent="0.25">
      <c r="A57" s="1">
        <v>46188</v>
      </c>
      <c r="B57" s="1">
        <v>46186</v>
      </c>
      <c r="C57" s="2" t="s">
        <v>183</v>
      </c>
      <c r="D57" s="2" t="s">
        <v>18</v>
      </c>
      <c r="E57" s="2" t="s">
        <v>182</v>
      </c>
      <c r="F57" s="2" t="s">
        <v>20</v>
      </c>
      <c r="G57" s="2" t="s">
        <v>21</v>
      </c>
      <c r="H57" s="2" t="s">
        <v>22</v>
      </c>
      <c r="I57" s="2" t="s">
        <v>23</v>
      </c>
      <c r="J57" s="3">
        <v>2</v>
      </c>
      <c r="K57" s="2" t="s">
        <v>24</v>
      </c>
      <c r="L57" s="3">
        <v>2</v>
      </c>
      <c r="M57" s="11">
        <v>630000</v>
      </c>
      <c r="N57" s="3">
        <v>0</v>
      </c>
      <c r="O57" s="2" t="s">
        <v>25</v>
      </c>
      <c r="P57" s="2" t="s">
        <v>26</v>
      </c>
      <c r="Q57" s="2" t="s">
        <v>42</v>
      </c>
    </row>
    <row r="58" spans="1:17" x14ac:dyDescent="0.25">
      <c r="A58" s="1">
        <v>46188</v>
      </c>
      <c r="B58" s="1">
        <v>46186</v>
      </c>
      <c r="C58" s="2" t="s">
        <v>184</v>
      </c>
      <c r="D58" s="2" t="s">
        <v>18</v>
      </c>
      <c r="E58" s="2" t="s">
        <v>185</v>
      </c>
      <c r="F58" s="2" t="s">
        <v>20</v>
      </c>
      <c r="G58" s="2" t="s">
        <v>54</v>
      </c>
      <c r="H58" s="2" t="s">
        <v>74</v>
      </c>
      <c r="I58" s="2" t="s">
        <v>75</v>
      </c>
      <c r="J58" s="3">
        <v>15</v>
      </c>
      <c r="K58" s="2" t="s">
        <v>51</v>
      </c>
      <c r="L58" s="3">
        <v>15</v>
      </c>
      <c r="M58" s="11">
        <v>1500000</v>
      </c>
      <c r="N58" s="3">
        <v>0</v>
      </c>
      <c r="O58" s="2" t="s">
        <v>25</v>
      </c>
      <c r="P58" s="2" t="s">
        <v>26</v>
      </c>
      <c r="Q58" s="2" t="s">
        <v>42</v>
      </c>
    </row>
    <row r="59" spans="1:17" x14ac:dyDescent="0.25">
      <c r="A59" s="1">
        <v>46188</v>
      </c>
      <c r="B59" s="1">
        <v>46186</v>
      </c>
      <c r="C59" s="2" t="s">
        <v>186</v>
      </c>
      <c r="D59" s="2" t="s">
        <v>18</v>
      </c>
      <c r="E59" s="2" t="s">
        <v>187</v>
      </c>
      <c r="F59" s="2" t="s">
        <v>142</v>
      </c>
      <c r="G59" s="2" t="s">
        <v>62</v>
      </c>
      <c r="H59" s="2" t="s">
        <v>22</v>
      </c>
      <c r="I59" s="2" t="s">
        <v>23</v>
      </c>
      <c r="J59" s="3">
        <v>1</v>
      </c>
      <c r="K59" s="2" t="s">
        <v>24</v>
      </c>
      <c r="L59" s="3">
        <v>1</v>
      </c>
      <c r="M59" s="11">
        <v>320000</v>
      </c>
      <c r="N59" s="3">
        <v>0</v>
      </c>
      <c r="O59" s="2" t="s">
        <v>25</v>
      </c>
      <c r="P59" s="2" t="s">
        <v>26</v>
      </c>
      <c r="Q59" s="2" t="s">
        <v>42</v>
      </c>
    </row>
    <row r="60" spans="1:17" x14ac:dyDescent="0.25">
      <c r="A60" s="1">
        <v>46188</v>
      </c>
      <c r="B60" s="1">
        <v>46186</v>
      </c>
      <c r="C60" s="2" t="s">
        <v>188</v>
      </c>
      <c r="D60" s="2" t="s">
        <v>18</v>
      </c>
      <c r="E60" s="2" t="s">
        <v>189</v>
      </c>
      <c r="F60" s="2" t="s">
        <v>20</v>
      </c>
      <c r="G60" s="2" t="s">
        <v>54</v>
      </c>
      <c r="H60" s="2" t="s">
        <v>22</v>
      </c>
      <c r="I60" s="2" t="s">
        <v>23</v>
      </c>
      <c r="J60" s="3">
        <v>4</v>
      </c>
      <c r="K60" s="2" t="s">
        <v>24</v>
      </c>
      <c r="L60" s="3">
        <v>4</v>
      </c>
      <c r="M60" s="11">
        <v>1139999.99</v>
      </c>
      <c r="N60" s="3">
        <v>0</v>
      </c>
      <c r="O60" s="2" t="s">
        <v>25</v>
      </c>
      <c r="P60" s="2" t="s">
        <v>26</v>
      </c>
      <c r="Q60" s="2" t="s">
        <v>42</v>
      </c>
    </row>
    <row r="61" spans="1:17" x14ac:dyDescent="0.25">
      <c r="A61" s="1">
        <v>46188</v>
      </c>
      <c r="B61" s="1">
        <v>46186</v>
      </c>
      <c r="C61" s="2" t="s">
        <v>190</v>
      </c>
      <c r="D61" s="2" t="s">
        <v>18</v>
      </c>
      <c r="E61" s="2" t="s">
        <v>191</v>
      </c>
      <c r="F61" s="2" t="s">
        <v>20</v>
      </c>
      <c r="G61" s="2" t="s">
        <v>47</v>
      </c>
      <c r="H61" s="2" t="s">
        <v>22</v>
      </c>
      <c r="I61" s="2" t="s">
        <v>23</v>
      </c>
      <c r="J61" s="3">
        <v>5</v>
      </c>
      <c r="K61" s="2" t="s">
        <v>24</v>
      </c>
      <c r="L61" s="3">
        <v>5</v>
      </c>
      <c r="M61" s="11">
        <v>1385000</v>
      </c>
      <c r="N61" s="3">
        <v>0</v>
      </c>
      <c r="O61" s="2" t="s">
        <v>25</v>
      </c>
      <c r="P61" s="2" t="s">
        <v>26</v>
      </c>
      <c r="Q61" s="2" t="s">
        <v>42</v>
      </c>
    </row>
    <row r="62" spans="1:17" x14ac:dyDescent="0.25">
      <c r="A62" s="1">
        <v>46188</v>
      </c>
      <c r="B62" s="1">
        <v>46186</v>
      </c>
      <c r="C62" s="2" t="s">
        <v>192</v>
      </c>
      <c r="D62" s="2" t="s">
        <v>18</v>
      </c>
      <c r="E62" s="2" t="s">
        <v>193</v>
      </c>
      <c r="F62" s="2" t="s">
        <v>20</v>
      </c>
      <c r="G62" s="2" t="s">
        <v>54</v>
      </c>
      <c r="H62" s="2" t="s">
        <v>22</v>
      </c>
      <c r="I62" s="2" t="s">
        <v>23</v>
      </c>
      <c r="J62" s="3">
        <v>2</v>
      </c>
      <c r="K62" s="2" t="s">
        <v>24</v>
      </c>
      <c r="L62" s="3">
        <v>2</v>
      </c>
      <c r="M62" s="11">
        <v>560000</v>
      </c>
      <c r="N62" s="3">
        <v>0</v>
      </c>
      <c r="O62" s="2" t="s">
        <v>25</v>
      </c>
      <c r="P62" s="2" t="s">
        <v>26</v>
      </c>
      <c r="Q62" s="2" t="s">
        <v>42</v>
      </c>
    </row>
    <row r="63" spans="1:17" x14ac:dyDescent="0.25">
      <c r="A63" s="1">
        <v>46188</v>
      </c>
      <c r="B63" s="1">
        <v>46186</v>
      </c>
      <c r="C63" s="2" t="s">
        <v>194</v>
      </c>
      <c r="D63" s="2" t="s">
        <v>18</v>
      </c>
      <c r="E63" s="2" t="s">
        <v>195</v>
      </c>
      <c r="F63" s="2" t="s">
        <v>20</v>
      </c>
      <c r="G63" s="2" t="s">
        <v>50</v>
      </c>
      <c r="H63" s="2" t="s">
        <v>143</v>
      </c>
      <c r="I63" s="2" t="s">
        <v>144</v>
      </c>
      <c r="J63" s="3">
        <v>5</v>
      </c>
      <c r="K63" s="2" t="s">
        <v>51</v>
      </c>
      <c r="L63" s="3">
        <v>5</v>
      </c>
      <c r="M63" s="11">
        <v>181485</v>
      </c>
      <c r="N63" s="3">
        <v>0</v>
      </c>
      <c r="O63" s="2" t="s">
        <v>25</v>
      </c>
      <c r="P63" s="2" t="s">
        <v>26</v>
      </c>
      <c r="Q63" s="2" t="s">
        <v>42</v>
      </c>
    </row>
    <row r="64" spans="1:17" x14ac:dyDescent="0.25">
      <c r="A64" s="1">
        <v>46188</v>
      </c>
      <c r="B64" s="1">
        <v>46186</v>
      </c>
      <c r="C64" s="2" t="s">
        <v>194</v>
      </c>
      <c r="D64" s="2" t="s">
        <v>18</v>
      </c>
      <c r="E64" s="2" t="s">
        <v>195</v>
      </c>
      <c r="F64" s="2" t="s">
        <v>20</v>
      </c>
      <c r="G64" s="2" t="s">
        <v>50</v>
      </c>
      <c r="H64" s="2" t="s">
        <v>22</v>
      </c>
      <c r="I64" s="2" t="s">
        <v>23</v>
      </c>
      <c r="J64" s="3">
        <v>2</v>
      </c>
      <c r="K64" s="2" t="s">
        <v>24</v>
      </c>
      <c r="L64" s="3">
        <v>2</v>
      </c>
      <c r="M64" s="11">
        <v>556000</v>
      </c>
      <c r="N64" s="3">
        <v>0</v>
      </c>
      <c r="O64" s="2" t="s">
        <v>25</v>
      </c>
      <c r="P64" s="2" t="s">
        <v>26</v>
      </c>
      <c r="Q64" s="2" t="s">
        <v>42</v>
      </c>
    </row>
    <row r="65" spans="1:17" x14ac:dyDescent="0.25">
      <c r="A65" s="1">
        <v>46188</v>
      </c>
      <c r="B65" s="1">
        <v>46186</v>
      </c>
      <c r="C65" s="2" t="s">
        <v>196</v>
      </c>
      <c r="D65" s="2" t="s">
        <v>18</v>
      </c>
      <c r="E65" s="2" t="s">
        <v>197</v>
      </c>
      <c r="F65" s="2" t="s">
        <v>20</v>
      </c>
      <c r="G65" s="2" t="s">
        <v>50</v>
      </c>
      <c r="H65" s="2" t="s">
        <v>22</v>
      </c>
      <c r="I65" s="2" t="s">
        <v>23</v>
      </c>
      <c r="J65" s="3">
        <v>3</v>
      </c>
      <c r="K65" s="2" t="s">
        <v>24</v>
      </c>
      <c r="L65" s="3">
        <v>3</v>
      </c>
      <c r="M65" s="11">
        <v>982350</v>
      </c>
      <c r="N65" s="3">
        <v>0</v>
      </c>
      <c r="O65" s="2" t="s">
        <v>25</v>
      </c>
      <c r="P65" s="2" t="s">
        <v>26</v>
      </c>
      <c r="Q65" s="2" t="s">
        <v>42</v>
      </c>
    </row>
    <row r="66" spans="1:17" x14ac:dyDescent="0.25">
      <c r="A66" s="1">
        <v>46188</v>
      </c>
      <c r="B66" s="1">
        <v>46186</v>
      </c>
      <c r="C66" s="2" t="s">
        <v>198</v>
      </c>
      <c r="D66" s="2" t="s">
        <v>18</v>
      </c>
      <c r="E66" s="2" t="s">
        <v>199</v>
      </c>
      <c r="F66" s="2" t="s">
        <v>20</v>
      </c>
      <c r="G66" s="2" t="s">
        <v>200</v>
      </c>
      <c r="H66" s="2" t="s">
        <v>201</v>
      </c>
      <c r="I66" s="2" t="s">
        <v>202</v>
      </c>
      <c r="J66" s="3">
        <v>800</v>
      </c>
      <c r="K66" s="2" t="s">
        <v>85</v>
      </c>
      <c r="L66" s="3">
        <v>800</v>
      </c>
      <c r="M66" s="11">
        <v>79799999.5</v>
      </c>
      <c r="N66" s="3">
        <v>0</v>
      </c>
      <c r="O66" s="2" t="s">
        <v>25</v>
      </c>
      <c r="P66" s="2" t="s">
        <v>26</v>
      </c>
      <c r="Q66" s="2" t="s">
        <v>203</v>
      </c>
    </row>
    <row r="67" spans="1:17" x14ac:dyDescent="0.25">
      <c r="A67" s="1">
        <v>46188</v>
      </c>
      <c r="B67" s="1">
        <v>46186</v>
      </c>
      <c r="C67" s="2" t="s">
        <v>198</v>
      </c>
      <c r="D67" s="2" t="s">
        <v>18</v>
      </c>
      <c r="E67" s="2" t="s">
        <v>199</v>
      </c>
      <c r="F67" s="2" t="s">
        <v>20</v>
      </c>
      <c r="G67" s="2" t="s">
        <v>200</v>
      </c>
      <c r="H67" s="2" t="s">
        <v>204</v>
      </c>
      <c r="I67" s="2" t="s">
        <v>205</v>
      </c>
      <c r="J67" s="3">
        <v>600</v>
      </c>
      <c r="K67" s="2" t="s">
        <v>85</v>
      </c>
      <c r="L67" s="3">
        <v>600</v>
      </c>
      <c r="M67" s="11">
        <v>30836999.530000001</v>
      </c>
      <c r="N67" s="3">
        <v>0</v>
      </c>
      <c r="O67" s="2" t="s">
        <v>25</v>
      </c>
      <c r="P67" s="2" t="s">
        <v>26</v>
      </c>
      <c r="Q67" s="2" t="s">
        <v>203</v>
      </c>
    </row>
    <row r="68" spans="1:17" x14ac:dyDescent="0.25">
      <c r="A68" s="1">
        <v>46188</v>
      </c>
      <c r="B68" s="1">
        <v>46186</v>
      </c>
      <c r="C68" s="2" t="s">
        <v>206</v>
      </c>
      <c r="D68" s="2" t="s">
        <v>18</v>
      </c>
      <c r="E68" s="2" t="s">
        <v>207</v>
      </c>
      <c r="F68" s="2" t="s">
        <v>20</v>
      </c>
      <c r="G68" s="2" t="s">
        <v>50</v>
      </c>
      <c r="H68" s="2" t="s">
        <v>43</v>
      </c>
      <c r="I68" s="2" t="s">
        <v>44</v>
      </c>
      <c r="J68" s="3">
        <v>6</v>
      </c>
      <c r="K68" s="2" t="s">
        <v>41</v>
      </c>
      <c r="L68" s="3">
        <v>6</v>
      </c>
      <c r="M68" s="11">
        <v>279720</v>
      </c>
      <c r="N68" s="3">
        <v>0</v>
      </c>
      <c r="O68" s="2" t="s">
        <v>25</v>
      </c>
      <c r="P68" s="2" t="s">
        <v>26</v>
      </c>
      <c r="Q68" s="2" t="s">
        <v>42</v>
      </c>
    </row>
    <row r="69" spans="1:17" x14ac:dyDescent="0.25">
      <c r="A69" s="1">
        <v>46188</v>
      </c>
      <c r="B69" s="1">
        <v>46186</v>
      </c>
      <c r="C69" s="2" t="s">
        <v>208</v>
      </c>
      <c r="D69" s="2" t="s">
        <v>18</v>
      </c>
      <c r="E69" s="2" t="s">
        <v>207</v>
      </c>
      <c r="F69" s="2" t="s">
        <v>20</v>
      </c>
      <c r="G69" s="2" t="s">
        <v>50</v>
      </c>
      <c r="H69" s="2" t="s">
        <v>43</v>
      </c>
      <c r="I69" s="2" t="s">
        <v>44</v>
      </c>
      <c r="J69" s="3">
        <v>16</v>
      </c>
      <c r="K69" s="2" t="s">
        <v>41</v>
      </c>
      <c r="L69" s="3">
        <v>16</v>
      </c>
      <c r="M69" s="11">
        <v>745920</v>
      </c>
      <c r="N69" s="3">
        <v>0</v>
      </c>
      <c r="O69" s="2" t="s">
        <v>25</v>
      </c>
      <c r="P69" s="2" t="s">
        <v>26</v>
      </c>
      <c r="Q69" s="2" t="s">
        <v>42</v>
      </c>
    </row>
    <row r="70" spans="1:17" x14ac:dyDescent="0.25">
      <c r="A70" s="1">
        <v>46188</v>
      </c>
      <c r="B70" s="1">
        <v>46186</v>
      </c>
      <c r="C70" s="2" t="s">
        <v>209</v>
      </c>
      <c r="D70" s="2" t="s">
        <v>18</v>
      </c>
      <c r="E70" s="2" t="s">
        <v>207</v>
      </c>
      <c r="F70" s="2" t="s">
        <v>20</v>
      </c>
      <c r="G70" s="2" t="s">
        <v>50</v>
      </c>
      <c r="H70" s="2" t="s">
        <v>22</v>
      </c>
      <c r="I70" s="2" t="s">
        <v>23</v>
      </c>
      <c r="J70" s="3">
        <v>16</v>
      </c>
      <c r="K70" s="2" t="s">
        <v>24</v>
      </c>
      <c r="L70" s="3">
        <v>16</v>
      </c>
      <c r="M70" s="11">
        <v>4399999.9800000004</v>
      </c>
      <c r="N70" s="3">
        <v>0</v>
      </c>
      <c r="O70" s="2" t="s">
        <v>25</v>
      </c>
      <c r="P70" s="2" t="s">
        <v>26</v>
      </c>
      <c r="Q70" s="2" t="s">
        <v>42</v>
      </c>
    </row>
    <row r="71" spans="1:17" x14ac:dyDescent="0.25">
      <c r="A71" s="1">
        <v>46188</v>
      </c>
      <c r="B71" s="1">
        <v>46186</v>
      </c>
      <c r="C71" s="2" t="s">
        <v>209</v>
      </c>
      <c r="D71" s="2" t="s">
        <v>18</v>
      </c>
      <c r="E71" s="2" t="s">
        <v>207</v>
      </c>
      <c r="F71" s="2" t="s">
        <v>20</v>
      </c>
      <c r="G71" s="2" t="s">
        <v>50</v>
      </c>
      <c r="H71" s="2" t="s">
        <v>77</v>
      </c>
      <c r="I71" s="2" t="s">
        <v>78</v>
      </c>
      <c r="J71" s="3">
        <v>2</v>
      </c>
      <c r="K71" s="2" t="s">
        <v>24</v>
      </c>
      <c r="L71" s="3">
        <v>2</v>
      </c>
      <c r="M71" s="11">
        <v>590000</v>
      </c>
      <c r="N71" s="3">
        <v>0</v>
      </c>
      <c r="O71" s="2" t="s">
        <v>25</v>
      </c>
      <c r="P71" s="2" t="s">
        <v>26</v>
      </c>
      <c r="Q71" s="2" t="s">
        <v>42</v>
      </c>
    </row>
    <row r="72" spans="1:17" x14ac:dyDescent="0.25">
      <c r="A72" s="1">
        <v>46188</v>
      </c>
      <c r="B72" s="1">
        <v>46186</v>
      </c>
      <c r="C72" s="2" t="s">
        <v>210</v>
      </c>
      <c r="D72" s="2" t="s">
        <v>18</v>
      </c>
      <c r="E72" s="2" t="s">
        <v>207</v>
      </c>
      <c r="F72" s="2" t="s">
        <v>20</v>
      </c>
      <c r="G72" s="2" t="s">
        <v>50</v>
      </c>
      <c r="H72" s="2" t="s">
        <v>43</v>
      </c>
      <c r="I72" s="2" t="s">
        <v>44</v>
      </c>
      <c r="J72" s="3">
        <v>6</v>
      </c>
      <c r="K72" s="2" t="s">
        <v>41</v>
      </c>
      <c r="L72" s="3">
        <v>6</v>
      </c>
      <c r="M72" s="11">
        <v>279720</v>
      </c>
      <c r="N72" s="3">
        <v>0</v>
      </c>
      <c r="O72" s="2" t="s">
        <v>25</v>
      </c>
      <c r="P72" s="2" t="s">
        <v>26</v>
      </c>
      <c r="Q72" s="2" t="s">
        <v>42</v>
      </c>
    </row>
    <row r="73" spans="1:17" x14ac:dyDescent="0.25">
      <c r="A73" s="1">
        <v>46188</v>
      </c>
      <c r="B73" s="1">
        <v>46186</v>
      </c>
      <c r="C73" s="2" t="s">
        <v>211</v>
      </c>
      <c r="D73" s="2" t="s">
        <v>18</v>
      </c>
      <c r="E73" s="2" t="s">
        <v>212</v>
      </c>
      <c r="F73" s="2" t="s">
        <v>142</v>
      </c>
      <c r="G73" s="2" t="s">
        <v>213</v>
      </c>
      <c r="H73" s="2" t="s">
        <v>214</v>
      </c>
      <c r="I73" s="2" t="s">
        <v>215</v>
      </c>
      <c r="J73" s="3">
        <v>48</v>
      </c>
      <c r="K73" s="2" t="s">
        <v>85</v>
      </c>
      <c r="L73" s="3">
        <v>48</v>
      </c>
      <c r="M73" s="11">
        <v>2850480</v>
      </c>
      <c r="N73" s="3">
        <v>0</v>
      </c>
      <c r="O73" s="2" t="s">
        <v>25</v>
      </c>
      <c r="P73" s="2" t="s">
        <v>26</v>
      </c>
      <c r="Q73" s="2" t="s">
        <v>42</v>
      </c>
    </row>
    <row r="74" spans="1:17" x14ac:dyDescent="0.25">
      <c r="A74" s="1">
        <v>46188</v>
      </c>
      <c r="B74" s="1">
        <v>46186</v>
      </c>
      <c r="C74" s="2" t="s">
        <v>216</v>
      </c>
      <c r="D74" s="2" t="s">
        <v>18</v>
      </c>
      <c r="E74" s="2" t="s">
        <v>217</v>
      </c>
      <c r="F74" s="2" t="s">
        <v>20</v>
      </c>
      <c r="G74" s="2" t="s">
        <v>200</v>
      </c>
      <c r="H74" s="2" t="s">
        <v>106</v>
      </c>
      <c r="I74" s="2" t="s">
        <v>107</v>
      </c>
      <c r="J74" s="3">
        <v>12</v>
      </c>
      <c r="K74" s="2" t="s">
        <v>85</v>
      </c>
      <c r="L74" s="3">
        <v>12</v>
      </c>
      <c r="M74" s="11">
        <v>770400.03</v>
      </c>
      <c r="N74" s="3">
        <v>0</v>
      </c>
      <c r="O74" s="2" t="s">
        <v>25</v>
      </c>
      <c r="P74" s="2" t="s">
        <v>26</v>
      </c>
      <c r="Q74" s="2" t="s">
        <v>42</v>
      </c>
    </row>
    <row r="75" spans="1:17" x14ac:dyDescent="0.25">
      <c r="A75" s="1">
        <v>46188</v>
      </c>
      <c r="B75" s="1">
        <v>46186</v>
      </c>
      <c r="C75" s="2" t="s">
        <v>218</v>
      </c>
      <c r="D75" s="2" t="s">
        <v>18</v>
      </c>
      <c r="E75" s="2" t="s">
        <v>219</v>
      </c>
      <c r="F75" s="2" t="s">
        <v>20</v>
      </c>
      <c r="G75" s="2" t="s">
        <v>220</v>
      </c>
      <c r="H75" s="2" t="s">
        <v>221</v>
      </c>
      <c r="I75" s="2" t="s">
        <v>222</v>
      </c>
      <c r="J75" s="3">
        <v>20</v>
      </c>
      <c r="K75" s="2" t="s">
        <v>51</v>
      </c>
      <c r="L75" s="3">
        <v>20</v>
      </c>
      <c r="M75" s="11">
        <v>384060</v>
      </c>
      <c r="N75" s="3">
        <v>0</v>
      </c>
      <c r="O75" s="2" t="s">
        <v>25</v>
      </c>
      <c r="P75" s="2" t="s">
        <v>26</v>
      </c>
      <c r="Q75" s="2" t="s">
        <v>42</v>
      </c>
    </row>
    <row r="76" spans="1:17" x14ac:dyDescent="0.25">
      <c r="A76" s="1">
        <v>46188</v>
      </c>
      <c r="B76" s="1">
        <v>46186</v>
      </c>
      <c r="C76" s="2" t="s">
        <v>223</v>
      </c>
      <c r="D76" s="2" t="s">
        <v>18</v>
      </c>
      <c r="E76" s="2" t="s">
        <v>224</v>
      </c>
      <c r="F76" s="2" t="s">
        <v>20</v>
      </c>
      <c r="G76" s="2" t="s">
        <v>181</v>
      </c>
      <c r="H76" s="2" t="s">
        <v>225</v>
      </c>
      <c r="I76" s="2" t="s">
        <v>226</v>
      </c>
      <c r="J76" s="3">
        <v>20</v>
      </c>
      <c r="K76" s="2" t="s">
        <v>51</v>
      </c>
      <c r="L76" s="3">
        <v>20</v>
      </c>
      <c r="M76" s="11">
        <v>620000.05000000005</v>
      </c>
      <c r="N76" s="3">
        <v>0</v>
      </c>
      <c r="O76" s="2" t="s">
        <v>25</v>
      </c>
      <c r="P76" s="2" t="s">
        <v>26</v>
      </c>
      <c r="Q76" s="2" t="s">
        <v>42</v>
      </c>
    </row>
    <row r="77" spans="1:17" x14ac:dyDescent="0.25">
      <c r="A77" s="1">
        <v>46188</v>
      </c>
      <c r="B77" s="1">
        <v>46186</v>
      </c>
      <c r="C77" s="2" t="s">
        <v>223</v>
      </c>
      <c r="D77" s="2" t="s">
        <v>18</v>
      </c>
      <c r="E77" s="2" t="s">
        <v>224</v>
      </c>
      <c r="F77" s="2" t="s">
        <v>20</v>
      </c>
      <c r="G77" s="2" t="s">
        <v>181</v>
      </c>
      <c r="H77" s="2" t="s">
        <v>143</v>
      </c>
      <c r="I77" s="2" t="s">
        <v>144</v>
      </c>
      <c r="J77" s="3">
        <v>30</v>
      </c>
      <c r="K77" s="2" t="s">
        <v>51</v>
      </c>
      <c r="L77" s="3">
        <v>30</v>
      </c>
      <c r="M77" s="11">
        <v>1049999.95</v>
      </c>
      <c r="N77" s="3">
        <v>0</v>
      </c>
      <c r="O77" s="2" t="s">
        <v>25</v>
      </c>
      <c r="P77" s="2" t="s">
        <v>26</v>
      </c>
      <c r="Q77" s="2" t="s">
        <v>42</v>
      </c>
    </row>
    <row r="78" spans="1:17" x14ac:dyDescent="0.25">
      <c r="A78" s="1">
        <v>46188</v>
      </c>
      <c r="B78" s="1">
        <v>46186</v>
      </c>
      <c r="C78" s="2" t="s">
        <v>227</v>
      </c>
      <c r="D78" s="2" t="s">
        <v>18</v>
      </c>
      <c r="E78" s="2" t="s">
        <v>228</v>
      </c>
      <c r="F78" s="2" t="s">
        <v>20</v>
      </c>
      <c r="G78" s="2" t="s">
        <v>200</v>
      </c>
      <c r="H78" s="2" t="s">
        <v>201</v>
      </c>
      <c r="I78" s="2" t="s">
        <v>202</v>
      </c>
      <c r="J78" s="3">
        <v>16</v>
      </c>
      <c r="K78" s="2" t="s">
        <v>85</v>
      </c>
      <c r="L78" s="3">
        <v>16</v>
      </c>
      <c r="M78" s="11">
        <v>1679999.99</v>
      </c>
      <c r="N78" s="3">
        <v>0</v>
      </c>
      <c r="O78" s="2" t="s">
        <v>25</v>
      </c>
      <c r="P78" s="2" t="s">
        <v>26</v>
      </c>
      <c r="Q78" s="2" t="s">
        <v>229</v>
      </c>
    </row>
    <row r="79" spans="1:17" x14ac:dyDescent="0.25">
      <c r="A79" s="1">
        <v>46188</v>
      </c>
      <c r="B79" s="1">
        <v>46186</v>
      </c>
      <c r="C79" s="2" t="s">
        <v>230</v>
      </c>
      <c r="D79" s="2" t="s">
        <v>18</v>
      </c>
      <c r="E79" s="2" t="s">
        <v>231</v>
      </c>
      <c r="F79" s="2" t="s">
        <v>20</v>
      </c>
      <c r="G79" s="2" t="s">
        <v>131</v>
      </c>
      <c r="H79" s="2" t="s">
        <v>232</v>
      </c>
      <c r="I79" s="2" t="s">
        <v>233</v>
      </c>
      <c r="J79" s="3">
        <v>5</v>
      </c>
      <c r="K79" s="2" t="s">
        <v>51</v>
      </c>
      <c r="L79" s="3">
        <v>6.91</v>
      </c>
      <c r="M79" s="11">
        <v>1091780</v>
      </c>
      <c r="N79" s="3">
        <v>1.91</v>
      </c>
      <c r="O79" s="2" t="s">
        <v>25</v>
      </c>
      <c r="P79" s="2" t="s">
        <v>26</v>
      </c>
      <c r="Q79" s="2" t="s">
        <v>42</v>
      </c>
    </row>
    <row r="80" spans="1:17" x14ac:dyDescent="0.25">
      <c r="A80" s="1">
        <v>46188</v>
      </c>
      <c r="B80" s="1">
        <v>46186</v>
      </c>
      <c r="C80" s="2" t="s">
        <v>234</v>
      </c>
      <c r="D80" s="2" t="s">
        <v>18</v>
      </c>
      <c r="E80" s="2" t="s">
        <v>235</v>
      </c>
      <c r="F80" s="2" t="s">
        <v>20</v>
      </c>
      <c r="G80" s="2" t="s">
        <v>50</v>
      </c>
      <c r="H80" s="2" t="s">
        <v>236</v>
      </c>
      <c r="I80" s="2" t="s">
        <v>237</v>
      </c>
      <c r="J80" s="3">
        <v>3</v>
      </c>
      <c r="K80" s="2" t="s">
        <v>238</v>
      </c>
      <c r="L80" s="3">
        <v>3</v>
      </c>
      <c r="M80" s="11">
        <v>39960</v>
      </c>
      <c r="N80" s="3">
        <v>0</v>
      </c>
      <c r="O80" s="2" t="s">
        <v>25</v>
      </c>
      <c r="P80" s="2" t="s">
        <v>26</v>
      </c>
      <c r="Q80" s="2" t="s">
        <v>42</v>
      </c>
    </row>
    <row r="81" spans="1:17" x14ac:dyDescent="0.25">
      <c r="A81" s="1">
        <v>46188</v>
      </c>
      <c r="B81" s="1">
        <v>46186</v>
      </c>
      <c r="C81" s="2" t="s">
        <v>239</v>
      </c>
      <c r="D81" s="2" t="s">
        <v>18</v>
      </c>
      <c r="E81" s="2" t="s">
        <v>207</v>
      </c>
      <c r="F81" s="2" t="s">
        <v>20</v>
      </c>
      <c r="G81" s="2" t="s">
        <v>50</v>
      </c>
      <c r="H81" s="2" t="s">
        <v>143</v>
      </c>
      <c r="I81" s="2" t="s">
        <v>144</v>
      </c>
      <c r="J81" s="3">
        <v>3</v>
      </c>
      <c r="K81" s="2" t="s">
        <v>51</v>
      </c>
      <c r="L81" s="3">
        <v>3</v>
      </c>
      <c r="M81" s="11">
        <v>103500</v>
      </c>
      <c r="N81" s="3">
        <v>0</v>
      </c>
      <c r="O81" s="2" t="s">
        <v>25</v>
      </c>
      <c r="P81" s="2" t="s">
        <v>26</v>
      </c>
      <c r="Q81" s="2" t="s">
        <v>42</v>
      </c>
    </row>
    <row r="82" spans="1:17" x14ac:dyDescent="0.25">
      <c r="A82" s="1">
        <v>46188</v>
      </c>
      <c r="B82" s="1">
        <v>46186</v>
      </c>
      <c r="C82" s="2" t="s">
        <v>240</v>
      </c>
      <c r="D82" s="2" t="s">
        <v>18</v>
      </c>
      <c r="E82" s="2" t="s">
        <v>235</v>
      </c>
      <c r="F82" s="2" t="s">
        <v>20</v>
      </c>
      <c r="G82" s="2" t="s">
        <v>50</v>
      </c>
      <c r="H82" s="2" t="s">
        <v>241</v>
      </c>
      <c r="I82" s="2" t="s">
        <v>242</v>
      </c>
      <c r="J82" s="3">
        <v>1</v>
      </c>
      <c r="K82" s="2" t="s">
        <v>51</v>
      </c>
      <c r="L82" s="3">
        <v>1</v>
      </c>
      <c r="M82" s="11">
        <v>25000</v>
      </c>
      <c r="N82" s="3">
        <v>0</v>
      </c>
      <c r="O82" s="2" t="s">
        <v>25</v>
      </c>
      <c r="P82" s="2" t="s">
        <v>26</v>
      </c>
      <c r="Q82" s="2" t="s">
        <v>42</v>
      </c>
    </row>
    <row r="83" spans="1:17" x14ac:dyDescent="0.25">
      <c r="A83" s="1">
        <v>46188</v>
      </c>
      <c r="B83" s="1">
        <v>46186</v>
      </c>
      <c r="C83" s="2" t="s">
        <v>243</v>
      </c>
      <c r="D83" s="2" t="s">
        <v>18</v>
      </c>
      <c r="E83" s="2" t="s">
        <v>235</v>
      </c>
      <c r="F83" s="2" t="s">
        <v>20</v>
      </c>
      <c r="G83" s="2" t="s">
        <v>50</v>
      </c>
      <c r="H83" s="2" t="s">
        <v>241</v>
      </c>
      <c r="I83" s="2" t="s">
        <v>242</v>
      </c>
      <c r="J83" s="3">
        <v>1</v>
      </c>
      <c r="K83" s="2" t="s">
        <v>51</v>
      </c>
      <c r="L83" s="3">
        <v>1</v>
      </c>
      <c r="M83" s="11">
        <v>25000</v>
      </c>
      <c r="N83" s="3">
        <v>0</v>
      </c>
      <c r="O83" s="2" t="s">
        <v>25</v>
      </c>
      <c r="P83" s="2" t="s">
        <v>26</v>
      </c>
      <c r="Q83" s="2" t="s">
        <v>42</v>
      </c>
    </row>
    <row r="84" spans="1:17" x14ac:dyDescent="0.25">
      <c r="A84" s="1">
        <v>46188</v>
      </c>
      <c r="B84" s="1">
        <v>46186</v>
      </c>
      <c r="C84" s="2" t="s">
        <v>244</v>
      </c>
      <c r="D84" s="2" t="s">
        <v>18</v>
      </c>
      <c r="E84" s="2" t="s">
        <v>235</v>
      </c>
      <c r="F84" s="2" t="s">
        <v>20</v>
      </c>
      <c r="G84" s="2" t="s">
        <v>50</v>
      </c>
      <c r="H84" s="2" t="s">
        <v>232</v>
      </c>
      <c r="I84" s="2" t="s">
        <v>233</v>
      </c>
      <c r="J84" s="3">
        <v>5</v>
      </c>
      <c r="K84" s="2" t="s">
        <v>51</v>
      </c>
      <c r="L84" s="3">
        <v>3.65</v>
      </c>
      <c r="M84" s="11">
        <v>591300</v>
      </c>
      <c r="N84" s="3">
        <v>-1.35</v>
      </c>
      <c r="O84" s="2" t="s">
        <v>25</v>
      </c>
      <c r="P84" s="2" t="s">
        <v>26</v>
      </c>
      <c r="Q84" s="2" t="s">
        <v>42</v>
      </c>
    </row>
    <row r="85" spans="1:17" x14ac:dyDescent="0.25">
      <c r="A85" s="1">
        <v>46188</v>
      </c>
      <c r="B85" s="1">
        <v>46186</v>
      </c>
      <c r="C85" s="2" t="s">
        <v>245</v>
      </c>
      <c r="D85" s="2" t="s">
        <v>18</v>
      </c>
      <c r="E85" s="2" t="s">
        <v>235</v>
      </c>
      <c r="F85" s="2" t="s">
        <v>20</v>
      </c>
      <c r="G85" s="2" t="s">
        <v>50</v>
      </c>
      <c r="H85" s="2" t="s">
        <v>143</v>
      </c>
      <c r="I85" s="2" t="s">
        <v>144</v>
      </c>
      <c r="J85" s="3">
        <v>3</v>
      </c>
      <c r="K85" s="2" t="s">
        <v>51</v>
      </c>
      <c r="L85" s="3">
        <v>3</v>
      </c>
      <c r="M85" s="11">
        <v>107999.99</v>
      </c>
      <c r="N85" s="3">
        <v>0</v>
      </c>
      <c r="O85" s="2" t="s">
        <v>25</v>
      </c>
      <c r="P85" s="2" t="s">
        <v>26</v>
      </c>
      <c r="Q85" s="2" t="s">
        <v>42</v>
      </c>
    </row>
    <row r="86" spans="1:17" x14ac:dyDescent="0.25">
      <c r="A86" s="1">
        <v>46188</v>
      </c>
      <c r="B86" s="1">
        <v>46186</v>
      </c>
      <c r="C86" s="2" t="s">
        <v>246</v>
      </c>
      <c r="D86" s="2" t="s">
        <v>18</v>
      </c>
      <c r="E86" s="2" t="s">
        <v>235</v>
      </c>
      <c r="F86" s="2" t="s">
        <v>20</v>
      </c>
      <c r="G86" s="2" t="s">
        <v>50</v>
      </c>
      <c r="H86" s="2" t="s">
        <v>143</v>
      </c>
      <c r="I86" s="2" t="s">
        <v>144</v>
      </c>
      <c r="J86" s="3">
        <v>2</v>
      </c>
      <c r="K86" s="2" t="s">
        <v>51</v>
      </c>
      <c r="L86" s="3">
        <v>2</v>
      </c>
      <c r="M86" s="11">
        <v>71999.990000000005</v>
      </c>
      <c r="N86" s="3">
        <v>0</v>
      </c>
      <c r="O86" s="2" t="s">
        <v>25</v>
      </c>
      <c r="P86" s="2" t="s">
        <v>26</v>
      </c>
      <c r="Q86" s="2" t="s">
        <v>42</v>
      </c>
    </row>
    <row r="87" spans="1:17" x14ac:dyDescent="0.25">
      <c r="A87" s="1">
        <v>46188</v>
      </c>
      <c r="B87" s="1">
        <v>46186</v>
      </c>
      <c r="C87" s="2" t="s">
        <v>247</v>
      </c>
      <c r="D87" s="2" t="s">
        <v>18</v>
      </c>
      <c r="E87" s="2" t="s">
        <v>235</v>
      </c>
      <c r="F87" s="2" t="s">
        <v>20</v>
      </c>
      <c r="G87" s="2" t="s">
        <v>50</v>
      </c>
      <c r="H87" s="2" t="s">
        <v>232</v>
      </c>
      <c r="I87" s="2" t="s">
        <v>233</v>
      </c>
      <c r="J87" s="3">
        <v>5</v>
      </c>
      <c r="K87" s="2" t="s">
        <v>51</v>
      </c>
      <c r="L87" s="3">
        <v>4.62</v>
      </c>
      <c r="M87" s="11">
        <v>748440</v>
      </c>
      <c r="N87" s="3">
        <v>-0.38</v>
      </c>
      <c r="O87" s="2" t="s">
        <v>25</v>
      </c>
      <c r="P87" s="2" t="s">
        <v>26</v>
      </c>
      <c r="Q87" s="2" t="s">
        <v>42</v>
      </c>
    </row>
    <row r="88" spans="1:17" x14ac:dyDescent="0.25">
      <c r="A88" s="1">
        <v>46188</v>
      </c>
      <c r="B88" s="1">
        <v>46186</v>
      </c>
      <c r="C88" s="2" t="s">
        <v>248</v>
      </c>
      <c r="D88" s="2" t="s">
        <v>18</v>
      </c>
      <c r="E88" s="2" t="s">
        <v>49</v>
      </c>
      <c r="F88" s="2" t="s">
        <v>20</v>
      </c>
      <c r="G88" s="2" t="s">
        <v>50</v>
      </c>
      <c r="H88" s="2" t="s">
        <v>122</v>
      </c>
      <c r="I88" s="2" t="s">
        <v>123</v>
      </c>
      <c r="J88" s="3">
        <v>12</v>
      </c>
      <c r="K88" s="2" t="s">
        <v>51</v>
      </c>
      <c r="L88" s="3">
        <v>11.18</v>
      </c>
      <c r="M88" s="11">
        <v>2124200</v>
      </c>
      <c r="N88" s="3">
        <v>-0.82</v>
      </c>
      <c r="O88" s="2" t="s">
        <v>25</v>
      </c>
      <c r="P88" s="2" t="s">
        <v>26</v>
      </c>
      <c r="Q88" s="2" t="s">
        <v>42</v>
      </c>
    </row>
    <row r="89" spans="1:17" x14ac:dyDescent="0.25">
      <c r="A89" s="1">
        <v>46188</v>
      </c>
      <c r="B89" s="1">
        <v>46186</v>
      </c>
      <c r="C89" s="2" t="s">
        <v>249</v>
      </c>
      <c r="D89" s="2" t="s">
        <v>18</v>
      </c>
      <c r="E89" s="2" t="s">
        <v>250</v>
      </c>
      <c r="F89" s="2" t="s">
        <v>142</v>
      </c>
      <c r="G89" s="2" t="s">
        <v>251</v>
      </c>
      <c r="H89" s="2" t="s">
        <v>252</v>
      </c>
      <c r="I89" s="2" t="s">
        <v>253</v>
      </c>
      <c r="J89" s="3">
        <v>6</v>
      </c>
      <c r="K89" s="2" t="s">
        <v>254</v>
      </c>
      <c r="L89" s="3">
        <v>6</v>
      </c>
      <c r="M89" s="11">
        <v>359640</v>
      </c>
      <c r="N89" s="3">
        <v>0</v>
      </c>
      <c r="O89" s="2" t="s">
        <v>25</v>
      </c>
      <c r="P89" s="2" t="s">
        <v>26</v>
      </c>
      <c r="Q89" s="2" t="s">
        <v>42</v>
      </c>
    </row>
    <row r="90" spans="1:17" x14ac:dyDescent="0.25">
      <c r="A90" s="1">
        <v>46188</v>
      </c>
      <c r="B90" s="1">
        <v>46186</v>
      </c>
      <c r="C90" s="2" t="s">
        <v>255</v>
      </c>
      <c r="D90" s="2" t="s">
        <v>18</v>
      </c>
      <c r="E90" s="2" t="s">
        <v>256</v>
      </c>
      <c r="F90" s="2" t="s">
        <v>142</v>
      </c>
      <c r="G90" s="2" t="s">
        <v>251</v>
      </c>
      <c r="H90" s="2" t="s">
        <v>22</v>
      </c>
      <c r="I90" s="2" t="s">
        <v>23</v>
      </c>
      <c r="J90" s="3">
        <v>1</v>
      </c>
      <c r="K90" s="2" t="s">
        <v>24</v>
      </c>
      <c r="L90" s="3">
        <v>1</v>
      </c>
      <c r="M90" s="11">
        <v>285000</v>
      </c>
      <c r="N90" s="3">
        <v>0</v>
      </c>
      <c r="O90" s="2" t="s">
        <v>25</v>
      </c>
      <c r="P90" s="2" t="s">
        <v>26</v>
      </c>
      <c r="Q90" s="2" t="s">
        <v>42</v>
      </c>
    </row>
    <row r="91" spans="1:17" x14ac:dyDescent="0.25">
      <c r="A91" s="1">
        <v>46188</v>
      </c>
      <c r="B91" s="1">
        <v>46186</v>
      </c>
      <c r="C91" s="2" t="s">
        <v>257</v>
      </c>
      <c r="D91" s="2" t="s">
        <v>18</v>
      </c>
      <c r="E91" s="2" t="s">
        <v>258</v>
      </c>
      <c r="F91" s="2" t="s">
        <v>142</v>
      </c>
      <c r="G91" s="2" t="s">
        <v>32</v>
      </c>
      <c r="H91" s="2" t="s">
        <v>99</v>
      </c>
      <c r="I91" s="2" t="s">
        <v>100</v>
      </c>
      <c r="J91" s="3">
        <v>20</v>
      </c>
      <c r="K91" s="2" t="s">
        <v>51</v>
      </c>
      <c r="L91" s="3">
        <v>20</v>
      </c>
      <c r="M91" s="11">
        <v>333000</v>
      </c>
      <c r="N91" s="3">
        <v>0</v>
      </c>
      <c r="O91" s="2" t="s">
        <v>25</v>
      </c>
      <c r="P91" s="2" t="s">
        <v>26</v>
      </c>
      <c r="Q91" s="2" t="s">
        <v>42</v>
      </c>
    </row>
    <row r="92" spans="1:17" x14ac:dyDescent="0.25">
      <c r="A92" s="1">
        <v>46188</v>
      </c>
      <c r="B92" s="1">
        <v>46186</v>
      </c>
      <c r="C92" s="2" t="s">
        <v>259</v>
      </c>
      <c r="D92" s="2" t="s">
        <v>18</v>
      </c>
      <c r="E92" s="2" t="s">
        <v>260</v>
      </c>
      <c r="F92" s="2" t="s">
        <v>20</v>
      </c>
      <c r="G92" s="2" t="s">
        <v>54</v>
      </c>
      <c r="H92" s="2" t="s">
        <v>117</v>
      </c>
      <c r="I92" s="2" t="s">
        <v>118</v>
      </c>
      <c r="J92" s="3">
        <v>13.8</v>
      </c>
      <c r="K92" s="2" t="s">
        <v>51</v>
      </c>
      <c r="L92" s="3">
        <v>13.8</v>
      </c>
      <c r="M92" s="11">
        <v>1593899.94</v>
      </c>
      <c r="N92" s="3">
        <v>0</v>
      </c>
      <c r="O92" s="2" t="s">
        <v>25</v>
      </c>
      <c r="P92" s="2" t="s">
        <v>26</v>
      </c>
      <c r="Q92" s="2" t="s">
        <v>261</v>
      </c>
    </row>
    <row r="93" spans="1:17" x14ac:dyDescent="0.25">
      <c r="A93" s="1">
        <v>46188</v>
      </c>
      <c r="B93" s="1">
        <v>46186</v>
      </c>
      <c r="C93" s="2" t="s">
        <v>262</v>
      </c>
      <c r="D93" s="2" t="s">
        <v>18</v>
      </c>
      <c r="E93" s="2" t="s">
        <v>263</v>
      </c>
      <c r="F93" s="2" t="s">
        <v>20</v>
      </c>
      <c r="G93" s="2" t="s">
        <v>200</v>
      </c>
      <c r="H93" s="2" t="s">
        <v>264</v>
      </c>
      <c r="I93" s="2" t="s">
        <v>265</v>
      </c>
      <c r="J93" s="3">
        <v>72</v>
      </c>
      <c r="K93" s="2" t="s">
        <v>41</v>
      </c>
      <c r="L93" s="3">
        <v>72</v>
      </c>
      <c r="M93" s="11">
        <v>208799.95</v>
      </c>
      <c r="N93" s="3">
        <v>0</v>
      </c>
      <c r="O93" s="2" t="s">
        <v>25</v>
      </c>
      <c r="P93" s="2" t="s">
        <v>26</v>
      </c>
      <c r="Q93" s="2" t="s">
        <v>42</v>
      </c>
    </row>
    <row r="94" spans="1:17" x14ac:dyDescent="0.25">
      <c r="A94" s="1">
        <v>46188</v>
      </c>
      <c r="B94" s="1">
        <v>46186</v>
      </c>
      <c r="C94" s="2" t="s">
        <v>262</v>
      </c>
      <c r="D94" s="2" t="s">
        <v>18</v>
      </c>
      <c r="E94" s="2" t="s">
        <v>263</v>
      </c>
      <c r="F94" s="2" t="s">
        <v>20</v>
      </c>
      <c r="G94" s="2" t="s">
        <v>200</v>
      </c>
      <c r="H94" s="2" t="s">
        <v>201</v>
      </c>
      <c r="I94" s="2" t="s">
        <v>202</v>
      </c>
      <c r="J94" s="3">
        <v>16</v>
      </c>
      <c r="K94" s="2" t="s">
        <v>85</v>
      </c>
      <c r="L94" s="3">
        <v>16</v>
      </c>
      <c r="M94" s="11">
        <v>1583999.99</v>
      </c>
      <c r="N94" s="3">
        <v>0</v>
      </c>
      <c r="O94" s="2" t="s">
        <v>25</v>
      </c>
      <c r="P94" s="2" t="s">
        <v>26</v>
      </c>
      <c r="Q94" s="2" t="s">
        <v>42</v>
      </c>
    </row>
    <row r="95" spans="1:17" x14ac:dyDescent="0.25">
      <c r="A95" s="1">
        <v>46188</v>
      </c>
      <c r="B95" s="1">
        <v>46186</v>
      </c>
      <c r="C95" s="2" t="s">
        <v>266</v>
      </c>
      <c r="D95" s="2" t="s">
        <v>18</v>
      </c>
      <c r="E95" s="2" t="s">
        <v>267</v>
      </c>
      <c r="F95" s="2" t="s">
        <v>20</v>
      </c>
      <c r="G95" s="2" t="s">
        <v>54</v>
      </c>
      <c r="H95" s="2" t="s">
        <v>122</v>
      </c>
      <c r="I95" s="2" t="s">
        <v>123</v>
      </c>
      <c r="J95" s="3">
        <v>10</v>
      </c>
      <c r="K95" s="2" t="s">
        <v>51</v>
      </c>
      <c r="L95" s="3">
        <v>7.15</v>
      </c>
      <c r="M95" s="11">
        <v>1322750</v>
      </c>
      <c r="N95" s="3">
        <v>-2.85</v>
      </c>
      <c r="O95" s="2" t="s">
        <v>25</v>
      </c>
      <c r="P95" s="2" t="s">
        <v>26</v>
      </c>
      <c r="Q95" s="2" t="s">
        <v>268</v>
      </c>
    </row>
    <row r="96" spans="1:17" x14ac:dyDescent="0.25">
      <c r="A96" s="1">
        <v>46188</v>
      </c>
      <c r="B96" s="1">
        <v>46186</v>
      </c>
      <c r="C96" s="2" t="s">
        <v>269</v>
      </c>
      <c r="D96" s="2" t="s">
        <v>18</v>
      </c>
      <c r="E96" s="2" t="s">
        <v>270</v>
      </c>
      <c r="F96" s="2" t="s">
        <v>20</v>
      </c>
      <c r="G96" s="2" t="s">
        <v>213</v>
      </c>
      <c r="H96" s="2" t="s">
        <v>110</v>
      </c>
      <c r="I96" s="2" t="s">
        <v>111</v>
      </c>
      <c r="J96" s="3">
        <v>2</v>
      </c>
      <c r="K96" s="2" t="s">
        <v>85</v>
      </c>
      <c r="L96" s="3">
        <v>2</v>
      </c>
      <c r="M96" s="11">
        <v>217099.99</v>
      </c>
      <c r="N96" s="3">
        <v>0</v>
      </c>
      <c r="O96" s="2" t="s">
        <v>25</v>
      </c>
      <c r="P96" s="2" t="s">
        <v>26</v>
      </c>
      <c r="Q96" s="2" t="s">
        <v>42</v>
      </c>
    </row>
    <row r="97" spans="1:17" x14ac:dyDescent="0.25">
      <c r="A97" s="1">
        <v>46188</v>
      </c>
      <c r="B97" s="1">
        <v>46186</v>
      </c>
      <c r="C97" s="2" t="s">
        <v>269</v>
      </c>
      <c r="D97" s="2" t="s">
        <v>18</v>
      </c>
      <c r="E97" s="2" t="s">
        <v>270</v>
      </c>
      <c r="F97" s="2" t="s">
        <v>20</v>
      </c>
      <c r="G97" s="2" t="s">
        <v>213</v>
      </c>
      <c r="H97" s="2" t="s">
        <v>271</v>
      </c>
      <c r="I97" s="2" t="s">
        <v>272</v>
      </c>
      <c r="J97" s="3">
        <v>13</v>
      </c>
      <c r="K97" s="2" t="s">
        <v>85</v>
      </c>
      <c r="L97" s="3">
        <v>13</v>
      </c>
      <c r="M97" s="11">
        <v>820299.99</v>
      </c>
      <c r="N97" s="3">
        <v>0</v>
      </c>
      <c r="O97" s="2" t="s">
        <v>25</v>
      </c>
      <c r="P97" s="2" t="s">
        <v>26</v>
      </c>
      <c r="Q97" s="2" t="s">
        <v>42</v>
      </c>
    </row>
    <row r="98" spans="1:17" x14ac:dyDescent="0.25">
      <c r="A98" s="1">
        <v>46188</v>
      </c>
      <c r="B98" s="1">
        <v>46186</v>
      </c>
      <c r="C98" s="2" t="s">
        <v>269</v>
      </c>
      <c r="D98" s="2" t="s">
        <v>18</v>
      </c>
      <c r="E98" s="2" t="s">
        <v>270</v>
      </c>
      <c r="F98" s="2" t="s">
        <v>20</v>
      </c>
      <c r="G98" s="2" t="s">
        <v>213</v>
      </c>
      <c r="H98" s="2" t="s">
        <v>201</v>
      </c>
      <c r="I98" s="2" t="s">
        <v>202</v>
      </c>
      <c r="J98" s="3">
        <v>13</v>
      </c>
      <c r="K98" s="2" t="s">
        <v>85</v>
      </c>
      <c r="L98" s="3">
        <v>13</v>
      </c>
      <c r="M98" s="11">
        <v>1364999.99</v>
      </c>
      <c r="N98" s="3">
        <v>0</v>
      </c>
      <c r="O98" s="2" t="s">
        <v>25</v>
      </c>
      <c r="P98" s="2" t="s">
        <v>26</v>
      </c>
      <c r="Q98" s="2" t="s">
        <v>42</v>
      </c>
    </row>
    <row r="99" spans="1:17" x14ac:dyDescent="0.25">
      <c r="A99" s="1">
        <v>46188</v>
      </c>
      <c r="B99" s="1">
        <v>46186</v>
      </c>
      <c r="C99" s="2" t="s">
        <v>273</v>
      </c>
      <c r="D99" s="2" t="s">
        <v>18</v>
      </c>
      <c r="E99" s="2" t="s">
        <v>274</v>
      </c>
      <c r="F99" s="2" t="s">
        <v>142</v>
      </c>
      <c r="G99" s="2" t="s">
        <v>32</v>
      </c>
      <c r="H99" s="2" t="s">
        <v>33</v>
      </c>
      <c r="I99" s="2" t="s">
        <v>34</v>
      </c>
      <c r="J99" s="3">
        <v>5</v>
      </c>
      <c r="K99" s="2" t="s">
        <v>24</v>
      </c>
      <c r="L99" s="3">
        <v>5</v>
      </c>
      <c r="M99" s="11">
        <v>1380000.01</v>
      </c>
      <c r="N99" s="3">
        <v>0</v>
      </c>
      <c r="O99" s="2" t="s">
        <v>25</v>
      </c>
      <c r="P99" s="2" t="s">
        <v>26</v>
      </c>
      <c r="Q99" s="2" t="s">
        <v>275</v>
      </c>
    </row>
    <row r="100" spans="1:17" x14ac:dyDescent="0.25">
      <c r="A100" s="1">
        <v>46188</v>
      </c>
      <c r="B100" s="1">
        <v>46186</v>
      </c>
      <c r="C100" s="2" t="s">
        <v>276</v>
      </c>
      <c r="D100" s="2" t="s">
        <v>18</v>
      </c>
      <c r="E100" s="2" t="s">
        <v>277</v>
      </c>
      <c r="F100" s="2" t="s">
        <v>20</v>
      </c>
      <c r="G100" s="2" t="s">
        <v>38</v>
      </c>
      <c r="H100" s="2" t="s">
        <v>122</v>
      </c>
      <c r="I100" s="2" t="s">
        <v>123</v>
      </c>
      <c r="J100" s="3">
        <v>200</v>
      </c>
      <c r="K100" s="2" t="s">
        <v>51</v>
      </c>
      <c r="L100" s="3">
        <v>200</v>
      </c>
      <c r="M100" s="11">
        <v>37600000</v>
      </c>
      <c r="N100" s="3">
        <v>0</v>
      </c>
      <c r="O100" s="2" t="s">
        <v>25</v>
      </c>
      <c r="P100" s="2" t="s">
        <v>26</v>
      </c>
      <c r="Q100" s="2" t="s">
        <v>42</v>
      </c>
    </row>
    <row r="101" spans="1:17" x14ac:dyDescent="0.25">
      <c r="A101" s="1">
        <v>46188</v>
      </c>
      <c r="B101" s="1">
        <v>46186</v>
      </c>
      <c r="C101" s="2" t="s">
        <v>278</v>
      </c>
      <c r="D101" s="2" t="s">
        <v>18</v>
      </c>
      <c r="E101" s="2" t="s">
        <v>279</v>
      </c>
      <c r="F101" s="2" t="s">
        <v>20</v>
      </c>
      <c r="G101" s="2" t="s">
        <v>38</v>
      </c>
      <c r="H101" s="2" t="s">
        <v>33</v>
      </c>
      <c r="I101" s="2" t="s">
        <v>34</v>
      </c>
      <c r="J101" s="3">
        <v>30</v>
      </c>
      <c r="K101" s="2" t="s">
        <v>24</v>
      </c>
      <c r="L101" s="3">
        <v>30</v>
      </c>
      <c r="M101" s="11">
        <v>8235000.0899999999</v>
      </c>
      <c r="N101" s="3">
        <v>0</v>
      </c>
      <c r="O101" s="2" t="s">
        <v>25</v>
      </c>
      <c r="P101" s="2" t="s">
        <v>26</v>
      </c>
      <c r="Q101" s="2" t="s">
        <v>42</v>
      </c>
    </row>
    <row r="102" spans="1:17" x14ac:dyDescent="0.25">
      <c r="A102" s="1">
        <v>46188</v>
      </c>
      <c r="B102" s="1">
        <v>46186</v>
      </c>
      <c r="C102" s="2" t="s">
        <v>280</v>
      </c>
      <c r="D102" s="2" t="s">
        <v>18</v>
      </c>
      <c r="E102" s="2" t="s">
        <v>281</v>
      </c>
      <c r="F102" s="2" t="s">
        <v>20</v>
      </c>
      <c r="G102" s="2" t="s">
        <v>131</v>
      </c>
      <c r="H102" s="2" t="s">
        <v>117</v>
      </c>
      <c r="I102" s="2" t="s">
        <v>118</v>
      </c>
      <c r="J102" s="3">
        <v>30</v>
      </c>
      <c r="K102" s="2" t="s">
        <v>51</v>
      </c>
      <c r="L102" s="3">
        <v>29.899899999999999</v>
      </c>
      <c r="M102" s="11">
        <v>2750800.24</v>
      </c>
      <c r="N102" s="3">
        <v>-0.10009999999999999</v>
      </c>
      <c r="O102" s="2" t="s">
        <v>25</v>
      </c>
      <c r="P102" s="2" t="s">
        <v>26</v>
      </c>
      <c r="Q102" s="2" t="s">
        <v>282</v>
      </c>
    </row>
    <row r="103" spans="1:17" x14ac:dyDescent="0.25">
      <c r="A103" s="1">
        <v>46188</v>
      </c>
      <c r="B103" s="1">
        <v>46186</v>
      </c>
      <c r="C103" s="2" t="s">
        <v>283</v>
      </c>
      <c r="D103" s="2" t="s">
        <v>18</v>
      </c>
      <c r="E103" s="2" t="s">
        <v>284</v>
      </c>
      <c r="F103" s="2" t="s">
        <v>20</v>
      </c>
      <c r="G103" s="2" t="s">
        <v>131</v>
      </c>
      <c r="H103" s="2" t="s">
        <v>28</v>
      </c>
      <c r="I103" s="2" t="s">
        <v>29</v>
      </c>
      <c r="J103" s="3">
        <v>1</v>
      </c>
      <c r="K103" s="2" t="s">
        <v>24</v>
      </c>
      <c r="L103" s="3">
        <v>1</v>
      </c>
      <c r="M103" s="11">
        <v>560000</v>
      </c>
      <c r="N103" s="3">
        <v>0</v>
      </c>
      <c r="O103" s="2" t="s">
        <v>25</v>
      </c>
      <c r="P103" s="2" t="s">
        <v>26</v>
      </c>
      <c r="Q103" s="2" t="s">
        <v>42</v>
      </c>
    </row>
    <row r="104" spans="1:17" x14ac:dyDescent="0.25">
      <c r="A104" s="1">
        <v>46188</v>
      </c>
      <c r="B104" s="1">
        <v>46186</v>
      </c>
      <c r="C104" s="2" t="s">
        <v>283</v>
      </c>
      <c r="D104" s="2" t="s">
        <v>18</v>
      </c>
      <c r="E104" s="2" t="s">
        <v>284</v>
      </c>
      <c r="F104" s="2" t="s">
        <v>20</v>
      </c>
      <c r="G104" s="2" t="s">
        <v>131</v>
      </c>
      <c r="H104" s="2" t="s">
        <v>22</v>
      </c>
      <c r="I104" s="2" t="s">
        <v>23</v>
      </c>
      <c r="J104" s="3">
        <v>5</v>
      </c>
      <c r="K104" s="2" t="s">
        <v>24</v>
      </c>
      <c r="L104" s="3">
        <v>5</v>
      </c>
      <c r="M104" s="11">
        <v>1575000</v>
      </c>
      <c r="N104" s="3">
        <v>0</v>
      </c>
      <c r="O104" s="2" t="s">
        <v>25</v>
      </c>
      <c r="P104" s="2" t="s">
        <v>26</v>
      </c>
      <c r="Q104" s="2" t="s">
        <v>42</v>
      </c>
    </row>
    <row r="105" spans="1:17" x14ac:dyDescent="0.25">
      <c r="A105" s="1">
        <v>46188</v>
      </c>
      <c r="B105" s="1">
        <v>46186</v>
      </c>
      <c r="C105" s="2" t="s">
        <v>285</v>
      </c>
      <c r="D105" s="2" t="s">
        <v>18</v>
      </c>
      <c r="E105" s="2" t="s">
        <v>286</v>
      </c>
      <c r="F105" s="2" t="s">
        <v>20</v>
      </c>
      <c r="G105" s="2" t="s">
        <v>131</v>
      </c>
      <c r="H105" s="2" t="s">
        <v>22</v>
      </c>
      <c r="I105" s="2" t="s">
        <v>23</v>
      </c>
      <c r="J105" s="3">
        <v>10</v>
      </c>
      <c r="K105" s="2" t="s">
        <v>24</v>
      </c>
      <c r="L105" s="3">
        <v>10</v>
      </c>
      <c r="M105" s="11">
        <v>3149999.99</v>
      </c>
      <c r="N105" s="3">
        <v>0</v>
      </c>
      <c r="O105" s="2" t="s">
        <v>25</v>
      </c>
      <c r="P105" s="2" t="s">
        <v>26</v>
      </c>
      <c r="Q105" s="2" t="s">
        <v>42</v>
      </c>
    </row>
    <row r="106" spans="1:17" x14ac:dyDescent="0.25">
      <c r="A106" s="1">
        <v>46188</v>
      </c>
      <c r="B106" s="1">
        <v>46186</v>
      </c>
      <c r="C106" s="2" t="s">
        <v>287</v>
      </c>
      <c r="D106" s="2" t="s">
        <v>18</v>
      </c>
      <c r="E106" s="2" t="s">
        <v>288</v>
      </c>
      <c r="F106" s="2" t="s">
        <v>142</v>
      </c>
      <c r="G106" s="2" t="s">
        <v>131</v>
      </c>
      <c r="H106" s="2" t="s">
        <v>22</v>
      </c>
      <c r="I106" s="2" t="s">
        <v>23</v>
      </c>
      <c r="J106" s="3">
        <v>2</v>
      </c>
      <c r="K106" s="2" t="s">
        <v>24</v>
      </c>
      <c r="L106" s="3">
        <v>2</v>
      </c>
      <c r="M106" s="11">
        <v>654900</v>
      </c>
      <c r="N106" s="3">
        <v>0</v>
      </c>
      <c r="O106" s="2" t="s">
        <v>25</v>
      </c>
      <c r="P106" s="2" t="s">
        <v>26</v>
      </c>
      <c r="Q106" s="2" t="s">
        <v>42</v>
      </c>
    </row>
    <row r="107" spans="1:17" x14ac:dyDescent="0.25">
      <c r="A107" s="1">
        <v>46188</v>
      </c>
      <c r="B107" s="1">
        <v>46186</v>
      </c>
      <c r="C107" s="2" t="s">
        <v>289</v>
      </c>
      <c r="D107" s="2" t="s">
        <v>18</v>
      </c>
      <c r="E107" s="2" t="s">
        <v>178</v>
      </c>
      <c r="F107" s="2" t="s">
        <v>20</v>
      </c>
      <c r="G107" s="2" t="s">
        <v>131</v>
      </c>
      <c r="H107" s="2" t="s">
        <v>22</v>
      </c>
      <c r="I107" s="2" t="s">
        <v>23</v>
      </c>
      <c r="J107" s="3">
        <v>12</v>
      </c>
      <c r="K107" s="2" t="s">
        <v>24</v>
      </c>
      <c r="L107" s="3">
        <v>12</v>
      </c>
      <c r="M107" s="11">
        <v>3840000</v>
      </c>
      <c r="N107" s="3">
        <v>0</v>
      </c>
      <c r="O107" s="2" t="s">
        <v>25</v>
      </c>
      <c r="P107" s="2" t="s">
        <v>26</v>
      </c>
      <c r="Q107" s="2" t="s">
        <v>42</v>
      </c>
    </row>
    <row r="108" spans="1:17" x14ac:dyDescent="0.25">
      <c r="A108" s="1">
        <v>46188</v>
      </c>
      <c r="B108" s="1">
        <v>46186</v>
      </c>
      <c r="C108" s="2" t="s">
        <v>290</v>
      </c>
      <c r="D108" s="2" t="s">
        <v>18</v>
      </c>
      <c r="E108" s="2" t="s">
        <v>291</v>
      </c>
      <c r="F108" s="2" t="s">
        <v>142</v>
      </c>
      <c r="G108" s="2" t="s">
        <v>131</v>
      </c>
      <c r="H108" s="2" t="s">
        <v>22</v>
      </c>
      <c r="I108" s="2" t="s">
        <v>23</v>
      </c>
      <c r="J108" s="3">
        <v>1</v>
      </c>
      <c r="K108" s="2" t="s">
        <v>24</v>
      </c>
      <c r="L108" s="3">
        <v>1</v>
      </c>
      <c r="M108" s="11">
        <v>327450</v>
      </c>
      <c r="N108" s="3">
        <v>0</v>
      </c>
      <c r="O108" s="2" t="s">
        <v>25</v>
      </c>
      <c r="P108" s="2" t="s">
        <v>26</v>
      </c>
      <c r="Q108" s="2" t="s">
        <v>42</v>
      </c>
    </row>
    <row r="109" spans="1:17" x14ac:dyDescent="0.25">
      <c r="A109" s="1">
        <v>46188</v>
      </c>
      <c r="B109" s="1">
        <v>46186</v>
      </c>
      <c r="C109" s="2" t="s">
        <v>292</v>
      </c>
      <c r="D109" s="2" t="s">
        <v>18</v>
      </c>
      <c r="E109" s="2" t="s">
        <v>293</v>
      </c>
      <c r="F109" s="2" t="s">
        <v>20</v>
      </c>
      <c r="G109" s="2" t="s">
        <v>131</v>
      </c>
      <c r="H109" s="2" t="s">
        <v>22</v>
      </c>
      <c r="I109" s="2" t="s">
        <v>23</v>
      </c>
      <c r="J109" s="3">
        <v>1</v>
      </c>
      <c r="K109" s="2" t="s">
        <v>24</v>
      </c>
      <c r="L109" s="3">
        <v>1</v>
      </c>
      <c r="M109" s="11">
        <v>327450</v>
      </c>
      <c r="N109" s="3">
        <v>0</v>
      </c>
      <c r="O109" s="2" t="s">
        <v>25</v>
      </c>
      <c r="P109" s="2" t="s">
        <v>26</v>
      </c>
      <c r="Q109" s="2" t="s">
        <v>42</v>
      </c>
    </row>
    <row r="110" spans="1:17" x14ac:dyDescent="0.25">
      <c r="A110" s="1">
        <v>46188</v>
      </c>
      <c r="B110" s="1">
        <v>46186</v>
      </c>
      <c r="C110" s="2" t="s">
        <v>294</v>
      </c>
      <c r="D110" s="2" t="s">
        <v>18</v>
      </c>
      <c r="E110" s="2" t="s">
        <v>130</v>
      </c>
      <c r="F110" s="2" t="s">
        <v>20</v>
      </c>
      <c r="G110" s="2" t="s">
        <v>131</v>
      </c>
      <c r="H110" s="2" t="s">
        <v>22</v>
      </c>
      <c r="I110" s="2" t="s">
        <v>23</v>
      </c>
      <c r="J110" s="3">
        <v>4</v>
      </c>
      <c r="K110" s="2" t="s">
        <v>24</v>
      </c>
      <c r="L110" s="3">
        <v>4</v>
      </c>
      <c r="M110" s="11">
        <v>1309800</v>
      </c>
      <c r="N110" s="3">
        <v>0</v>
      </c>
      <c r="O110" s="2" t="s">
        <v>25</v>
      </c>
      <c r="P110" s="2" t="s">
        <v>26</v>
      </c>
      <c r="Q110" s="2" t="s">
        <v>42</v>
      </c>
    </row>
    <row r="111" spans="1:17" x14ac:dyDescent="0.25">
      <c r="A111" s="1">
        <v>46188</v>
      </c>
      <c r="B111" s="1">
        <v>46186</v>
      </c>
      <c r="C111" s="2" t="s">
        <v>295</v>
      </c>
      <c r="D111" s="2" t="s">
        <v>18</v>
      </c>
      <c r="E111" s="2" t="s">
        <v>296</v>
      </c>
      <c r="F111" s="2" t="s">
        <v>20</v>
      </c>
      <c r="G111" s="2" t="s">
        <v>251</v>
      </c>
      <c r="H111" s="2" t="s">
        <v>33</v>
      </c>
      <c r="I111" s="2" t="s">
        <v>34</v>
      </c>
      <c r="J111" s="3">
        <v>8</v>
      </c>
      <c r="K111" s="2" t="s">
        <v>24</v>
      </c>
      <c r="L111" s="3">
        <v>8</v>
      </c>
      <c r="M111" s="11">
        <v>2303999.9900000002</v>
      </c>
      <c r="N111" s="3">
        <v>0</v>
      </c>
      <c r="O111" s="2" t="s">
        <v>25</v>
      </c>
      <c r="P111" s="2" t="s">
        <v>26</v>
      </c>
      <c r="Q111" s="2" t="s">
        <v>42</v>
      </c>
    </row>
    <row r="112" spans="1:17" x14ac:dyDescent="0.25">
      <c r="A112" s="1">
        <v>46188</v>
      </c>
      <c r="B112" s="1">
        <v>46186</v>
      </c>
      <c r="C112" s="2" t="s">
        <v>297</v>
      </c>
      <c r="D112" s="2" t="s">
        <v>18</v>
      </c>
      <c r="E112" s="2" t="s">
        <v>298</v>
      </c>
      <c r="F112" s="2" t="s">
        <v>20</v>
      </c>
      <c r="G112" s="2" t="s">
        <v>50</v>
      </c>
      <c r="H112" s="2" t="s">
        <v>22</v>
      </c>
      <c r="I112" s="2" t="s">
        <v>23</v>
      </c>
      <c r="J112" s="3">
        <v>15</v>
      </c>
      <c r="K112" s="2" t="s">
        <v>24</v>
      </c>
      <c r="L112" s="3">
        <v>15</v>
      </c>
      <c r="M112" s="11">
        <v>4155000</v>
      </c>
      <c r="N112" s="3">
        <v>0</v>
      </c>
      <c r="O112" s="2" t="s">
        <v>25</v>
      </c>
      <c r="P112" s="2" t="s">
        <v>26</v>
      </c>
      <c r="Q112" s="2" t="s">
        <v>42</v>
      </c>
    </row>
    <row r="113" spans="1:17" x14ac:dyDescent="0.25">
      <c r="A113" s="1">
        <v>46188</v>
      </c>
      <c r="B113" s="1">
        <v>46186</v>
      </c>
      <c r="C113" s="2" t="s">
        <v>299</v>
      </c>
      <c r="D113" s="2" t="s">
        <v>18</v>
      </c>
      <c r="E113" s="2" t="s">
        <v>300</v>
      </c>
      <c r="F113" s="2" t="s">
        <v>20</v>
      </c>
      <c r="G113" s="2" t="s">
        <v>38</v>
      </c>
      <c r="H113" s="2" t="s">
        <v>301</v>
      </c>
      <c r="I113" s="2" t="s">
        <v>302</v>
      </c>
      <c r="J113" s="3">
        <v>14</v>
      </c>
      <c r="K113" s="2" t="s">
        <v>51</v>
      </c>
      <c r="L113" s="3">
        <v>18.719899999999999</v>
      </c>
      <c r="M113" s="11">
        <v>6552000</v>
      </c>
      <c r="N113" s="3">
        <v>4.7199</v>
      </c>
      <c r="O113" s="2" t="s">
        <v>25</v>
      </c>
      <c r="P113" s="2" t="s">
        <v>26</v>
      </c>
      <c r="Q113" s="2" t="s">
        <v>303</v>
      </c>
    </row>
    <row r="114" spans="1:17" x14ac:dyDescent="0.25">
      <c r="A114" s="1">
        <v>46188</v>
      </c>
      <c r="B114" s="1">
        <v>46186</v>
      </c>
      <c r="C114" s="2" t="s">
        <v>299</v>
      </c>
      <c r="D114" s="2" t="s">
        <v>18</v>
      </c>
      <c r="E114" s="2" t="s">
        <v>300</v>
      </c>
      <c r="F114" s="2" t="s">
        <v>20</v>
      </c>
      <c r="G114" s="2" t="s">
        <v>38</v>
      </c>
      <c r="H114" s="2" t="s">
        <v>74</v>
      </c>
      <c r="I114" s="2" t="s">
        <v>75</v>
      </c>
      <c r="J114" s="3">
        <v>5</v>
      </c>
      <c r="K114" s="2" t="s">
        <v>51</v>
      </c>
      <c r="L114" s="3">
        <v>5</v>
      </c>
      <c r="M114" s="11">
        <v>500000</v>
      </c>
      <c r="N114" s="3">
        <v>0</v>
      </c>
      <c r="O114" s="2" t="s">
        <v>25</v>
      </c>
      <c r="P114" s="2" t="s">
        <v>26</v>
      </c>
      <c r="Q114" s="2" t="s">
        <v>303</v>
      </c>
    </row>
    <row r="115" spans="1:17" x14ac:dyDescent="0.25">
      <c r="A115" s="1">
        <v>46188</v>
      </c>
      <c r="B115" s="1">
        <v>46186</v>
      </c>
      <c r="C115" s="2" t="s">
        <v>304</v>
      </c>
      <c r="D115" s="2" t="s">
        <v>18</v>
      </c>
      <c r="E115" s="2" t="s">
        <v>300</v>
      </c>
      <c r="F115" s="2" t="s">
        <v>20</v>
      </c>
      <c r="G115" s="2" t="s">
        <v>38</v>
      </c>
      <c r="H115" s="2" t="s">
        <v>301</v>
      </c>
      <c r="I115" s="2" t="s">
        <v>302</v>
      </c>
      <c r="J115" s="3">
        <v>14</v>
      </c>
      <c r="K115" s="2" t="s">
        <v>51</v>
      </c>
      <c r="L115" s="3">
        <v>17.289899999999999</v>
      </c>
      <c r="M115" s="11">
        <v>6051500</v>
      </c>
      <c r="N115" s="3">
        <v>3.2898999999999998</v>
      </c>
      <c r="O115" s="2" t="s">
        <v>25</v>
      </c>
      <c r="P115" s="2" t="s">
        <v>26</v>
      </c>
      <c r="Q115" s="2" t="s">
        <v>305</v>
      </c>
    </row>
    <row r="116" spans="1:17" x14ac:dyDescent="0.25">
      <c r="A116" s="1">
        <v>46188</v>
      </c>
      <c r="B116" s="1">
        <v>46186</v>
      </c>
      <c r="C116" s="2" t="s">
        <v>304</v>
      </c>
      <c r="D116" s="2" t="s">
        <v>18</v>
      </c>
      <c r="E116" s="2" t="s">
        <v>300</v>
      </c>
      <c r="F116" s="2" t="s">
        <v>20</v>
      </c>
      <c r="G116" s="2" t="s">
        <v>38</v>
      </c>
      <c r="H116" s="2" t="s">
        <v>74</v>
      </c>
      <c r="I116" s="2" t="s">
        <v>75</v>
      </c>
      <c r="J116" s="3">
        <v>2.5</v>
      </c>
      <c r="K116" s="2" t="s">
        <v>51</v>
      </c>
      <c r="L116" s="3">
        <v>2.5</v>
      </c>
      <c r="M116" s="11">
        <v>250000</v>
      </c>
      <c r="N116" s="3">
        <v>0</v>
      </c>
      <c r="O116" s="2" t="s">
        <v>25</v>
      </c>
      <c r="P116" s="2" t="s">
        <v>26</v>
      </c>
      <c r="Q116" s="2" t="s">
        <v>305</v>
      </c>
    </row>
    <row r="117" spans="1:17" x14ac:dyDescent="0.25">
      <c r="A117" s="1">
        <v>46188</v>
      </c>
      <c r="B117" s="1">
        <v>46186</v>
      </c>
      <c r="C117" s="2" t="s">
        <v>306</v>
      </c>
      <c r="D117" s="2" t="s">
        <v>18</v>
      </c>
      <c r="E117" s="2" t="s">
        <v>307</v>
      </c>
      <c r="F117" s="2" t="s">
        <v>20</v>
      </c>
      <c r="G117" s="2" t="s">
        <v>32</v>
      </c>
      <c r="H117" s="2" t="s">
        <v>77</v>
      </c>
      <c r="I117" s="2" t="s">
        <v>78</v>
      </c>
      <c r="J117" s="3">
        <v>1</v>
      </c>
      <c r="K117" s="2" t="s">
        <v>24</v>
      </c>
      <c r="L117" s="3">
        <v>1</v>
      </c>
      <c r="M117" s="11">
        <v>285000.01</v>
      </c>
      <c r="N117" s="3">
        <v>0</v>
      </c>
      <c r="O117" s="2" t="s">
        <v>25</v>
      </c>
      <c r="P117" s="2" t="s">
        <v>26</v>
      </c>
      <c r="Q117" s="2" t="s">
        <v>42</v>
      </c>
    </row>
    <row r="118" spans="1:17" x14ac:dyDescent="0.25">
      <c r="A118" s="1">
        <v>46188</v>
      </c>
      <c r="B118" s="1">
        <v>46186</v>
      </c>
      <c r="C118" s="2" t="s">
        <v>306</v>
      </c>
      <c r="D118" s="2" t="s">
        <v>18</v>
      </c>
      <c r="E118" s="2" t="s">
        <v>307</v>
      </c>
      <c r="F118" s="2" t="s">
        <v>20</v>
      </c>
      <c r="G118" s="2" t="s">
        <v>32</v>
      </c>
      <c r="H118" s="2" t="s">
        <v>66</v>
      </c>
      <c r="I118" s="2" t="s">
        <v>67</v>
      </c>
      <c r="J118" s="3">
        <v>2</v>
      </c>
      <c r="K118" s="2" t="s">
        <v>24</v>
      </c>
      <c r="L118" s="3">
        <v>2</v>
      </c>
      <c r="M118" s="11">
        <v>620000</v>
      </c>
      <c r="N118" s="3">
        <v>0</v>
      </c>
      <c r="O118" s="2" t="s">
        <v>25</v>
      </c>
      <c r="P118" s="2" t="s">
        <v>26</v>
      </c>
      <c r="Q118" s="2" t="s">
        <v>42</v>
      </c>
    </row>
    <row r="119" spans="1:17" x14ac:dyDescent="0.25">
      <c r="A119" s="1">
        <v>46188</v>
      </c>
      <c r="B119" s="1">
        <v>46186</v>
      </c>
      <c r="C119" s="2" t="s">
        <v>308</v>
      </c>
      <c r="D119" s="2" t="s">
        <v>18</v>
      </c>
      <c r="E119" s="2" t="s">
        <v>309</v>
      </c>
      <c r="F119" s="2" t="s">
        <v>142</v>
      </c>
      <c r="G119" s="2" t="s">
        <v>32</v>
      </c>
      <c r="H119" s="2" t="s">
        <v>114</v>
      </c>
      <c r="I119" s="2" t="s">
        <v>115</v>
      </c>
      <c r="J119" s="3">
        <v>1</v>
      </c>
      <c r="K119" s="2" t="s">
        <v>24</v>
      </c>
      <c r="L119" s="3">
        <v>1</v>
      </c>
      <c r="M119" s="11">
        <v>255300</v>
      </c>
      <c r="N119" s="3">
        <v>0</v>
      </c>
      <c r="O119" s="2" t="s">
        <v>25</v>
      </c>
      <c r="P119" s="2" t="s">
        <v>26</v>
      </c>
      <c r="Q119" s="2" t="s">
        <v>42</v>
      </c>
    </row>
    <row r="120" spans="1:17" x14ac:dyDescent="0.25">
      <c r="A120" s="1">
        <v>46188</v>
      </c>
      <c r="B120" s="1">
        <v>46186</v>
      </c>
      <c r="C120" s="2" t="s">
        <v>310</v>
      </c>
      <c r="D120" s="2" t="s">
        <v>18</v>
      </c>
      <c r="E120" s="2" t="s">
        <v>311</v>
      </c>
      <c r="F120" s="2" t="s">
        <v>20</v>
      </c>
      <c r="G120" s="2" t="s">
        <v>38</v>
      </c>
      <c r="H120" s="2" t="s">
        <v>66</v>
      </c>
      <c r="I120" s="2" t="s">
        <v>67</v>
      </c>
      <c r="J120" s="3">
        <v>3</v>
      </c>
      <c r="K120" s="2" t="s">
        <v>24</v>
      </c>
      <c r="L120" s="3">
        <v>3</v>
      </c>
      <c r="M120" s="11">
        <v>1065600</v>
      </c>
      <c r="N120" s="3">
        <v>0</v>
      </c>
      <c r="O120" s="2" t="s">
        <v>25</v>
      </c>
      <c r="P120" s="2" t="s">
        <v>26</v>
      </c>
      <c r="Q120" s="2" t="s">
        <v>42</v>
      </c>
    </row>
    <row r="121" spans="1:17" x14ac:dyDescent="0.25">
      <c r="A121" s="1">
        <v>46188</v>
      </c>
      <c r="B121" s="1">
        <v>46186</v>
      </c>
      <c r="C121" s="2" t="s">
        <v>312</v>
      </c>
      <c r="D121" s="2" t="s">
        <v>18</v>
      </c>
      <c r="E121" s="2" t="s">
        <v>31</v>
      </c>
      <c r="F121" s="2" t="s">
        <v>20</v>
      </c>
      <c r="G121" s="2" t="s">
        <v>32</v>
      </c>
      <c r="H121" s="2" t="s">
        <v>117</v>
      </c>
      <c r="I121" s="2" t="s">
        <v>118</v>
      </c>
      <c r="J121" s="3">
        <v>11.5</v>
      </c>
      <c r="K121" s="2" t="s">
        <v>51</v>
      </c>
      <c r="L121" s="3">
        <v>11.5</v>
      </c>
      <c r="M121" s="11">
        <v>1115500.04</v>
      </c>
      <c r="N121" s="3">
        <v>0</v>
      </c>
      <c r="O121" s="2" t="s">
        <v>25</v>
      </c>
      <c r="P121" s="2" t="s">
        <v>26</v>
      </c>
      <c r="Q121" s="2" t="s">
        <v>313</v>
      </c>
    </row>
    <row r="122" spans="1:17" x14ac:dyDescent="0.25">
      <c r="A122" s="1">
        <v>46188</v>
      </c>
      <c r="B122" s="1">
        <v>46186</v>
      </c>
      <c r="C122" s="2" t="s">
        <v>314</v>
      </c>
      <c r="D122" s="2" t="s">
        <v>18</v>
      </c>
      <c r="E122" s="2" t="s">
        <v>315</v>
      </c>
      <c r="F122" s="2" t="s">
        <v>20</v>
      </c>
      <c r="G122" s="2" t="s">
        <v>200</v>
      </c>
      <c r="H122" s="2" t="s">
        <v>264</v>
      </c>
      <c r="I122" s="2" t="s">
        <v>265</v>
      </c>
      <c r="J122" s="3">
        <v>144</v>
      </c>
      <c r="K122" s="2" t="s">
        <v>41</v>
      </c>
      <c r="L122" s="3">
        <v>144</v>
      </c>
      <c r="M122" s="11">
        <v>417599.9</v>
      </c>
      <c r="N122" s="3">
        <v>0</v>
      </c>
      <c r="O122" s="2" t="s">
        <v>25</v>
      </c>
      <c r="P122" s="2" t="s">
        <v>26</v>
      </c>
      <c r="Q122" s="2" t="s">
        <v>42</v>
      </c>
    </row>
    <row r="123" spans="1:17" x14ac:dyDescent="0.25">
      <c r="A123" s="1">
        <v>46188</v>
      </c>
      <c r="B123" s="1">
        <v>46186</v>
      </c>
      <c r="C123" s="2" t="s">
        <v>316</v>
      </c>
      <c r="D123" s="2" t="s">
        <v>18</v>
      </c>
      <c r="E123" s="2" t="s">
        <v>317</v>
      </c>
      <c r="F123" s="2" t="s">
        <v>142</v>
      </c>
      <c r="G123" s="2" t="s">
        <v>170</v>
      </c>
      <c r="H123" s="2" t="s">
        <v>221</v>
      </c>
      <c r="I123" s="2" t="s">
        <v>222</v>
      </c>
      <c r="J123" s="3">
        <v>40</v>
      </c>
      <c r="K123" s="2" t="s">
        <v>51</v>
      </c>
      <c r="L123" s="3">
        <v>40</v>
      </c>
      <c r="M123" s="11">
        <v>688200</v>
      </c>
      <c r="N123" s="3">
        <v>0</v>
      </c>
      <c r="O123" s="2" t="s">
        <v>25</v>
      </c>
      <c r="P123" s="2" t="s">
        <v>26</v>
      </c>
      <c r="Q123" s="2" t="s">
        <v>42</v>
      </c>
    </row>
    <row r="124" spans="1:17" x14ac:dyDescent="0.25">
      <c r="A124" s="1">
        <v>46188</v>
      </c>
      <c r="B124" s="1">
        <v>46186</v>
      </c>
      <c r="C124" s="2" t="s">
        <v>318</v>
      </c>
      <c r="D124" s="2" t="s">
        <v>18</v>
      </c>
      <c r="E124" s="2" t="s">
        <v>319</v>
      </c>
      <c r="F124" s="2" t="s">
        <v>20</v>
      </c>
      <c r="G124" s="2" t="s">
        <v>200</v>
      </c>
      <c r="H124" s="2" t="s">
        <v>320</v>
      </c>
      <c r="I124" s="2" t="s">
        <v>321</v>
      </c>
      <c r="J124" s="3">
        <v>10</v>
      </c>
      <c r="K124" s="2" t="s">
        <v>85</v>
      </c>
      <c r="L124" s="3">
        <v>10</v>
      </c>
      <c r="M124" s="11">
        <v>603000</v>
      </c>
      <c r="N124" s="3">
        <v>0</v>
      </c>
      <c r="O124" s="2" t="s">
        <v>25</v>
      </c>
      <c r="P124" s="2" t="s">
        <v>26</v>
      </c>
      <c r="Q124" s="2" t="s">
        <v>42</v>
      </c>
    </row>
    <row r="125" spans="1:17" x14ac:dyDescent="0.25">
      <c r="A125" s="1">
        <v>46188</v>
      </c>
      <c r="B125" s="1">
        <v>46186</v>
      </c>
      <c r="C125" s="2" t="s">
        <v>318</v>
      </c>
      <c r="D125" s="2" t="s">
        <v>18</v>
      </c>
      <c r="E125" s="2" t="s">
        <v>319</v>
      </c>
      <c r="F125" s="2" t="s">
        <v>20</v>
      </c>
      <c r="G125" s="2" t="s">
        <v>200</v>
      </c>
      <c r="H125" s="2" t="s">
        <v>106</v>
      </c>
      <c r="I125" s="2" t="s">
        <v>107</v>
      </c>
      <c r="J125" s="3">
        <v>12</v>
      </c>
      <c r="K125" s="2" t="s">
        <v>85</v>
      </c>
      <c r="L125" s="3">
        <v>12</v>
      </c>
      <c r="M125" s="11">
        <v>770400.03</v>
      </c>
      <c r="N125" s="3">
        <v>0</v>
      </c>
      <c r="O125" s="2" t="s">
        <v>25</v>
      </c>
      <c r="P125" s="2" t="s">
        <v>26</v>
      </c>
      <c r="Q125" s="2" t="s">
        <v>42</v>
      </c>
    </row>
    <row r="126" spans="1:17" x14ac:dyDescent="0.25">
      <c r="A126" s="1">
        <v>46188</v>
      </c>
      <c r="B126" s="1">
        <v>46186</v>
      </c>
      <c r="C126" s="2" t="s">
        <v>318</v>
      </c>
      <c r="D126" s="2" t="s">
        <v>18</v>
      </c>
      <c r="E126" s="2" t="s">
        <v>319</v>
      </c>
      <c r="F126" s="2" t="s">
        <v>20</v>
      </c>
      <c r="G126" s="2" t="s">
        <v>200</v>
      </c>
      <c r="H126" s="2" t="s">
        <v>322</v>
      </c>
      <c r="I126" s="2" t="s">
        <v>323</v>
      </c>
      <c r="J126" s="3">
        <v>16</v>
      </c>
      <c r="K126" s="2" t="s">
        <v>85</v>
      </c>
      <c r="L126" s="3">
        <v>16</v>
      </c>
      <c r="M126" s="11">
        <v>1089599.97</v>
      </c>
      <c r="N126" s="3">
        <v>0</v>
      </c>
      <c r="O126" s="2" t="s">
        <v>25</v>
      </c>
      <c r="P126" s="2" t="s">
        <v>26</v>
      </c>
      <c r="Q126" s="2" t="s">
        <v>42</v>
      </c>
    </row>
    <row r="127" spans="1:17" x14ac:dyDescent="0.25">
      <c r="A127" s="1">
        <v>46188</v>
      </c>
      <c r="B127" s="1">
        <v>46186</v>
      </c>
      <c r="C127" s="2" t="s">
        <v>318</v>
      </c>
      <c r="D127" s="2" t="s">
        <v>18</v>
      </c>
      <c r="E127" s="2" t="s">
        <v>319</v>
      </c>
      <c r="F127" s="2" t="s">
        <v>20</v>
      </c>
      <c r="G127" s="2" t="s">
        <v>200</v>
      </c>
      <c r="H127" s="2" t="s">
        <v>324</v>
      </c>
      <c r="I127" s="2" t="s">
        <v>325</v>
      </c>
      <c r="J127" s="3">
        <v>12</v>
      </c>
      <c r="K127" s="2" t="s">
        <v>85</v>
      </c>
      <c r="L127" s="3">
        <v>12</v>
      </c>
      <c r="M127" s="11">
        <v>649200.02</v>
      </c>
      <c r="N127" s="3">
        <v>0</v>
      </c>
      <c r="O127" s="2" t="s">
        <v>25</v>
      </c>
      <c r="P127" s="2" t="s">
        <v>26</v>
      </c>
      <c r="Q127" s="2" t="s">
        <v>42</v>
      </c>
    </row>
    <row r="128" spans="1:17" x14ac:dyDescent="0.25">
      <c r="A128" s="1">
        <v>46188</v>
      </c>
      <c r="B128" s="1">
        <v>46186</v>
      </c>
      <c r="C128" s="2" t="s">
        <v>318</v>
      </c>
      <c r="D128" s="2" t="s">
        <v>18</v>
      </c>
      <c r="E128" s="2" t="s">
        <v>319</v>
      </c>
      <c r="F128" s="2" t="s">
        <v>20</v>
      </c>
      <c r="G128" s="2" t="s">
        <v>200</v>
      </c>
      <c r="H128" s="2" t="s">
        <v>204</v>
      </c>
      <c r="I128" s="2" t="s">
        <v>205</v>
      </c>
      <c r="J128" s="3">
        <v>12</v>
      </c>
      <c r="K128" s="2" t="s">
        <v>85</v>
      </c>
      <c r="L128" s="3">
        <v>12</v>
      </c>
      <c r="M128" s="11">
        <v>649200.01</v>
      </c>
      <c r="N128" s="3">
        <v>0</v>
      </c>
      <c r="O128" s="2" t="s">
        <v>25</v>
      </c>
      <c r="P128" s="2" t="s">
        <v>26</v>
      </c>
      <c r="Q128" s="2" t="s">
        <v>42</v>
      </c>
    </row>
    <row r="129" spans="1:17" x14ac:dyDescent="0.25">
      <c r="A129" s="1">
        <v>46188</v>
      </c>
      <c r="B129" s="1">
        <v>46186</v>
      </c>
      <c r="C129" s="2" t="s">
        <v>329</v>
      </c>
      <c r="D129" s="2" t="s">
        <v>18</v>
      </c>
      <c r="E129" s="2" t="s">
        <v>284</v>
      </c>
      <c r="F129" s="2" t="s">
        <v>20</v>
      </c>
      <c r="G129" s="2" t="s">
        <v>105</v>
      </c>
      <c r="H129" s="2" t="s">
        <v>214</v>
      </c>
      <c r="I129" s="2" t="s">
        <v>215</v>
      </c>
      <c r="J129" s="3">
        <v>48</v>
      </c>
      <c r="K129" s="2" t="s">
        <v>85</v>
      </c>
      <c r="L129" s="3">
        <v>48</v>
      </c>
      <c r="M129" s="11">
        <v>2850480</v>
      </c>
      <c r="N129" s="3">
        <v>0</v>
      </c>
      <c r="O129" s="2" t="s">
        <v>25</v>
      </c>
      <c r="P129" s="2" t="s">
        <v>26</v>
      </c>
      <c r="Q129" s="2" t="s">
        <v>42</v>
      </c>
    </row>
    <row r="130" spans="1:17" x14ac:dyDescent="0.25">
      <c r="A130" s="1">
        <v>46188</v>
      </c>
      <c r="B130" s="1">
        <v>46186</v>
      </c>
      <c r="C130" s="2" t="s">
        <v>330</v>
      </c>
      <c r="D130" s="2" t="s">
        <v>18</v>
      </c>
      <c r="E130" s="2" t="s">
        <v>331</v>
      </c>
      <c r="F130" s="2" t="s">
        <v>20</v>
      </c>
      <c r="G130" s="2" t="s">
        <v>213</v>
      </c>
      <c r="H130" s="2" t="s">
        <v>332</v>
      </c>
      <c r="I130" s="2" t="s">
        <v>333</v>
      </c>
      <c r="J130" s="3">
        <v>1</v>
      </c>
      <c r="K130" s="2" t="s">
        <v>85</v>
      </c>
      <c r="L130" s="3">
        <v>1</v>
      </c>
      <c r="M130" s="11">
        <v>89000</v>
      </c>
      <c r="N130" s="3">
        <v>0</v>
      </c>
      <c r="O130" s="2" t="s">
        <v>25</v>
      </c>
      <c r="P130" s="2" t="s">
        <v>26</v>
      </c>
      <c r="Q130" s="2" t="s">
        <v>42</v>
      </c>
    </row>
    <row r="131" spans="1:17" x14ac:dyDescent="0.25">
      <c r="A131" s="1">
        <v>46188</v>
      </c>
      <c r="B131" s="1">
        <v>46186</v>
      </c>
      <c r="C131" s="2" t="s">
        <v>330</v>
      </c>
      <c r="D131" s="2" t="s">
        <v>18</v>
      </c>
      <c r="E131" s="2" t="s">
        <v>331</v>
      </c>
      <c r="F131" s="2" t="s">
        <v>20</v>
      </c>
      <c r="G131" s="2" t="s">
        <v>213</v>
      </c>
      <c r="H131" s="2" t="s">
        <v>271</v>
      </c>
      <c r="I131" s="2" t="s">
        <v>272</v>
      </c>
      <c r="J131" s="3">
        <v>6</v>
      </c>
      <c r="K131" s="2" t="s">
        <v>85</v>
      </c>
      <c r="L131" s="3">
        <v>6</v>
      </c>
      <c r="M131" s="11">
        <v>378600</v>
      </c>
      <c r="N131" s="3">
        <v>0</v>
      </c>
      <c r="O131" s="2" t="s">
        <v>25</v>
      </c>
      <c r="P131" s="2" t="s">
        <v>26</v>
      </c>
      <c r="Q131" s="2" t="s">
        <v>42</v>
      </c>
    </row>
    <row r="132" spans="1:17" x14ac:dyDescent="0.25">
      <c r="A132" s="1">
        <v>46188</v>
      </c>
      <c r="B132" s="1">
        <v>46186</v>
      </c>
      <c r="C132" s="2" t="s">
        <v>330</v>
      </c>
      <c r="D132" s="2" t="s">
        <v>18</v>
      </c>
      <c r="E132" s="2" t="s">
        <v>331</v>
      </c>
      <c r="F132" s="2" t="s">
        <v>20</v>
      </c>
      <c r="G132" s="2" t="s">
        <v>213</v>
      </c>
      <c r="H132" s="2" t="s">
        <v>201</v>
      </c>
      <c r="I132" s="2" t="s">
        <v>202</v>
      </c>
      <c r="J132" s="3">
        <v>9</v>
      </c>
      <c r="K132" s="2" t="s">
        <v>85</v>
      </c>
      <c r="L132" s="3">
        <v>9</v>
      </c>
      <c r="M132" s="11">
        <v>945000</v>
      </c>
      <c r="N132" s="3">
        <v>0</v>
      </c>
      <c r="O132" s="2" t="s">
        <v>25</v>
      </c>
      <c r="P132" s="2" t="s">
        <v>26</v>
      </c>
      <c r="Q132" s="2" t="s">
        <v>42</v>
      </c>
    </row>
    <row r="133" spans="1:17" x14ac:dyDescent="0.25">
      <c r="A133" s="1">
        <v>46188</v>
      </c>
      <c r="B133" s="1">
        <v>46186</v>
      </c>
      <c r="C133" s="2" t="s">
        <v>334</v>
      </c>
      <c r="D133" s="2" t="s">
        <v>18</v>
      </c>
      <c r="E133" s="2" t="s">
        <v>335</v>
      </c>
      <c r="F133" s="2" t="s">
        <v>20</v>
      </c>
      <c r="G133" s="2" t="s">
        <v>105</v>
      </c>
      <c r="H133" s="2" t="s">
        <v>201</v>
      </c>
      <c r="I133" s="2" t="s">
        <v>202</v>
      </c>
      <c r="J133" s="3">
        <v>2</v>
      </c>
      <c r="K133" s="2" t="s">
        <v>85</v>
      </c>
      <c r="L133" s="3">
        <v>2</v>
      </c>
      <c r="M133" s="11">
        <v>199499.99</v>
      </c>
      <c r="N133" s="3">
        <v>0</v>
      </c>
      <c r="O133" s="2" t="s">
        <v>25</v>
      </c>
      <c r="P133" s="2" t="s">
        <v>26</v>
      </c>
      <c r="Q133" s="2" t="s">
        <v>42</v>
      </c>
    </row>
    <row r="134" spans="1:17" x14ac:dyDescent="0.25">
      <c r="A134" s="1">
        <v>46188</v>
      </c>
      <c r="B134" s="1">
        <v>46186</v>
      </c>
      <c r="C134" s="2" t="s">
        <v>334</v>
      </c>
      <c r="D134" s="2" t="s">
        <v>18</v>
      </c>
      <c r="E134" s="2" t="s">
        <v>335</v>
      </c>
      <c r="F134" s="2" t="s">
        <v>20</v>
      </c>
      <c r="G134" s="2" t="s">
        <v>105</v>
      </c>
      <c r="H134" s="2" t="s">
        <v>271</v>
      </c>
      <c r="I134" s="2" t="s">
        <v>272</v>
      </c>
      <c r="J134" s="3">
        <v>6</v>
      </c>
      <c r="K134" s="2" t="s">
        <v>85</v>
      </c>
      <c r="L134" s="3">
        <v>6</v>
      </c>
      <c r="M134" s="11">
        <v>359670.02</v>
      </c>
      <c r="N134" s="3">
        <v>0</v>
      </c>
      <c r="O134" s="2" t="s">
        <v>25</v>
      </c>
      <c r="P134" s="2" t="s">
        <v>26</v>
      </c>
      <c r="Q134" s="2" t="s">
        <v>42</v>
      </c>
    </row>
    <row r="135" spans="1:17" x14ac:dyDescent="0.25">
      <c r="A135" s="1">
        <v>46188</v>
      </c>
      <c r="B135" s="1">
        <v>46186</v>
      </c>
      <c r="C135" s="2" t="s">
        <v>334</v>
      </c>
      <c r="D135" s="2" t="s">
        <v>18</v>
      </c>
      <c r="E135" s="2" t="s">
        <v>335</v>
      </c>
      <c r="F135" s="2" t="s">
        <v>20</v>
      </c>
      <c r="G135" s="2" t="s">
        <v>105</v>
      </c>
      <c r="H135" s="2" t="s">
        <v>320</v>
      </c>
      <c r="I135" s="2" t="s">
        <v>321</v>
      </c>
      <c r="J135" s="3">
        <v>2</v>
      </c>
      <c r="K135" s="2" t="s">
        <v>85</v>
      </c>
      <c r="L135" s="3">
        <v>2</v>
      </c>
      <c r="M135" s="11">
        <v>114569.99</v>
      </c>
      <c r="N135" s="3">
        <v>0</v>
      </c>
      <c r="O135" s="2" t="s">
        <v>25</v>
      </c>
      <c r="P135" s="2" t="s">
        <v>26</v>
      </c>
      <c r="Q135" s="2" t="s">
        <v>42</v>
      </c>
    </row>
    <row r="136" spans="1:17" x14ac:dyDescent="0.25">
      <c r="A136" s="1">
        <v>46188</v>
      </c>
      <c r="B136" s="1">
        <v>46186</v>
      </c>
      <c r="C136" s="2" t="s">
        <v>336</v>
      </c>
      <c r="D136" s="2" t="s">
        <v>18</v>
      </c>
      <c r="E136" s="2" t="s">
        <v>337</v>
      </c>
      <c r="F136" s="2" t="s">
        <v>20</v>
      </c>
      <c r="G136" s="2" t="s">
        <v>105</v>
      </c>
      <c r="H136" s="2" t="s">
        <v>338</v>
      </c>
      <c r="I136" s="2" t="s">
        <v>339</v>
      </c>
      <c r="J136" s="3">
        <v>2</v>
      </c>
      <c r="K136" s="2" t="s">
        <v>85</v>
      </c>
      <c r="L136" s="3">
        <v>2</v>
      </c>
      <c r="M136" s="11">
        <v>266400</v>
      </c>
      <c r="N136" s="3">
        <v>0</v>
      </c>
      <c r="O136" s="2" t="s">
        <v>25</v>
      </c>
      <c r="P136" s="2" t="s">
        <v>26</v>
      </c>
      <c r="Q136" s="2" t="s">
        <v>42</v>
      </c>
    </row>
    <row r="137" spans="1:17" x14ac:dyDescent="0.25">
      <c r="A137" s="1">
        <v>46188</v>
      </c>
      <c r="B137" s="1">
        <v>46186</v>
      </c>
      <c r="C137" s="2" t="s">
        <v>336</v>
      </c>
      <c r="D137" s="2" t="s">
        <v>18</v>
      </c>
      <c r="E137" s="2" t="s">
        <v>337</v>
      </c>
      <c r="F137" s="2" t="s">
        <v>20</v>
      </c>
      <c r="G137" s="2" t="s">
        <v>105</v>
      </c>
      <c r="H137" s="2" t="s">
        <v>204</v>
      </c>
      <c r="I137" s="2" t="s">
        <v>205</v>
      </c>
      <c r="J137" s="3">
        <v>1</v>
      </c>
      <c r="K137" s="2" t="s">
        <v>85</v>
      </c>
      <c r="L137" s="3">
        <v>1</v>
      </c>
      <c r="M137" s="11">
        <v>54100</v>
      </c>
      <c r="N137" s="3">
        <v>0</v>
      </c>
      <c r="O137" s="2" t="s">
        <v>25</v>
      </c>
      <c r="P137" s="2" t="s">
        <v>26</v>
      </c>
      <c r="Q137" s="2" t="s">
        <v>42</v>
      </c>
    </row>
    <row r="138" spans="1:17" x14ac:dyDescent="0.25">
      <c r="A138" s="1">
        <v>46188</v>
      </c>
      <c r="B138" s="1">
        <v>46186</v>
      </c>
      <c r="C138" s="2" t="s">
        <v>340</v>
      </c>
      <c r="D138" s="2" t="s">
        <v>18</v>
      </c>
      <c r="E138" s="2" t="s">
        <v>96</v>
      </c>
      <c r="F138" s="2" t="s">
        <v>20</v>
      </c>
      <c r="G138" s="2" t="s">
        <v>50</v>
      </c>
      <c r="H138" s="2" t="s">
        <v>122</v>
      </c>
      <c r="I138" s="2" t="s">
        <v>123</v>
      </c>
      <c r="J138" s="3">
        <v>3</v>
      </c>
      <c r="K138" s="2" t="s">
        <v>51</v>
      </c>
      <c r="L138" s="3">
        <v>2.98</v>
      </c>
      <c r="M138" s="11">
        <v>566200</v>
      </c>
      <c r="N138" s="3">
        <v>-0.02</v>
      </c>
      <c r="O138" s="2" t="s">
        <v>25</v>
      </c>
      <c r="P138" s="2" t="s">
        <v>26</v>
      </c>
      <c r="Q138" s="2" t="s">
        <v>42</v>
      </c>
    </row>
    <row r="139" spans="1:17" x14ac:dyDescent="0.25">
      <c r="A139" s="1">
        <v>46188</v>
      </c>
      <c r="B139" s="1">
        <v>46186</v>
      </c>
      <c r="C139" s="2" t="s">
        <v>341</v>
      </c>
      <c r="D139" s="2" t="s">
        <v>18</v>
      </c>
      <c r="E139" s="2" t="s">
        <v>342</v>
      </c>
      <c r="F139" s="2" t="s">
        <v>142</v>
      </c>
      <c r="G139" s="2" t="s">
        <v>21</v>
      </c>
      <c r="H139" s="2" t="s">
        <v>43</v>
      </c>
      <c r="I139" s="2" t="s">
        <v>44</v>
      </c>
      <c r="J139" s="3">
        <v>10</v>
      </c>
      <c r="K139" s="2" t="s">
        <v>41</v>
      </c>
      <c r="L139" s="3">
        <v>10</v>
      </c>
      <c r="M139" s="11">
        <v>466200</v>
      </c>
      <c r="N139" s="3">
        <v>0</v>
      </c>
      <c r="O139" s="2" t="s">
        <v>25</v>
      </c>
      <c r="P139" s="2" t="s">
        <v>26</v>
      </c>
      <c r="Q139" s="2" t="s">
        <v>42</v>
      </c>
    </row>
    <row r="140" spans="1:17" x14ac:dyDescent="0.25">
      <c r="A140" s="1">
        <v>46188</v>
      </c>
      <c r="B140" s="1">
        <v>46186</v>
      </c>
      <c r="C140" s="2" t="s">
        <v>343</v>
      </c>
      <c r="D140" s="2" t="s">
        <v>18</v>
      </c>
      <c r="E140" s="2" t="s">
        <v>300</v>
      </c>
      <c r="F140" s="2" t="s">
        <v>20</v>
      </c>
      <c r="G140" s="2" t="s">
        <v>38</v>
      </c>
      <c r="H140" s="2" t="s">
        <v>74</v>
      </c>
      <c r="I140" s="2" t="s">
        <v>75</v>
      </c>
      <c r="J140" s="3">
        <v>5</v>
      </c>
      <c r="K140" s="2" t="s">
        <v>51</v>
      </c>
      <c r="L140" s="3">
        <v>5</v>
      </c>
      <c r="M140" s="11">
        <v>500000</v>
      </c>
      <c r="N140" s="3">
        <v>0</v>
      </c>
      <c r="O140" s="2" t="s">
        <v>25</v>
      </c>
      <c r="P140" s="2" t="s">
        <v>26</v>
      </c>
      <c r="Q140" s="2" t="s">
        <v>344</v>
      </c>
    </row>
    <row r="141" spans="1:17" x14ac:dyDescent="0.25">
      <c r="A141" s="1">
        <v>46188</v>
      </c>
      <c r="B141" s="1">
        <v>46186</v>
      </c>
      <c r="C141" s="2" t="s">
        <v>345</v>
      </c>
      <c r="D141" s="2" t="s">
        <v>18</v>
      </c>
      <c r="E141" s="2" t="s">
        <v>346</v>
      </c>
      <c r="F141" s="2" t="s">
        <v>142</v>
      </c>
      <c r="G141" s="2" t="s">
        <v>251</v>
      </c>
      <c r="H141" s="2" t="s">
        <v>252</v>
      </c>
      <c r="I141" s="2" t="s">
        <v>253</v>
      </c>
      <c r="J141" s="3">
        <v>12</v>
      </c>
      <c r="K141" s="2" t="s">
        <v>254</v>
      </c>
      <c r="L141" s="3">
        <v>12</v>
      </c>
      <c r="M141" s="11">
        <v>674400.12</v>
      </c>
      <c r="N141" s="3">
        <v>0</v>
      </c>
      <c r="O141" s="2" t="s">
        <v>25</v>
      </c>
      <c r="P141" s="2" t="s">
        <v>26</v>
      </c>
      <c r="Q141" s="2" t="s">
        <v>42</v>
      </c>
    </row>
    <row r="142" spans="1:17" x14ac:dyDescent="0.25">
      <c r="A142" s="1">
        <v>46188</v>
      </c>
      <c r="B142" s="1">
        <v>46186</v>
      </c>
      <c r="C142" s="2" t="s">
        <v>347</v>
      </c>
      <c r="D142" s="2" t="s">
        <v>18</v>
      </c>
      <c r="E142" s="2" t="s">
        <v>348</v>
      </c>
      <c r="F142" s="2" t="s">
        <v>142</v>
      </c>
      <c r="G142" s="2" t="s">
        <v>251</v>
      </c>
      <c r="H142" s="2" t="s">
        <v>252</v>
      </c>
      <c r="I142" s="2" t="s">
        <v>253</v>
      </c>
      <c r="J142" s="3">
        <v>12</v>
      </c>
      <c r="K142" s="2" t="s">
        <v>254</v>
      </c>
      <c r="L142" s="3">
        <v>12</v>
      </c>
      <c r="M142" s="11">
        <v>674400.12</v>
      </c>
      <c r="N142" s="3">
        <v>0</v>
      </c>
      <c r="O142" s="2" t="s">
        <v>25</v>
      </c>
      <c r="P142" s="2" t="s">
        <v>26</v>
      </c>
      <c r="Q142" s="2" t="s">
        <v>42</v>
      </c>
    </row>
    <row r="143" spans="1:17" x14ac:dyDescent="0.25">
      <c r="A143" s="1">
        <v>46188</v>
      </c>
      <c r="B143" s="1">
        <v>46186</v>
      </c>
      <c r="C143" s="2" t="s">
        <v>349</v>
      </c>
      <c r="D143" s="2" t="s">
        <v>18</v>
      </c>
      <c r="E143" s="2" t="s">
        <v>350</v>
      </c>
      <c r="F143" s="2" t="s">
        <v>142</v>
      </c>
      <c r="G143" s="2" t="s">
        <v>251</v>
      </c>
      <c r="H143" s="2" t="s">
        <v>252</v>
      </c>
      <c r="I143" s="2" t="s">
        <v>253</v>
      </c>
      <c r="J143" s="3">
        <v>12</v>
      </c>
      <c r="K143" s="2" t="s">
        <v>254</v>
      </c>
      <c r="L143" s="3">
        <v>12</v>
      </c>
      <c r="M143" s="11">
        <v>674400.12</v>
      </c>
      <c r="N143" s="3">
        <v>0</v>
      </c>
      <c r="O143" s="2" t="s">
        <v>25</v>
      </c>
      <c r="P143" s="2" t="s">
        <v>26</v>
      </c>
      <c r="Q143" s="2" t="s">
        <v>42</v>
      </c>
    </row>
    <row r="144" spans="1:17" x14ac:dyDescent="0.25">
      <c r="A144" s="1">
        <v>46188</v>
      </c>
      <c r="B144" s="1">
        <v>46186</v>
      </c>
      <c r="C144" s="2" t="s">
        <v>351</v>
      </c>
      <c r="D144" s="2" t="s">
        <v>18</v>
      </c>
      <c r="E144" s="2" t="s">
        <v>352</v>
      </c>
      <c r="F144" s="2" t="s">
        <v>20</v>
      </c>
      <c r="G144" s="2" t="s">
        <v>21</v>
      </c>
      <c r="H144" s="2" t="s">
        <v>117</v>
      </c>
      <c r="I144" s="2" t="s">
        <v>118</v>
      </c>
      <c r="J144" s="3">
        <v>50</v>
      </c>
      <c r="K144" s="2" t="s">
        <v>51</v>
      </c>
      <c r="L144" s="3">
        <v>50.6</v>
      </c>
      <c r="M144" s="11">
        <v>5059999.99</v>
      </c>
      <c r="N144" s="3">
        <v>0.6</v>
      </c>
      <c r="O144" s="2" t="s">
        <v>25</v>
      </c>
      <c r="P144" s="2" t="s">
        <v>26</v>
      </c>
      <c r="Q144" s="2" t="s">
        <v>353</v>
      </c>
    </row>
    <row r="145" spans="1:17" x14ac:dyDescent="0.25">
      <c r="A145" s="1">
        <v>46188</v>
      </c>
      <c r="B145" s="1">
        <v>46186</v>
      </c>
      <c r="C145" s="2" t="s">
        <v>354</v>
      </c>
      <c r="D145" s="2" t="s">
        <v>18</v>
      </c>
      <c r="E145" s="2" t="s">
        <v>355</v>
      </c>
      <c r="F145" s="2" t="s">
        <v>142</v>
      </c>
      <c r="G145" s="2" t="s">
        <v>251</v>
      </c>
      <c r="H145" s="2" t="s">
        <v>252</v>
      </c>
      <c r="I145" s="2" t="s">
        <v>253</v>
      </c>
      <c r="J145" s="3">
        <v>12</v>
      </c>
      <c r="K145" s="2" t="s">
        <v>254</v>
      </c>
      <c r="L145" s="3">
        <v>12</v>
      </c>
      <c r="M145" s="11">
        <v>674400.12</v>
      </c>
      <c r="N145" s="3">
        <v>0</v>
      </c>
      <c r="O145" s="2" t="s">
        <v>25</v>
      </c>
      <c r="P145" s="2" t="s">
        <v>26</v>
      </c>
      <c r="Q145" s="2" t="s">
        <v>42</v>
      </c>
    </row>
    <row r="146" spans="1:17" x14ac:dyDescent="0.25">
      <c r="A146" s="1">
        <v>46188</v>
      </c>
      <c r="B146" s="1">
        <v>46186</v>
      </c>
      <c r="C146" s="2" t="s">
        <v>356</v>
      </c>
      <c r="D146" s="2" t="s">
        <v>18</v>
      </c>
      <c r="E146" s="2" t="s">
        <v>357</v>
      </c>
      <c r="F146" s="2" t="s">
        <v>142</v>
      </c>
      <c r="G146" s="2" t="s">
        <v>54</v>
      </c>
      <c r="H146" s="2" t="s">
        <v>43</v>
      </c>
      <c r="I146" s="2" t="s">
        <v>44</v>
      </c>
      <c r="J146" s="3">
        <v>12</v>
      </c>
      <c r="K146" s="2" t="s">
        <v>41</v>
      </c>
      <c r="L146" s="3">
        <v>12</v>
      </c>
      <c r="M146" s="11">
        <v>559440</v>
      </c>
      <c r="N146" s="3">
        <v>0</v>
      </c>
      <c r="O146" s="2" t="s">
        <v>25</v>
      </c>
      <c r="P146" s="2" t="s">
        <v>26</v>
      </c>
      <c r="Q146" s="2" t="s">
        <v>42</v>
      </c>
    </row>
    <row r="147" spans="1:17" x14ac:dyDescent="0.25">
      <c r="A147" s="1">
        <v>46188</v>
      </c>
      <c r="B147" s="1">
        <v>46186</v>
      </c>
      <c r="C147" s="2" t="s">
        <v>358</v>
      </c>
      <c r="D147" s="2" t="s">
        <v>18</v>
      </c>
      <c r="E147" s="2" t="s">
        <v>359</v>
      </c>
      <c r="F147" s="2" t="s">
        <v>20</v>
      </c>
      <c r="G147" s="2" t="s">
        <v>131</v>
      </c>
      <c r="H147" s="2" t="s">
        <v>39</v>
      </c>
      <c r="I147" s="2" t="s">
        <v>40</v>
      </c>
      <c r="J147" s="3">
        <v>6</v>
      </c>
      <c r="K147" s="2" t="s">
        <v>41</v>
      </c>
      <c r="L147" s="3">
        <v>6</v>
      </c>
      <c r="M147" s="11">
        <v>279720</v>
      </c>
      <c r="N147" s="3">
        <v>0</v>
      </c>
      <c r="O147" s="2" t="s">
        <v>25</v>
      </c>
      <c r="P147" s="2" t="s">
        <v>26</v>
      </c>
      <c r="Q147" s="2" t="s">
        <v>360</v>
      </c>
    </row>
    <row r="148" spans="1:17" x14ac:dyDescent="0.25">
      <c r="A148" s="1">
        <v>46188</v>
      </c>
      <c r="B148" s="1">
        <v>46186</v>
      </c>
      <c r="C148" s="2" t="s">
        <v>361</v>
      </c>
      <c r="D148" s="2" t="s">
        <v>18</v>
      </c>
      <c r="E148" s="2" t="s">
        <v>326</v>
      </c>
      <c r="F148" s="2" t="s">
        <v>20</v>
      </c>
      <c r="G148" s="2" t="s">
        <v>38</v>
      </c>
      <c r="H148" s="2" t="s">
        <v>22</v>
      </c>
      <c r="I148" s="2" t="s">
        <v>23</v>
      </c>
      <c r="J148" s="3">
        <v>3</v>
      </c>
      <c r="K148" s="2" t="s">
        <v>24</v>
      </c>
      <c r="L148" s="3">
        <v>3</v>
      </c>
      <c r="M148" s="11">
        <v>945000</v>
      </c>
      <c r="N148" s="3">
        <v>0</v>
      </c>
      <c r="O148" s="2" t="s">
        <v>25</v>
      </c>
      <c r="P148" s="2" t="s">
        <v>26</v>
      </c>
      <c r="Q148" s="2" t="s">
        <v>42</v>
      </c>
    </row>
    <row r="149" spans="1:17" x14ac:dyDescent="0.25">
      <c r="A149" s="1">
        <v>46188</v>
      </c>
      <c r="B149" s="1">
        <v>46186</v>
      </c>
      <c r="C149" s="2" t="s">
        <v>363</v>
      </c>
      <c r="D149" s="2" t="s">
        <v>18</v>
      </c>
      <c r="E149" s="2" t="s">
        <v>364</v>
      </c>
      <c r="F149" s="2" t="s">
        <v>142</v>
      </c>
      <c r="G149" s="2" t="s">
        <v>131</v>
      </c>
      <c r="H149" s="2" t="s">
        <v>225</v>
      </c>
      <c r="I149" s="2" t="s">
        <v>226</v>
      </c>
      <c r="J149" s="3">
        <v>10</v>
      </c>
      <c r="K149" s="2" t="s">
        <v>51</v>
      </c>
      <c r="L149" s="3">
        <v>10</v>
      </c>
      <c r="M149" s="11">
        <v>327450</v>
      </c>
      <c r="N149" s="3">
        <v>0</v>
      </c>
      <c r="O149" s="2" t="s">
        <v>25</v>
      </c>
      <c r="P149" s="2" t="s">
        <v>26</v>
      </c>
      <c r="Q149" s="2" t="s">
        <v>42</v>
      </c>
    </row>
    <row r="150" spans="1:17" x14ac:dyDescent="0.25">
      <c r="A150" s="1">
        <v>46188</v>
      </c>
      <c r="B150" s="1">
        <v>46186</v>
      </c>
      <c r="C150" s="2" t="s">
        <v>365</v>
      </c>
      <c r="D150" s="2" t="s">
        <v>18</v>
      </c>
      <c r="E150" s="2" t="s">
        <v>366</v>
      </c>
      <c r="F150" s="2" t="s">
        <v>20</v>
      </c>
      <c r="G150" s="2" t="s">
        <v>131</v>
      </c>
      <c r="H150" s="2" t="s">
        <v>99</v>
      </c>
      <c r="I150" s="2" t="s">
        <v>100</v>
      </c>
      <c r="J150" s="3">
        <v>6</v>
      </c>
      <c r="K150" s="2" t="s">
        <v>51</v>
      </c>
      <c r="L150" s="3">
        <v>6</v>
      </c>
      <c r="M150" s="11">
        <v>99900</v>
      </c>
      <c r="N150" s="3">
        <v>0</v>
      </c>
      <c r="O150" s="2" t="s">
        <v>25</v>
      </c>
      <c r="P150" s="2" t="s">
        <v>26</v>
      </c>
      <c r="Q150" s="2" t="s">
        <v>42</v>
      </c>
    </row>
    <row r="151" spans="1:17" x14ac:dyDescent="0.25">
      <c r="A151" s="1">
        <v>46188</v>
      </c>
      <c r="B151" s="1">
        <v>46186</v>
      </c>
      <c r="C151" s="2" t="s">
        <v>365</v>
      </c>
      <c r="D151" s="2" t="s">
        <v>18</v>
      </c>
      <c r="E151" s="2" t="s">
        <v>366</v>
      </c>
      <c r="F151" s="2" t="s">
        <v>20</v>
      </c>
      <c r="G151" s="2" t="s">
        <v>131</v>
      </c>
      <c r="H151" s="2" t="s">
        <v>367</v>
      </c>
      <c r="I151" s="2" t="s">
        <v>368</v>
      </c>
      <c r="J151" s="3">
        <v>6</v>
      </c>
      <c r="K151" s="2" t="s">
        <v>51</v>
      </c>
      <c r="L151" s="3">
        <v>6</v>
      </c>
      <c r="M151" s="11">
        <v>96570</v>
      </c>
      <c r="N151" s="3">
        <v>0</v>
      </c>
      <c r="O151" s="2" t="s">
        <v>25</v>
      </c>
      <c r="P151" s="2" t="s">
        <v>26</v>
      </c>
      <c r="Q151" s="2" t="s">
        <v>42</v>
      </c>
    </row>
    <row r="152" spans="1:17" x14ac:dyDescent="0.25">
      <c r="A152" s="1">
        <v>46188</v>
      </c>
      <c r="B152" s="1">
        <v>46186</v>
      </c>
      <c r="C152" s="2" t="s">
        <v>369</v>
      </c>
      <c r="D152" s="2" t="s">
        <v>18</v>
      </c>
      <c r="E152" s="2" t="s">
        <v>300</v>
      </c>
      <c r="F152" s="2" t="s">
        <v>20</v>
      </c>
      <c r="G152" s="2" t="s">
        <v>38</v>
      </c>
      <c r="H152" s="2" t="s">
        <v>74</v>
      </c>
      <c r="I152" s="2" t="s">
        <v>75</v>
      </c>
      <c r="J152" s="3">
        <v>5</v>
      </c>
      <c r="K152" s="2" t="s">
        <v>51</v>
      </c>
      <c r="L152" s="3">
        <v>5</v>
      </c>
      <c r="M152" s="11">
        <v>500000</v>
      </c>
      <c r="N152" s="3">
        <v>0</v>
      </c>
      <c r="O152" s="2" t="s">
        <v>25</v>
      </c>
      <c r="P152" s="2" t="s">
        <v>26</v>
      </c>
      <c r="Q152" s="2" t="s">
        <v>370</v>
      </c>
    </row>
    <row r="153" spans="1:17" x14ac:dyDescent="0.25">
      <c r="A153" s="1">
        <v>46188</v>
      </c>
      <c r="B153" s="1">
        <v>46186</v>
      </c>
      <c r="C153" s="2" t="s">
        <v>371</v>
      </c>
      <c r="D153" s="2" t="s">
        <v>18</v>
      </c>
      <c r="E153" s="2" t="s">
        <v>352</v>
      </c>
      <c r="F153" s="2" t="s">
        <v>20</v>
      </c>
      <c r="G153" s="2" t="s">
        <v>21</v>
      </c>
      <c r="H153" s="2" t="s">
        <v>117</v>
      </c>
      <c r="I153" s="2" t="s">
        <v>118</v>
      </c>
      <c r="J153" s="3">
        <v>50</v>
      </c>
      <c r="K153" s="2" t="s">
        <v>51</v>
      </c>
      <c r="L153" s="3">
        <v>50.6</v>
      </c>
      <c r="M153" s="11">
        <v>5059999.99</v>
      </c>
      <c r="N153" s="3">
        <v>0.6</v>
      </c>
      <c r="O153" s="2" t="s">
        <v>25</v>
      </c>
      <c r="P153" s="2" t="s">
        <v>26</v>
      </c>
      <c r="Q153" s="2" t="s">
        <v>372</v>
      </c>
    </row>
    <row r="154" spans="1:17" x14ac:dyDescent="0.25">
      <c r="A154" s="1">
        <v>46188</v>
      </c>
      <c r="B154" s="1">
        <v>46186</v>
      </c>
      <c r="C154" s="2" t="s">
        <v>373</v>
      </c>
      <c r="D154" s="2" t="s">
        <v>18</v>
      </c>
      <c r="E154" s="2" t="s">
        <v>374</v>
      </c>
      <c r="F154" s="2" t="s">
        <v>20</v>
      </c>
      <c r="G154" s="2" t="s">
        <v>32</v>
      </c>
      <c r="H154" s="2" t="s">
        <v>143</v>
      </c>
      <c r="I154" s="2" t="s">
        <v>144</v>
      </c>
      <c r="J154" s="3">
        <v>10</v>
      </c>
      <c r="K154" s="2" t="s">
        <v>51</v>
      </c>
      <c r="L154" s="3">
        <v>10</v>
      </c>
      <c r="M154" s="11">
        <v>362970</v>
      </c>
      <c r="N154" s="3">
        <v>0</v>
      </c>
      <c r="O154" s="2" t="s">
        <v>25</v>
      </c>
      <c r="P154" s="2" t="s">
        <v>26</v>
      </c>
      <c r="Q154" s="2" t="s">
        <v>42</v>
      </c>
    </row>
    <row r="155" spans="1:17" x14ac:dyDescent="0.25">
      <c r="A155" s="1">
        <v>46188</v>
      </c>
      <c r="B155" s="1">
        <v>46186</v>
      </c>
      <c r="C155" s="2" t="s">
        <v>375</v>
      </c>
      <c r="D155" s="2" t="s">
        <v>18</v>
      </c>
      <c r="E155" s="2" t="s">
        <v>376</v>
      </c>
      <c r="F155" s="2" t="s">
        <v>20</v>
      </c>
      <c r="G155" s="2" t="s">
        <v>47</v>
      </c>
      <c r="H155" s="2" t="s">
        <v>66</v>
      </c>
      <c r="I155" s="2" t="s">
        <v>67</v>
      </c>
      <c r="J155" s="3">
        <v>40</v>
      </c>
      <c r="K155" s="2" t="s">
        <v>24</v>
      </c>
      <c r="L155" s="3">
        <v>40</v>
      </c>
      <c r="M155" s="11">
        <v>12479999.949999999</v>
      </c>
      <c r="N155" s="3">
        <v>0</v>
      </c>
      <c r="O155" s="2" t="s">
        <v>25</v>
      </c>
      <c r="P155" s="2" t="s">
        <v>26</v>
      </c>
      <c r="Q155" s="2" t="s">
        <v>42</v>
      </c>
    </row>
    <row r="156" spans="1:17" x14ac:dyDescent="0.25">
      <c r="A156" s="1">
        <v>46188</v>
      </c>
      <c r="B156" s="1">
        <v>46186</v>
      </c>
      <c r="C156" s="2" t="s">
        <v>377</v>
      </c>
      <c r="D156" s="2" t="s">
        <v>18</v>
      </c>
      <c r="E156" s="2" t="s">
        <v>378</v>
      </c>
      <c r="F156" s="2" t="s">
        <v>20</v>
      </c>
      <c r="G156" s="2" t="s">
        <v>362</v>
      </c>
      <c r="H156" s="2" t="s">
        <v>33</v>
      </c>
      <c r="I156" s="2" t="s">
        <v>34</v>
      </c>
      <c r="J156" s="3">
        <v>30</v>
      </c>
      <c r="K156" s="2" t="s">
        <v>24</v>
      </c>
      <c r="L156" s="3">
        <v>30</v>
      </c>
      <c r="M156" s="11">
        <v>8699999.9900000002</v>
      </c>
      <c r="N156" s="3">
        <v>0</v>
      </c>
      <c r="O156" s="2" t="s">
        <v>25</v>
      </c>
      <c r="P156" s="2" t="s">
        <v>26</v>
      </c>
      <c r="Q156" s="2" t="s">
        <v>42</v>
      </c>
    </row>
    <row r="157" spans="1:17" x14ac:dyDescent="0.25">
      <c r="A157" s="1">
        <v>46188</v>
      </c>
      <c r="B157" s="1">
        <v>46186</v>
      </c>
      <c r="C157" s="2" t="s">
        <v>379</v>
      </c>
      <c r="D157" s="2" t="s">
        <v>18</v>
      </c>
      <c r="E157" s="2" t="s">
        <v>380</v>
      </c>
      <c r="F157" s="2" t="s">
        <v>20</v>
      </c>
      <c r="G157" s="2" t="s">
        <v>38</v>
      </c>
      <c r="H157" s="2" t="s">
        <v>241</v>
      </c>
      <c r="I157" s="2" t="s">
        <v>242</v>
      </c>
      <c r="J157" s="3">
        <v>4</v>
      </c>
      <c r="K157" s="2" t="s">
        <v>51</v>
      </c>
      <c r="L157" s="3">
        <v>4</v>
      </c>
      <c r="M157" s="11">
        <v>108780</v>
      </c>
      <c r="N157" s="3">
        <v>0</v>
      </c>
      <c r="O157" s="2" t="s">
        <v>25</v>
      </c>
      <c r="P157" s="2" t="s">
        <v>26</v>
      </c>
      <c r="Q157" s="2" t="s">
        <v>42</v>
      </c>
    </row>
    <row r="158" spans="1:17" x14ac:dyDescent="0.25">
      <c r="A158" s="1">
        <v>46188</v>
      </c>
      <c r="B158" s="1">
        <v>46186</v>
      </c>
      <c r="C158" s="2" t="s">
        <v>379</v>
      </c>
      <c r="D158" s="2" t="s">
        <v>18</v>
      </c>
      <c r="E158" s="2" t="s">
        <v>380</v>
      </c>
      <c r="F158" s="2" t="s">
        <v>20</v>
      </c>
      <c r="G158" s="2" t="s">
        <v>38</v>
      </c>
      <c r="H158" s="2" t="s">
        <v>22</v>
      </c>
      <c r="I158" s="2" t="s">
        <v>23</v>
      </c>
      <c r="J158" s="3">
        <v>1</v>
      </c>
      <c r="K158" s="2" t="s">
        <v>24</v>
      </c>
      <c r="L158" s="3">
        <v>1</v>
      </c>
      <c r="M158" s="11">
        <v>327450</v>
      </c>
      <c r="N158" s="3">
        <v>0</v>
      </c>
      <c r="O158" s="2" t="s">
        <v>25</v>
      </c>
      <c r="P158" s="2" t="s">
        <v>26</v>
      </c>
      <c r="Q158" s="2" t="s">
        <v>42</v>
      </c>
    </row>
    <row r="159" spans="1:17" x14ac:dyDescent="0.25">
      <c r="A159" s="1">
        <v>46188</v>
      </c>
      <c r="B159" s="1">
        <v>46186</v>
      </c>
      <c r="C159" s="2" t="s">
        <v>381</v>
      </c>
      <c r="D159" s="2" t="s">
        <v>18</v>
      </c>
      <c r="E159" s="2" t="s">
        <v>382</v>
      </c>
      <c r="F159" s="2" t="s">
        <v>20</v>
      </c>
      <c r="G159" s="2" t="s">
        <v>54</v>
      </c>
      <c r="H159" s="2" t="s">
        <v>117</v>
      </c>
      <c r="I159" s="2" t="s">
        <v>118</v>
      </c>
      <c r="J159" s="3">
        <v>2.2999999999999998</v>
      </c>
      <c r="K159" s="2" t="s">
        <v>51</v>
      </c>
      <c r="L159" s="3">
        <v>2.2999999999999998</v>
      </c>
      <c r="M159" s="11">
        <v>241499.99</v>
      </c>
      <c r="N159" s="3">
        <v>0</v>
      </c>
      <c r="O159" s="2" t="s">
        <v>25</v>
      </c>
      <c r="P159" s="2" t="s">
        <v>26</v>
      </c>
      <c r="Q159" s="2" t="s">
        <v>383</v>
      </c>
    </row>
    <row r="160" spans="1:17" x14ac:dyDescent="0.25">
      <c r="A160" s="1">
        <v>46188</v>
      </c>
      <c r="B160" s="1">
        <v>46186</v>
      </c>
      <c r="C160" s="2" t="s">
        <v>384</v>
      </c>
      <c r="D160" s="2" t="s">
        <v>18</v>
      </c>
      <c r="E160" s="2" t="s">
        <v>385</v>
      </c>
      <c r="F160" s="2" t="s">
        <v>142</v>
      </c>
      <c r="G160" s="2" t="s">
        <v>386</v>
      </c>
      <c r="H160" s="2" t="s">
        <v>232</v>
      </c>
      <c r="I160" s="2" t="s">
        <v>233</v>
      </c>
      <c r="J160" s="3">
        <v>2</v>
      </c>
      <c r="K160" s="2" t="s">
        <v>51</v>
      </c>
      <c r="L160" s="3">
        <v>9.49</v>
      </c>
      <c r="M160" s="11">
        <v>1414010</v>
      </c>
      <c r="N160" s="3">
        <v>7.49</v>
      </c>
      <c r="O160" s="2" t="s">
        <v>25</v>
      </c>
      <c r="P160" s="2" t="s">
        <v>26</v>
      </c>
      <c r="Q160" s="2" t="s">
        <v>387</v>
      </c>
    </row>
    <row r="161" spans="1:17" x14ac:dyDescent="0.25">
      <c r="A161" s="1">
        <v>46188</v>
      </c>
      <c r="B161" s="1">
        <v>46186</v>
      </c>
      <c r="C161" s="2" t="s">
        <v>388</v>
      </c>
      <c r="D161" s="2" t="s">
        <v>18</v>
      </c>
      <c r="E161" s="2" t="s">
        <v>224</v>
      </c>
      <c r="F161" s="2" t="s">
        <v>20</v>
      </c>
      <c r="G161" s="2" t="s">
        <v>181</v>
      </c>
      <c r="H161" s="2" t="s">
        <v>221</v>
      </c>
      <c r="I161" s="2" t="s">
        <v>222</v>
      </c>
      <c r="J161" s="3">
        <v>10</v>
      </c>
      <c r="K161" s="2" t="s">
        <v>51</v>
      </c>
      <c r="L161" s="3">
        <v>10</v>
      </c>
      <c r="M161" s="11">
        <v>149999.96</v>
      </c>
      <c r="N161" s="3">
        <v>0</v>
      </c>
      <c r="O161" s="2" t="s">
        <v>25</v>
      </c>
      <c r="P161" s="2" t="s">
        <v>26</v>
      </c>
      <c r="Q161" s="2" t="s">
        <v>42</v>
      </c>
    </row>
    <row r="162" spans="1:17" x14ac:dyDescent="0.25">
      <c r="A162" s="1">
        <v>46188</v>
      </c>
      <c r="B162" s="1">
        <v>46186</v>
      </c>
      <c r="C162" s="2" t="s">
        <v>388</v>
      </c>
      <c r="D162" s="2" t="s">
        <v>18</v>
      </c>
      <c r="E162" s="2" t="s">
        <v>224</v>
      </c>
      <c r="F162" s="2" t="s">
        <v>20</v>
      </c>
      <c r="G162" s="2" t="s">
        <v>181</v>
      </c>
      <c r="H162" s="2" t="s">
        <v>367</v>
      </c>
      <c r="I162" s="2" t="s">
        <v>368</v>
      </c>
      <c r="J162" s="3">
        <v>60</v>
      </c>
      <c r="K162" s="2" t="s">
        <v>51</v>
      </c>
      <c r="L162" s="3">
        <v>60</v>
      </c>
      <c r="M162" s="11">
        <v>899999.77</v>
      </c>
      <c r="N162" s="3">
        <v>0</v>
      </c>
      <c r="O162" s="2" t="s">
        <v>25</v>
      </c>
      <c r="P162" s="2" t="s">
        <v>26</v>
      </c>
      <c r="Q162" s="2" t="s">
        <v>42</v>
      </c>
    </row>
    <row r="163" spans="1:17" x14ac:dyDescent="0.25">
      <c r="A163" s="1">
        <v>46188</v>
      </c>
      <c r="B163" s="1">
        <v>46186</v>
      </c>
      <c r="C163" s="2" t="s">
        <v>389</v>
      </c>
      <c r="D163" s="2" t="s">
        <v>18</v>
      </c>
      <c r="E163" s="2" t="s">
        <v>390</v>
      </c>
      <c r="F163" s="2" t="s">
        <v>20</v>
      </c>
      <c r="G163" s="2" t="s">
        <v>50</v>
      </c>
      <c r="H163" s="2" t="s">
        <v>122</v>
      </c>
      <c r="I163" s="2" t="s">
        <v>123</v>
      </c>
      <c r="J163" s="3">
        <v>12</v>
      </c>
      <c r="K163" s="2" t="s">
        <v>51</v>
      </c>
      <c r="L163" s="3">
        <v>12.619899999999999</v>
      </c>
      <c r="M163" s="11">
        <v>2397800</v>
      </c>
      <c r="N163" s="3">
        <v>0.61990000000000001</v>
      </c>
      <c r="O163" s="2" t="s">
        <v>25</v>
      </c>
      <c r="P163" s="2" t="s">
        <v>26</v>
      </c>
      <c r="Q163" s="2" t="s">
        <v>42</v>
      </c>
    </row>
    <row r="164" spans="1:17" x14ac:dyDescent="0.25">
      <c r="A164" s="1">
        <v>46188</v>
      </c>
      <c r="B164" s="1">
        <v>46186</v>
      </c>
      <c r="C164" s="2" t="s">
        <v>391</v>
      </c>
      <c r="D164" s="2" t="s">
        <v>18</v>
      </c>
      <c r="E164" s="2" t="s">
        <v>390</v>
      </c>
      <c r="F164" s="2" t="s">
        <v>20</v>
      </c>
      <c r="G164" s="2" t="s">
        <v>50</v>
      </c>
      <c r="H164" s="2" t="s">
        <v>392</v>
      </c>
      <c r="I164" s="2" t="s">
        <v>393</v>
      </c>
      <c r="J164" s="3">
        <v>2</v>
      </c>
      <c r="K164" s="2" t="s">
        <v>254</v>
      </c>
      <c r="L164" s="3">
        <v>2</v>
      </c>
      <c r="M164" s="11">
        <v>190920</v>
      </c>
      <c r="N164" s="3">
        <v>0</v>
      </c>
      <c r="O164" s="2" t="s">
        <v>25</v>
      </c>
      <c r="P164" s="2" t="s">
        <v>26</v>
      </c>
      <c r="Q164" s="2" t="s">
        <v>42</v>
      </c>
    </row>
    <row r="165" spans="1:17" x14ac:dyDescent="0.25">
      <c r="A165" s="1">
        <v>46188</v>
      </c>
      <c r="B165" s="1">
        <v>46186</v>
      </c>
      <c r="C165" s="2" t="s">
        <v>394</v>
      </c>
      <c r="D165" s="2" t="s">
        <v>18</v>
      </c>
      <c r="E165" s="2" t="s">
        <v>352</v>
      </c>
      <c r="F165" s="2" t="s">
        <v>20</v>
      </c>
      <c r="G165" s="2" t="s">
        <v>21</v>
      </c>
      <c r="H165" s="2" t="s">
        <v>22</v>
      </c>
      <c r="I165" s="2" t="s">
        <v>23</v>
      </c>
      <c r="J165" s="3">
        <v>17</v>
      </c>
      <c r="K165" s="2" t="s">
        <v>24</v>
      </c>
      <c r="L165" s="3">
        <v>17</v>
      </c>
      <c r="M165" s="11">
        <v>4658000.0599999996</v>
      </c>
      <c r="N165" s="3">
        <v>0</v>
      </c>
      <c r="O165" s="2" t="s">
        <v>25</v>
      </c>
      <c r="P165" s="2" t="s">
        <v>26</v>
      </c>
      <c r="Q165" s="2" t="s">
        <v>395</v>
      </c>
    </row>
    <row r="166" spans="1:17" x14ac:dyDescent="0.25">
      <c r="A166" s="1">
        <v>46188</v>
      </c>
      <c r="B166" s="1">
        <v>46186</v>
      </c>
      <c r="C166" s="2" t="s">
        <v>394</v>
      </c>
      <c r="D166" s="2" t="s">
        <v>18</v>
      </c>
      <c r="E166" s="2" t="s">
        <v>352</v>
      </c>
      <c r="F166" s="2" t="s">
        <v>20</v>
      </c>
      <c r="G166" s="2" t="s">
        <v>21</v>
      </c>
      <c r="H166" s="2" t="s">
        <v>66</v>
      </c>
      <c r="I166" s="2" t="s">
        <v>67</v>
      </c>
      <c r="J166" s="3">
        <v>5</v>
      </c>
      <c r="K166" s="2" t="s">
        <v>24</v>
      </c>
      <c r="L166" s="3">
        <v>5</v>
      </c>
      <c r="M166" s="11">
        <v>1390000.05</v>
      </c>
      <c r="N166" s="3">
        <v>0</v>
      </c>
      <c r="O166" s="2" t="s">
        <v>25</v>
      </c>
      <c r="P166" s="2" t="s">
        <v>26</v>
      </c>
      <c r="Q166" s="2" t="s">
        <v>395</v>
      </c>
    </row>
    <row r="167" spans="1:17" x14ac:dyDescent="0.25">
      <c r="A167" s="1">
        <v>46188</v>
      </c>
      <c r="B167" s="1">
        <v>46186</v>
      </c>
      <c r="C167" s="2" t="s">
        <v>396</v>
      </c>
      <c r="D167" s="2" t="s">
        <v>18</v>
      </c>
      <c r="E167" s="2" t="s">
        <v>352</v>
      </c>
      <c r="F167" s="2" t="s">
        <v>20</v>
      </c>
      <c r="G167" s="2" t="s">
        <v>21</v>
      </c>
      <c r="H167" s="2" t="s">
        <v>397</v>
      </c>
      <c r="I167" s="2" t="s">
        <v>398</v>
      </c>
      <c r="J167" s="3">
        <v>18</v>
      </c>
      <c r="K167" s="2" t="s">
        <v>51</v>
      </c>
      <c r="L167" s="3">
        <v>18.16</v>
      </c>
      <c r="M167" s="11">
        <v>3087200</v>
      </c>
      <c r="N167" s="3">
        <v>0.16</v>
      </c>
      <c r="O167" s="2" t="s">
        <v>25</v>
      </c>
      <c r="P167" s="2" t="s">
        <v>26</v>
      </c>
      <c r="Q167" s="2" t="s">
        <v>395</v>
      </c>
    </row>
    <row r="168" spans="1:17" x14ac:dyDescent="0.25">
      <c r="A168" s="1">
        <v>46188</v>
      </c>
      <c r="B168" s="1">
        <v>46186</v>
      </c>
      <c r="C168" s="2" t="s">
        <v>399</v>
      </c>
      <c r="D168" s="2" t="s">
        <v>18</v>
      </c>
      <c r="E168" s="2" t="s">
        <v>390</v>
      </c>
      <c r="F168" s="2" t="s">
        <v>20</v>
      </c>
      <c r="G168" s="2" t="s">
        <v>50</v>
      </c>
      <c r="H168" s="2" t="s">
        <v>122</v>
      </c>
      <c r="I168" s="2" t="s">
        <v>123</v>
      </c>
      <c r="J168" s="3">
        <v>10</v>
      </c>
      <c r="K168" s="2" t="s">
        <v>51</v>
      </c>
      <c r="L168" s="3">
        <v>10.01</v>
      </c>
      <c r="M168" s="11">
        <v>1901900</v>
      </c>
      <c r="N168" s="3">
        <v>0.01</v>
      </c>
      <c r="O168" s="2" t="s">
        <v>25</v>
      </c>
      <c r="P168" s="2" t="s">
        <v>26</v>
      </c>
      <c r="Q168" s="2" t="s">
        <v>42</v>
      </c>
    </row>
    <row r="169" spans="1:17" x14ac:dyDescent="0.25">
      <c r="A169" s="1">
        <v>46188</v>
      </c>
      <c r="B169" s="1">
        <v>46186</v>
      </c>
      <c r="C169" s="2" t="s">
        <v>400</v>
      </c>
      <c r="D169" s="2" t="s">
        <v>18</v>
      </c>
      <c r="E169" s="2" t="s">
        <v>390</v>
      </c>
      <c r="F169" s="2" t="s">
        <v>20</v>
      </c>
      <c r="G169" s="2" t="s">
        <v>50</v>
      </c>
      <c r="H169" s="2" t="s">
        <v>122</v>
      </c>
      <c r="I169" s="2" t="s">
        <v>123</v>
      </c>
      <c r="J169" s="3">
        <v>10</v>
      </c>
      <c r="K169" s="2" t="s">
        <v>51</v>
      </c>
      <c r="L169" s="3">
        <v>10</v>
      </c>
      <c r="M169" s="11">
        <v>1900000</v>
      </c>
      <c r="N169" s="3">
        <v>0</v>
      </c>
      <c r="O169" s="2" t="s">
        <v>25</v>
      </c>
      <c r="P169" s="2" t="s">
        <v>26</v>
      </c>
      <c r="Q169" s="2" t="s">
        <v>42</v>
      </c>
    </row>
    <row r="170" spans="1:17" x14ac:dyDescent="0.25">
      <c r="A170" s="1">
        <v>46188</v>
      </c>
      <c r="B170" s="1">
        <v>46186</v>
      </c>
      <c r="C170" s="2" t="s">
        <v>401</v>
      </c>
      <c r="D170" s="2" t="s">
        <v>18</v>
      </c>
      <c r="E170" s="2" t="s">
        <v>402</v>
      </c>
      <c r="F170" s="2" t="s">
        <v>20</v>
      </c>
      <c r="G170" s="2" t="s">
        <v>170</v>
      </c>
      <c r="H170" s="2" t="s">
        <v>99</v>
      </c>
      <c r="I170" s="2" t="s">
        <v>100</v>
      </c>
      <c r="J170" s="3">
        <v>100</v>
      </c>
      <c r="K170" s="2" t="s">
        <v>51</v>
      </c>
      <c r="L170" s="3">
        <v>100</v>
      </c>
      <c r="M170" s="11">
        <v>1550000.67</v>
      </c>
      <c r="N170" s="3">
        <v>0</v>
      </c>
      <c r="O170" s="2" t="s">
        <v>25</v>
      </c>
      <c r="P170" s="2" t="s">
        <v>26</v>
      </c>
      <c r="Q170" s="2" t="s">
        <v>42</v>
      </c>
    </row>
    <row r="171" spans="1:17" x14ac:dyDescent="0.25">
      <c r="A171" s="1">
        <v>46188</v>
      </c>
      <c r="B171" s="1">
        <v>46186</v>
      </c>
      <c r="C171" s="2" t="s">
        <v>401</v>
      </c>
      <c r="D171" s="2" t="s">
        <v>18</v>
      </c>
      <c r="E171" s="2" t="s">
        <v>402</v>
      </c>
      <c r="F171" s="2" t="s">
        <v>20</v>
      </c>
      <c r="G171" s="2" t="s">
        <v>170</v>
      </c>
      <c r="H171" s="2" t="s">
        <v>221</v>
      </c>
      <c r="I171" s="2" t="s">
        <v>222</v>
      </c>
      <c r="J171" s="3">
        <v>20</v>
      </c>
      <c r="K171" s="2" t="s">
        <v>51</v>
      </c>
      <c r="L171" s="3">
        <v>20</v>
      </c>
      <c r="M171" s="11">
        <v>329999.89</v>
      </c>
      <c r="N171" s="3">
        <v>0</v>
      </c>
      <c r="O171" s="2" t="s">
        <v>25</v>
      </c>
      <c r="P171" s="2" t="s">
        <v>26</v>
      </c>
      <c r="Q171" s="2" t="s">
        <v>42</v>
      </c>
    </row>
    <row r="172" spans="1:17" x14ac:dyDescent="0.25">
      <c r="A172" s="1">
        <v>46188</v>
      </c>
      <c r="B172" s="1">
        <v>46186</v>
      </c>
      <c r="C172" s="2" t="s">
        <v>401</v>
      </c>
      <c r="D172" s="2" t="s">
        <v>18</v>
      </c>
      <c r="E172" s="2" t="s">
        <v>402</v>
      </c>
      <c r="F172" s="2" t="s">
        <v>20</v>
      </c>
      <c r="G172" s="2" t="s">
        <v>170</v>
      </c>
      <c r="H172" s="2" t="s">
        <v>403</v>
      </c>
      <c r="I172" s="2" t="s">
        <v>404</v>
      </c>
      <c r="J172" s="3">
        <v>6</v>
      </c>
      <c r="K172" s="2" t="s">
        <v>51</v>
      </c>
      <c r="L172" s="3">
        <v>6</v>
      </c>
      <c r="M172" s="11">
        <v>120000.02</v>
      </c>
      <c r="N172" s="3">
        <v>0</v>
      </c>
      <c r="O172" s="2" t="s">
        <v>25</v>
      </c>
      <c r="P172" s="2" t="s">
        <v>26</v>
      </c>
      <c r="Q172" s="2" t="s">
        <v>42</v>
      </c>
    </row>
    <row r="173" spans="1:17" x14ac:dyDescent="0.25">
      <c r="A173" s="1">
        <v>46188</v>
      </c>
      <c r="B173" s="1">
        <v>46186</v>
      </c>
      <c r="C173" s="2" t="s">
        <v>405</v>
      </c>
      <c r="D173" s="2" t="s">
        <v>18</v>
      </c>
      <c r="E173" s="2" t="s">
        <v>406</v>
      </c>
      <c r="F173" s="2" t="s">
        <v>20</v>
      </c>
      <c r="G173" s="2" t="s">
        <v>251</v>
      </c>
      <c r="H173" s="2" t="s">
        <v>407</v>
      </c>
      <c r="I173" s="2" t="s">
        <v>408</v>
      </c>
      <c r="J173" s="3">
        <v>80</v>
      </c>
      <c r="K173" s="2" t="s">
        <v>24</v>
      </c>
      <c r="L173" s="3">
        <v>80</v>
      </c>
      <c r="M173" s="11">
        <v>17440000.32</v>
      </c>
      <c r="N173" s="3">
        <v>0</v>
      </c>
      <c r="O173" s="2" t="s">
        <v>25</v>
      </c>
      <c r="P173" s="2" t="s">
        <v>26</v>
      </c>
      <c r="Q173" s="2" t="s">
        <v>42</v>
      </c>
    </row>
    <row r="174" spans="1:17" x14ac:dyDescent="0.25">
      <c r="A174" s="1">
        <v>46188</v>
      </c>
      <c r="B174" s="1">
        <v>46186</v>
      </c>
      <c r="C174" s="2" t="s">
        <v>409</v>
      </c>
      <c r="D174" s="2" t="s">
        <v>18</v>
      </c>
      <c r="E174" s="2" t="s">
        <v>410</v>
      </c>
      <c r="F174" s="2" t="s">
        <v>20</v>
      </c>
      <c r="G174" s="2" t="s">
        <v>131</v>
      </c>
      <c r="H174" s="2" t="s">
        <v>22</v>
      </c>
      <c r="I174" s="2" t="s">
        <v>23</v>
      </c>
      <c r="J174" s="3">
        <v>2</v>
      </c>
      <c r="K174" s="2" t="s">
        <v>24</v>
      </c>
      <c r="L174" s="3">
        <v>2</v>
      </c>
      <c r="M174" s="11">
        <v>654900</v>
      </c>
      <c r="N174" s="3">
        <v>0</v>
      </c>
      <c r="O174" s="2" t="s">
        <v>25</v>
      </c>
      <c r="P174" s="2" t="s">
        <v>26</v>
      </c>
      <c r="Q174" s="2" t="s">
        <v>42</v>
      </c>
    </row>
    <row r="175" spans="1:17" x14ac:dyDescent="0.25">
      <c r="A175" s="1">
        <v>46188</v>
      </c>
      <c r="B175" s="1">
        <v>46186</v>
      </c>
      <c r="C175" s="2" t="s">
        <v>411</v>
      </c>
      <c r="D175" s="2" t="s">
        <v>18</v>
      </c>
      <c r="E175" s="2" t="s">
        <v>412</v>
      </c>
      <c r="F175" s="2" t="s">
        <v>20</v>
      </c>
      <c r="G175" s="2" t="s">
        <v>47</v>
      </c>
      <c r="H175" s="2" t="s">
        <v>22</v>
      </c>
      <c r="I175" s="2" t="s">
        <v>23</v>
      </c>
      <c r="J175" s="3">
        <v>1</v>
      </c>
      <c r="K175" s="2" t="s">
        <v>24</v>
      </c>
      <c r="L175" s="3">
        <v>1</v>
      </c>
      <c r="M175" s="11">
        <v>280000</v>
      </c>
      <c r="N175" s="3">
        <v>0</v>
      </c>
      <c r="O175" s="2" t="s">
        <v>25</v>
      </c>
      <c r="P175" s="2" t="s">
        <v>26</v>
      </c>
      <c r="Q175" s="2" t="s">
        <v>42</v>
      </c>
    </row>
    <row r="176" spans="1:17" x14ac:dyDescent="0.25">
      <c r="A176" s="1">
        <v>46188</v>
      </c>
      <c r="B176" s="1">
        <v>46186</v>
      </c>
      <c r="C176" s="2" t="s">
        <v>413</v>
      </c>
      <c r="D176" s="2" t="s">
        <v>18</v>
      </c>
      <c r="E176" s="2" t="s">
        <v>390</v>
      </c>
      <c r="F176" s="2" t="s">
        <v>20</v>
      </c>
      <c r="G176" s="2" t="s">
        <v>50</v>
      </c>
      <c r="H176" s="2" t="s">
        <v>122</v>
      </c>
      <c r="I176" s="2" t="s">
        <v>123</v>
      </c>
      <c r="J176" s="3">
        <v>2</v>
      </c>
      <c r="K176" s="2" t="s">
        <v>51</v>
      </c>
      <c r="L176" s="3">
        <v>2.1</v>
      </c>
      <c r="M176" s="11">
        <v>399000</v>
      </c>
      <c r="N176" s="3">
        <v>0.1</v>
      </c>
      <c r="O176" s="2" t="s">
        <v>25</v>
      </c>
      <c r="P176" s="2" t="s">
        <v>26</v>
      </c>
      <c r="Q176" s="2" t="s">
        <v>42</v>
      </c>
    </row>
    <row r="177" spans="1:17" x14ac:dyDescent="0.25">
      <c r="A177" s="1">
        <v>46188</v>
      </c>
      <c r="B177" s="1">
        <v>46186</v>
      </c>
      <c r="C177" s="2" t="s">
        <v>414</v>
      </c>
      <c r="D177" s="2" t="s">
        <v>18</v>
      </c>
      <c r="E177" s="2" t="s">
        <v>376</v>
      </c>
      <c r="F177" s="2" t="s">
        <v>20</v>
      </c>
      <c r="G177" s="2" t="s">
        <v>213</v>
      </c>
      <c r="H177" s="2" t="s">
        <v>201</v>
      </c>
      <c r="I177" s="2" t="s">
        <v>202</v>
      </c>
      <c r="J177" s="3">
        <v>16</v>
      </c>
      <c r="K177" s="2" t="s">
        <v>85</v>
      </c>
      <c r="L177" s="3">
        <v>16</v>
      </c>
      <c r="M177" s="11">
        <v>1679999.98</v>
      </c>
      <c r="N177" s="3">
        <v>0</v>
      </c>
      <c r="O177" s="2" t="s">
        <v>25</v>
      </c>
      <c r="P177" s="2" t="s">
        <v>26</v>
      </c>
      <c r="Q177" s="2" t="s">
        <v>42</v>
      </c>
    </row>
    <row r="178" spans="1:17" x14ac:dyDescent="0.25">
      <c r="A178" s="1">
        <v>46188</v>
      </c>
      <c r="B178" s="1">
        <v>46186</v>
      </c>
      <c r="C178" s="2" t="s">
        <v>414</v>
      </c>
      <c r="D178" s="2" t="s">
        <v>18</v>
      </c>
      <c r="E178" s="2" t="s">
        <v>376</v>
      </c>
      <c r="F178" s="2" t="s">
        <v>20</v>
      </c>
      <c r="G178" s="2" t="s">
        <v>213</v>
      </c>
      <c r="H178" s="2" t="s">
        <v>332</v>
      </c>
      <c r="I178" s="2" t="s">
        <v>333</v>
      </c>
      <c r="J178" s="3">
        <v>16</v>
      </c>
      <c r="K178" s="2" t="s">
        <v>85</v>
      </c>
      <c r="L178" s="3">
        <v>16</v>
      </c>
      <c r="M178" s="11">
        <v>1424000</v>
      </c>
      <c r="N178" s="3">
        <v>0</v>
      </c>
      <c r="O178" s="2" t="s">
        <v>25</v>
      </c>
      <c r="P178" s="2" t="s">
        <v>26</v>
      </c>
      <c r="Q178" s="2" t="s">
        <v>42</v>
      </c>
    </row>
    <row r="179" spans="1:17" x14ac:dyDescent="0.25">
      <c r="A179" s="1">
        <v>46188</v>
      </c>
      <c r="B179" s="1">
        <v>46186</v>
      </c>
      <c r="C179" s="2" t="s">
        <v>415</v>
      </c>
      <c r="D179" s="2" t="s">
        <v>18</v>
      </c>
      <c r="E179" s="2" t="s">
        <v>416</v>
      </c>
      <c r="F179" s="2" t="s">
        <v>20</v>
      </c>
      <c r="G179" s="2" t="s">
        <v>21</v>
      </c>
      <c r="H179" s="2" t="s">
        <v>22</v>
      </c>
      <c r="I179" s="2" t="s">
        <v>23</v>
      </c>
      <c r="J179" s="3">
        <v>10</v>
      </c>
      <c r="K179" s="2" t="s">
        <v>24</v>
      </c>
      <c r="L179" s="3">
        <v>10</v>
      </c>
      <c r="M179" s="11">
        <v>2730000.05</v>
      </c>
      <c r="N179" s="3">
        <v>0</v>
      </c>
      <c r="O179" s="2" t="s">
        <v>25</v>
      </c>
      <c r="P179" s="2" t="s">
        <v>26</v>
      </c>
      <c r="Q179" s="2" t="s">
        <v>42</v>
      </c>
    </row>
    <row r="180" spans="1:17" x14ac:dyDescent="0.25">
      <c r="A180" s="1">
        <v>46188</v>
      </c>
      <c r="B180" s="1">
        <v>46186</v>
      </c>
      <c r="C180" s="2" t="s">
        <v>417</v>
      </c>
      <c r="D180" s="2" t="s">
        <v>18</v>
      </c>
      <c r="E180" s="2" t="s">
        <v>418</v>
      </c>
      <c r="F180" s="2" t="s">
        <v>20</v>
      </c>
      <c r="G180" s="2" t="s">
        <v>21</v>
      </c>
      <c r="H180" s="2" t="s">
        <v>66</v>
      </c>
      <c r="I180" s="2" t="s">
        <v>67</v>
      </c>
      <c r="J180" s="3">
        <v>4</v>
      </c>
      <c r="K180" s="2" t="s">
        <v>24</v>
      </c>
      <c r="L180" s="3">
        <v>4</v>
      </c>
      <c r="M180" s="11">
        <v>1320000.01</v>
      </c>
      <c r="N180" s="3">
        <v>0</v>
      </c>
      <c r="O180" s="2" t="s">
        <v>25</v>
      </c>
      <c r="P180" s="2" t="s">
        <v>26</v>
      </c>
      <c r="Q180" s="2" t="s">
        <v>42</v>
      </c>
    </row>
    <row r="181" spans="1:17" x14ac:dyDescent="0.25">
      <c r="A181" s="1">
        <v>46188</v>
      </c>
      <c r="B181" s="1">
        <v>46186</v>
      </c>
      <c r="C181" s="2" t="s">
        <v>419</v>
      </c>
      <c r="D181" s="2" t="s">
        <v>18</v>
      </c>
      <c r="E181" s="2" t="s">
        <v>420</v>
      </c>
      <c r="F181" s="2" t="s">
        <v>142</v>
      </c>
      <c r="G181" s="2" t="s">
        <v>105</v>
      </c>
      <c r="H181" s="2" t="s">
        <v>201</v>
      </c>
      <c r="I181" s="2" t="s">
        <v>202</v>
      </c>
      <c r="J181" s="3">
        <v>2</v>
      </c>
      <c r="K181" s="2" t="s">
        <v>85</v>
      </c>
      <c r="L181" s="3">
        <v>2</v>
      </c>
      <c r="M181" s="11">
        <v>210000</v>
      </c>
      <c r="N181" s="3">
        <v>0</v>
      </c>
      <c r="O181" s="2" t="s">
        <v>25</v>
      </c>
      <c r="P181" s="2" t="s">
        <v>26</v>
      </c>
      <c r="Q181" s="2" t="s">
        <v>42</v>
      </c>
    </row>
    <row r="182" spans="1:17" x14ac:dyDescent="0.25">
      <c r="A182" s="1">
        <v>46188</v>
      </c>
      <c r="B182" s="1">
        <v>46186</v>
      </c>
      <c r="C182" s="2" t="s">
        <v>419</v>
      </c>
      <c r="D182" s="2" t="s">
        <v>18</v>
      </c>
      <c r="E182" s="2" t="s">
        <v>420</v>
      </c>
      <c r="F182" s="2" t="s">
        <v>142</v>
      </c>
      <c r="G182" s="2" t="s">
        <v>105</v>
      </c>
      <c r="H182" s="2" t="s">
        <v>108</v>
      </c>
      <c r="I182" s="2" t="s">
        <v>109</v>
      </c>
      <c r="J182" s="3">
        <v>2</v>
      </c>
      <c r="K182" s="2" t="s">
        <v>85</v>
      </c>
      <c r="L182" s="3">
        <v>2</v>
      </c>
      <c r="M182" s="11">
        <v>102200.01</v>
      </c>
      <c r="N182" s="3">
        <v>0</v>
      </c>
      <c r="O182" s="2" t="s">
        <v>25</v>
      </c>
      <c r="P182" s="2" t="s">
        <v>26</v>
      </c>
      <c r="Q182" s="2" t="s">
        <v>42</v>
      </c>
    </row>
    <row r="183" spans="1:17" x14ac:dyDescent="0.25">
      <c r="A183" s="1">
        <v>46188</v>
      </c>
      <c r="B183" s="1">
        <v>46186</v>
      </c>
      <c r="C183" s="2" t="s">
        <v>421</v>
      </c>
      <c r="D183" s="2" t="s">
        <v>18</v>
      </c>
      <c r="E183" s="2" t="s">
        <v>422</v>
      </c>
      <c r="F183" s="2" t="s">
        <v>20</v>
      </c>
      <c r="G183" s="2" t="s">
        <v>200</v>
      </c>
      <c r="H183" s="2" t="s">
        <v>106</v>
      </c>
      <c r="I183" s="2" t="s">
        <v>107</v>
      </c>
      <c r="J183" s="3">
        <v>12</v>
      </c>
      <c r="K183" s="2" t="s">
        <v>85</v>
      </c>
      <c r="L183" s="3">
        <v>12</v>
      </c>
      <c r="M183" s="11">
        <v>770400.03</v>
      </c>
      <c r="N183" s="3">
        <v>0</v>
      </c>
      <c r="O183" s="2" t="s">
        <v>25</v>
      </c>
      <c r="P183" s="2" t="s">
        <v>26</v>
      </c>
      <c r="Q183" s="2" t="s">
        <v>423</v>
      </c>
    </row>
    <row r="184" spans="1:17" x14ac:dyDescent="0.25">
      <c r="A184" s="1">
        <v>46188</v>
      </c>
      <c r="B184" s="1">
        <v>46186</v>
      </c>
      <c r="C184" s="2" t="s">
        <v>421</v>
      </c>
      <c r="D184" s="2" t="s">
        <v>18</v>
      </c>
      <c r="E184" s="2" t="s">
        <v>422</v>
      </c>
      <c r="F184" s="2" t="s">
        <v>20</v>
      </c>
      <c r="G184" s="2" t="s">
        <v>200</v>
      </c>
      <c r="H184" s="2" t="s">
        <v>108</v>
      </c>
      <c r="I184" s="2" t="s">
        <v>109</v>
      </c>
      <c r="J184" s="3">
        <v>24</v>
      </c>
      <c r="K184" s="2" t="s">
        <v>85</v>
      </c>
      <c r="L184" s="3">
        <v>24</v>
      </c>
      <c r="M184" s="11">
        <v>1226400.1000000001</v>
      </c>
      <c r="N184" s="3">
        <v>0</v>
      </c>
      <c r="O184" s="2" t="s">
        <v>25</v>
      </c>
      <c r="P184" s="2" t="s">
        <v>26</v>
      </c>
      <c r="Q184" s="2" t="s">
        <v>423</v>
      </c>
    </row>
    <row r="185" spans="1:17" x14ac:dyDescent="0.25">
      <c r="A185" s="1">
        <v>46188</v>
      </c>
      <c r="B185" s="1">
        <v>46186</v>
      </c>
      <c r="C185" s="2" t="s">
        <v>424</v>
      </c>
      <c r="D185" s="2" t="s">
        <v>18</v>
      </c>
      <c r="E185" s="2" t="s">
        <v>425</v>
      </c>
      <c r="F185" s="2" t="s">
        <v>20</v>
      </c>
      <c r="G185" s="2" t="s">
        <v>21</v>
      </c>
      <c r="H185" s="2" t="s">
        <v>22</v>
      </c>
      <c r="I185" s="2" t="s">
        <v>23</v>
      </c>
      <c r="J185" s="3">
        <v>2</v>
      </c>
      <c r="K185" s="2" t="s">
        <v>24</v>
      </c>
      <c r="L185" s="3">
        <v>2</v>
      </c>
      <c r="M185" s="11">
        <v>570000</v>
      </c>
      <c r="N185" s="3">
        <v>0</v>
      </c>
      <c r="O185" s="2" t="s">
        <v>25</v>
      </c>
      <c r="P185" s="2" t="s">
        <v>26</v>
      </c>
      <c r="Q185" s="2" t="s">
        <v>42</v>
      </c>
    </row>
    <row r="186" spans="1:17" x14ac:dyDescent="0.25">
      <c r="A186" s="1">
        <v>46188</v>
      </c>
      <c r="B186" s="1">
        <v>46186</v>
      </c>
      <c r="C186" s="2" t="s">
        <v>426</v>
      </c>
      <c r="D186" s="2" t="s">
        <v>18</v>
      </c>
      <c r="E186" s="2" t="s">
        <v>427</v>
      </c>
      <c r="F186" s="2" t="s">
        <v>20</v>
      </c>
      <c r="G186" s="2" t="s">
        <v>200</v>
      </c>
      <c r="H186" s="2" t="s">
        <v>264</v>
      </c>
      <c r="I186" s="2" t="s">
        <v>265</v>
      </c>
      <c r="J186" s="3">
        <v>72</v>
      </c>
      <c r="K186" s="2" t="s">
        <v>41</v>
      </c>
      <c r="L186" s="3">
        <v>72</v>
      </c>
      <c r="M186" s="11">
        <v>208799.95</v>
      </c>
      <c r="N186" s="3">
        <v>0</v>
      </c>
      <c r="O186" s="2" t="s">
        <v>25</v>
      </c>
      <c r="P186" s="2" t="s">
        <v>26</v>
      </c>
      <c r="Q186" s="2" t="s">
        <v>42</v>
      </c>
    </row>
    <row r="187" spans="1:17" x14ac:dyDescent="0.25">
      <c r="A187" s="1">
        <v>46188</v>
      </c>
      <c r="B187" s="1">
        <v>46186</v>
      </c>
      <c r="C187" s="2" t="s">
        <v>426</v>
      </c>
      <c r="D187" s="2" t="s">
        <v>18</v>
      </c>
      <c r="E187" s="2" t="s">
        <v>427</v>
      </c>
      <c r="F187" s="2" t="s">
        <v>20</v>
      </c>
      <c r="G187" s="2" t="s">
        <v>200</v>
      </c>
      <c r="H187" s="2" t="s">
        <v>201</v>
      </c>
      <c r="I187" s="2" t="s">
        <v>202</v>
      </c>
      <c r="J187" s="3">
        <v>16</v>
      </c>
      <c r="K187" s="2" t="s">
        <v>85</v>
      </c>
      <c r="L187" s="3">
        <v>16</v>
      </c>
      <c r="M187" s="11">
        <v>1583999.99</v>
      </c>
      <c r="N187" s="3">
        <v>0</v>
      </c>
      <c r="O187" s="2" t="s">
        <v>25</v>
      </c>
      <c r="P187" s="2" t="s">
        <v>26</v>
      </c>
      <c r="Q187" s="2" t="s">
        <v>42</v>
      </c>
    </row>
    <row r="188" spans="1:17" x14ac:dyDescent="0.25">
      <c r="A188" s="1">
        <v>46188</v>
      </c>
      <c r="B188" s="1">
        <v>46186</v>
      </c>
      <c r="C188" s="2" t="s">
        <v>428</v>
      </c>
      <c r="D188" s="2" t="s">
        <v>18</v>
      </c>
      <c r="E188" s="2" t="s">
        <v>422</v>
      </c>
      <c r="F188" s="2" t="s">
        <v>20</v>
      </c>
      <c r="G188" s="2" t="s">
        <v>200</v>
      </c>
      <c r="H188" s="2" t="s">
        <v>201</v>
      </c>
      <c r="I188" s="2" t="s">
        <v>202</v>
      </c>
      <c r="J188" s="3">
        <v>16</v>
      </c>
      <c r="K188" s="2" t="s">
        <v>85</v>
      </c>
      <c r="L188" s="3">
        <v>16</v>
      </c>
      <c r="M188" s="11">
        <v>1679999.92</v>
      </c>
      <c r="N188" s="3">
        <v>0</v>
      </c>
      <c r="O188" s="2" t="s">
        <v>25</v>
      </c>
      <c r="P188" s="2" t="s">
        <v>26</v>
      </c>
      <c r="Q188" s="2" t="s">
        <v>429</v>
      </c>
    </row>
    <row r="189" spans="1:17" x14ac:dyDescent="0.25">
      <c r="A189" s="1">
        <v>46188</v>
      </c>
      <c r="B189" s="1">
        <v>46186</v>
      </c>
      <c r="C189" s="2" t="s">
        <v>430</v>
      </c>
      <c r="D189" s="2" t="s">
        <v>18</v>
      </c>
      <c r="E189" s="2" t="s">
        <v>427</v>
      </c>
      <c r="F189" s="2" t="s">
        <v>20</v>
      </c>
      <c r="G189" s="2" t="s">
        <v>200</v>
      </c>
      <c r="H189" s="2" t="s">
        <v>271</v>
      </c>
      <c r="I189" s="2" t="s">
        <v>272</v>
      </c>
      <c r="J189" s="3">
        <v>30</v>
      </c>
      <c r="K189" s="2" t="s">
        <v>85</v>
      </c>
      <c r="L189" s="3">
        <v>30</v>
      </c>
      <c r="M189" s="11">
        <v>1644259.99</v>
      </c>
      <c r="N189" s="3">
        <v>0</v>
      </c>
      <c r="O189" s="2" t="s">
        <v>25</v>
      </c>
      <c r="P189" s="2" t="s">
        <v>26</v>
      </c>
      <c r="Q189" s="2" t="s">
        <v>42</v>
      </c>
    </row>
    <row r="190" spans="1:17" x14ac:dyDescent="0.25">
      <c r="A190" s="1">
        <v>46188</v>
      </c>
      <c r="B190" s="1">
        <v>46186</v>
      </c>
      <c r="C190" s="2" t="s">
        <v>431</v>
      </c>
      <c r="D190" s="2" t="s">
        <v>18</v>
      </c>
      <c r="E190" s="2" t="s">
        <v>432</v>
      </c>
      <c r="F190" s="2" t="s">
        <v>20</v>
      </c>
      <c r="G190" s="2" t="s">
        <v>213</v>
      </c>
      <c r="H190" s="2" t="s">
        <v>271</v>
      </c>
      <c r="I190" s="2" t="s">
        <v>272</v>
      </c>
      <c r="J190" s="3">
        <v>60</v>
      </c>
      <c r="K190" s="2" t="s">
        <v>85</v>
      </c>
      <c r="L190" s="3">
        <v>60</v>
      </c>
      <c r="M190" s="11">
        <v>4129200</v>
      </c>
      <c r="N190" s="3">
        <v>0</v>
      </c>
      <c r="O190" s="2" t="s">
        <v>25</v>
      </c>
      <c r="P190" s="2" t="s">
        <v>26</v>
      </c>
      <c r="Q190" s="2" t="s">
        <v>42</v>
      </c>
    </row>
    <row r="191" spans="1:17" x14ac:dyDescent="0.25">
      <c r="A191" s="1">
        <v>46188</v>
      </c>
      <c r="B191" s="1">
        <v>46186</v>
      </c>
      <c r="C191" s="2" t="s">
        <v>433</v>
      </c>
      <c r="D191" s="2" t="s">
        <v>18</v>
      </c>
      <c r="E191" s="2" t="s">
        <v>434</v>
      </c>
      <c r="F191" s="2" t="s">
        <v>20</v>
      </c>
      <c r="G191" s="2" t="s">
        <v>105</v>
      </c>
      <c r="H191" s="2" t="s">
        <v>332</v>
      </c>
      <c r="I191" s="2" t="s">
        <v>333</v>
      </c>
      <c r="J191" s="3">
        <v>16</v>
      </c>
      <c r="K191" s="2" t="s">
        <v>85</v>
      </c>
      <c r="L191" s="3">
        <v>16</v>
      </c>
      <c r="M191" s="11">
        <v>1562880</v>
      </c>
      <c r="N191" s="3">
        <v>0</v>
      </c>
      <c r="O191" s="2" t="s">
        <v>25</v>
      </c>
      <c r="P191" s="2" t="s">
        <v>26</v>
      </c>
      <c r="Q191" s="2" t="s">
        <v>42</v>
      </c>
    </row>
    <row r="192" spans="1:17" x14ac:dyDescent="0.25">
      <c r="A192" s="1">
        <v>46188</v>
      </c>
      <c r="B192" s="1">
        <v>46186</v>
      </c>
      <c r="C192" s="2" t="s">
        <v>435</v>
      </c>
      <c r="D192" s="2" t="s">
        <v>18</v>
      </c>
      <c r="E192" s="2" t="s">
        <v>436</v>
      </c>
      <c r="F192" s="2" t="s">
        <v>20</v>
      </c>
      <c r="G192" s="2" t="s">
        <v>21</v>
      </c>
      <c r="H192" s="2" t="s">
        <v>66</v>
      </c>
      <c r="I192" s="2" t="s">
        <v>67</v>
      </c>
      <c r="J192" s="3">
        <v>1</v>
      </c>
      <c r="K192" s="2" t="s">
        <v>24</v>
      </c>
      <c r="L192" s="3">
        <v>1</v>
      </c>
      <c r="M192" s="11">
        <v>290000</v>
      </c>
      <c r="N192" s="3">
        <v>0</v>
      </c>
      <c r="O192" s="2" t="s">
        <v>25</v>
      </c>
      <c r="P192" s="2" t="s">
        <v>26</v>
      </c>
      <c r="Q192" s="2" t="s">
        <v>42</v>
      </c>
    </row>
    <row r="193" spans="1:17" x14ac:dyDescent="0.25">
      <c r="A193" s="1">
        <v>46188</v>
      </c>
      <c r="B193" s="1">
        <v>46186</v>
      </c>
      <c r="C193" s="2" t="s">
        <v>437</v>
      </c>
      <c r="D193" s="2" t="s">
        <v>18</v>
      </c>
      <c r="E193" s="2" t="s">
        <v>438</v>
      </c>
      <c r="F193" s="2" t="s">
        <v>20</v>
      </c>
      <c r="G193" s="2" t="s">
        <v>362</v>
      </c>
      <c r="H193" s="2" t="s">
        <v>22</v>
      </c>
      <c r="I193" s="2" t="s">
        <v>23</v>
      </c>
      <c r="J193" s="3">
        <v>10</v>
      </c>
      <c r="K193" s="2" t="s">
        <v>24</v>
      </c>
      <c r="L193" s="3">
        <v>10</v>
      </c>
      <c r="M193" s="11">
        <v>3219000</v>
      </c>
      <c r="N193" s="3">
        <v>0</v>
      </c>
      <c r="O193" s="2" t="s">
        <v>25</v>
      </c>
      <c r="P193" s="2" t="s">
        <v>26</v>
      </c>
      <c r="Q193" s="2" t="s">
        <v>42</v>
      </c>
    </row>
    <row r="194" spans="1:17" x14ac:dyDescent="0.25">
      <c r="A194" s="1">
        <v>46188</v>
      </c>
      <c r="B194" s="1">
        <v>46186</v>
      </c>
      <c r="C194" s="2" t="s">
        <v>440</v>
      </c>
      <c r="D194" s="2" t="s">
        <v>18</v>
      </c>
      <c r="E194" s="2" t="s">
        <v>436</v>
      </c>
      <c r="F194" s="2" t="s">
        <v>20</v>
      </c>
      <c r="G194" s="2" t="s">
        <v>21</v>
      </c>
      <c r="H194" s="2" t="s">
        <v>66</v>
      </c>
      <c r="I194" s="2" t="s">
        <v>67</v>
      </c>
      <c r="J194" s="3">
        <v>3</v>
      </c>
      <c r="K194" s="2" t="s">
        <v>24</v>
      </c>
      <c r="L194" s="3">
        <v>3</v>
      </c>
      <c r="M194" s="11">
        <v>870000</v>
      </c>
      <c r="N194" s="3">
        <v>0</v>
      </c>
      <c r="O194" s="2" t="s">
        <v>25</v>
      </c>
      <c r="P194" s="2" t="s">
        <v>26</v>
      </c>
      <c r="Q194" s="2" t="s">
        <v>42</v>
      </c>
    </row>
    <row r="195" spans="1:17" x14ac:dyDescent="0.25">
      <c r="A195" s="1">
        <v>46188</v>
      </c>
      <c r="B195" s="1">
        <v>46186</v>
      </c>
      <c r="C195" s="2" t="s">
        <v>441</v>
      </c>
      <c r="D195" s="2" t="s">
        <v>18</v>
      </c>
      <c r="E195" s="2" t="s">
        <v>442</v>
      </c>
      <c r="F195" s="2" t="s">
        <v>20</v>
      </c>
      <c r="G195" s="2" t="s">
        <v>131</v>
      </c>
      <c r="H195" s="2" t="s">
        <v>22</v>
      </c>
      <c r="I195" s="2" t="s">
        <v>23</v>
      </c>
      <c r="J195" s="3">
        <v>1</v>
      </c>
      <c r="K195" s="2" t="s">
        <v>24</v>
      </c>
      <c r="L195" s="3">
        <v>1</v>
      </c>
      <c r="M195" s="11">
        <v>327450</v>
      </c>
      <c r="N195" s="3">
        <v>0</v>
      </c>
      <c r="O195" s="2" t="s">
        <v>25</v>
      </c>
      <c r="P195" s="2" t="s">
        <v>26</v>
      </c>
      <c r="Q195" s="2" t="s">
        <v>42</v>
      </c>
    </row>
    <row r="196" spans="1:17" x14ac:dyDescent="0.25">
      <c r="A196" s="1">
        <v>46188</v>
      </c>
      <c r="B196" s="1">
        <v>46186</v>
      </c>
      <c r="C196" s="2" t="s">
        <v>441</v>
      </c>
      <c r="D196" s="2" t="s">
        <v>18</v>
      </c>
      <c r="E196" s="2" t="s">
        <v>442</v>
      </c>
      <c r="F196" s="2" t="s">
        <v>20</v>
      </c>
      <c r="G196" s="2" t="s">
        <v>131</v>
      </c>
      <c r="H196" s="2" t="s">
        <v>241</v>
      </c>
      <c r="I196" s="2" t="s">
        <v>242</v>
      </c>
      <c r="J196" s="3">
        <v>5</v>
      </c>
      <c r="K196" s="2" t="s">
        <v>51</v>
      </c>
      <c r="L196" s="3">
        <v>5</v>
      </c>
      <c r="M196" s="11">
        <v>135975</v>
      </c>
      <c r="N196" s="3">
        <v>0</v>
      </c>
      <c r="O196" s="2" t="s">
        <v>25</v>
      </c>
      <c r="P196" s="2" t="s">
        <v>26</v>
      </c>
      <c r="Q196" s="2" t="s">
        <v>42</v>
      </c>
    </row>
    <row r="197" spans="1:17" x14ac:dyDescent="0.25">
      <c r="A197" s="1">
        <v>46188</v>
      </c>
      <c r="B197" s="1">
        <v>46186</v>
      </c>
      <c r="C197" s="2" t="s">
        <v>443</v>
      </c>
      <c r="D197" s="2" t="s">
        <v>18</v>
      </c>
      <c r="E197" s="2" t="s">
        <v>113</v>
      </c>
      <c r="F197" s="2" t="s">
        <v>20</v>
      </c>
      <c r="G197" s="2" t="s">
        <v>50</v>
      </c>
      <c r="H197" s="2" t="s">
        <v>117</v>
      </c>
      <c r="I197" s="2" t="s">
        <v>118</v>
      </c>
      <c r="J197" s="3">
        <v>4.5999999999999996</v>
      </c>
      <c r="K197" s="2" t="s">
        <v>51</v>
      </c>
      <c r="L197" s="3">
        <v>4.5999999999999996</v>
      </c>
      <c r="M197" s="11">
        <v>460000</v>
      </c>
      <c r="N197" s="3">
        <v>0</v>
      </c>
      <c r="O197" s="2" t="s">
        <v>25</v>
      </c>
      <c r="P197" s="2" t="s">
        <v>26</v>
      </c>
      <c r="Q197" s="2" t="s">
        <v>42</v>
      </c>
    </row>
    <row r="198" spans="1:17" x14ac:dyDescent="0.25">
      <c r="A198" s="1">
        <v>46188</v>
      </c>
      <c r="B198" s="1">
        <v>46186</v>
      </c>
      <c r="C198" s="2" t="s">
        <v>444</v>
      </c>
      <c r="D198" s="2" t="s">
        <v>18</v>
      </c>
      <c r="E198" s="2" t="s">
        <v>445</v>
      </c>
      <c r="F198" s="2" t="s">
        <v>20</v>
      </c>
      <c r="G198" s="2" t="s">
        <v>54</v>
      </c>
      <c r="H198" s="2" t="s">
        <v>28</v>
      </c>
      <c r="I198" s="2" t="s">
        <v>29</v>
      </c>
      <c r="J198" s="3">
        <v>1</v>
      </c>
      <c r="K198" s="2" t="s">
        <v>24</v>
      </c>
      <c r="L198" s="3">
        <v>1</v>
      </c>
      <c r="M198" s="11">
        <v>560000</v>
      </c>
      <c r="N198" s="3">
        <v>0</v>
      </c>
      <c r="O198" s="2" t="s">
        <v>25</v>
      </c>
      <c r="P198" s="2" t="s">
        <v>26</v>
      </c>
      <c r="Q198" s="2" t="s">
        <v>42</v>
      </c>
    </row>
    <row r="199" spans="1:17" x14ac:dyDescent="0.25">
      <c r="A199" s="1">
        <v>46188</v>
      </c>
      <c r="B199" s="1">
        <v>46186</v>
      </c>
      <c r="C199" s="2" t="s">
        <v>446</v>
      </c>
      <c r="D199" s="2" t="s">
        <v>18</v>
      </c>
      <c r="E199" s="2" t="s">
        <v>228</v>
      </c>
      <c r="F199" s="2" t="s">
        <v>20</v>
      </c>
      <c r="G199" s="2" t="s">
        <v>200</v>
      </c>
      <c r="H199" s="2" t="s">
        <v>201</v>
      </c>
      <c r="I199" s="2" t="s">
        <v>202</v>
      </c>
      <c r="J199" s="3">
        <v>16</v>
      </c>
      <c r="K199" s="2" t="s">
        <v>85</v>
      </c>
      <c r="L199" s="3">
        <v>16</v>
      </c>
      <c r="M199" s="11">
        <v>1679999.99</v>
      </c>
      <c r="N199" s="3">
        <v>0</v>
      </c>
      <c r="O199" s="2" t="s">
        <v>25</v>
      </c>
      <c r="P199" s="2" t="s">
        <v>26</v>
      </c>
      <c r="Q199" s="2" t="s">
        <v>447</v>
      </c>
    </row>
    <row r="200" spans="1:17" x14ac:dyDescent="0.25">
      <c r="A200" s="1">
        <v>46188</v>
      </c>
      <c r="B200" s="1">
        <v>46186</v>
      </c>
      <c r="C200" s="2" t="s">
        <v>446</v>
      </c>
      <c r="D200" s="2" t="s">
        <v>18</v>
      </c>
      <c r="E200" s="2" t="s">
        <v>228</v>
      </c>
      <c r="F200" s="2" t="s">
        <v>20</v>
      </c>
      <c r="G200" s="2" t="s">
        <v>200</v>
      </c>
      <c r="H200" s="2" t="s">
        <v>448</v>
      </c>
      <c r="I200" s="2" t="s">
        <v>449</v>
      </c>
      <c r="J200" s="3">
        <v>12</v>
      </c>
      <c r="K200" s="2" t="s">
        <v>85</v>
      </c>
      <c r="L200" s="3">
        <v>12</v>
      </c>
      <c r="M200" s="11">
        <v>1165147.95</v>
      </c>
      <c r="N200" s="3">
        <v>0</v>
      </c>
      <c r="O200" s="2" t="s">
        <v>25</v>
      </c>
      <c r="P200" s="2" t="s">
        <v>26</v>
      </c>
      <c r="Q200" s="2" t="s">
        <v>447</v>
      </c>
    </row>
    <row r="201" spans="1:17" x14ac:dyDescent="0.25">
      <c r="A201" s="1">
        <v>46188</v>
      </c>
      <c r="B201" s="1">
        <v>46186</v>
      </c>
      <c r="C201" s="2" t="s">
        <v>450</v>
      </c>
      <c r="D201" s="2" t="s">
        <v>18</v>
      </c>
      <c r="E201" s="2" t="s">
        <v>132</v>
      </c>
      <c r="F201" s="2" t="s">
        <v>20</v>
      </c>
      <c r="G201" s="2" t="s">
        <v>50</v>
      </c>
      <c r="H201" s="2" t="s">
        <v>66</v>
      </c>
      <c r="I201" s="2" t="s">
        <v>67</v>
      </c>
      <c r="J201" s="3">
        <v>10</v>
      </c>
      <c r="K201" s="2" t="s">
        <v>24</v>
      </c>
      <c r="L201" s="3">
        <v>10</v>
      </c>
      <c r="M201" s="11">
        <v>2979999.99</v>
      </c>
      <c r="N201" s="3">
        <v>0</v>
      </c>
      <c r="O201" s="2" t="s">
        <v>25</v>
      </c>
      <c r="P201" s="2" t="s">
        <v>26</v>
      </c>
      <c r="Q201" s="2" t="s">
        <v>42</v>
      </c>
    </row>
    <row r="202" spans="1:17" x14ac:dyDescent="0.25">
      <c r="A202" s="1">
        <v>46188</v>
      </c>
      <c r="B202" s="1">
        <v>46186</v>
      </c>
      <c r="C202" s="2" t="s">
        <v>451</v>
      </c>
      <c r="D202" s="2" t="s">
        <v>18</v>
      </c>
      <c r="E202" s="2" t="s">
        <v>452</v>
      </c>
      <c r="F202" s="2" t="s">
        <v>20</v>
      </c>
      <c r="G202" s="2" t="s">
        <v>386</v>
      </c>
      <c r="H202" s="2" t="s">
        <v>453</v>
      </c>
      <c r="I202" s="2" t="s">
        <v>454</v>
      </c>
      <c r="J202" s="3">
        <v>10</v>
      </c>
      <c r="K202" s="2" t="s">
        <v>51</v>
      </c>
      <c r="L202" s="3">
        <v>10</v>
      </c>
      <c r="M202" s="11">
        <v>1224000</v>
      </c>
      <c r="N202" s="3">
        <v>0</v>
      </c>
      <c r="O202" s="2" t="s">
        <v>25</v>
      </c>
      <c r="P202" s="2" t="s">
        <v>26</v>
      </c>
      <c r="Q202" s="2" t="s">
        <v>42</v>
      </c>
    </row>
    <row r="203" spans="1:17" x14ac:dyDescent="0.25">
      <c r="A203" s="1">
        <v>46188</v>
      </c>
      <c r="B203" s="1">
        <v>46186</v>
      </c>
      <c r="C203" s="2" t="s">
        <v>455</v>
      </c>
      <c r="D203" s="2" t="s">
        <v>18</v>
      </c>
      <c r="E203" s="2" t="s">
        <v>456</v>
      </c>
      <c r="F203" s="2" t="s">
        <v>20</v>
      </c>
      <c r="G203" s="2" t="s">
        <v>200</v>
      </c>
      <c r="H203" s="2" t="s">
        <v>457</v>
      </c>
      <c r="I203" s="2" t="s">
        <v>458</v>
      </c>
      <c r="J203" s="3">
        <v>16</v>
      </c>
      <c r="K203" s="2" t="s">
        <v>85</v>
      </c>
      <c r="L203" s="3">
        <v>16</v>
      </c>
      <c r="M203" s="11">
        <v>1111086.68</v>
      </c>
      <c r="N203" s="3">
        <v>0</v>
      </c>
      <c r="O203" s="2" t="s">
        <v>25</v>
      </c>
      <c r="P203" s="2" t="s">
        <v>26</v>
      </c>
      <c r="Q203" s="2" t="s">
        <v>42</v>
      </c>
    </row>
    <row r="204" spans="1:17" x14ac:dyDescent="0.25">
      <c r="A204" s="1">
        <v>46188</v>
      </c>
      <c r="B204" s="1">
        <v>46186</v>
      </c>
      <c r="C204" s="2" t="s">
        <v>455</v>
      </c>
      <c r="D204" s="2" t="s">
        <v>18</v>
      </c>
      <c r="E204" s="2" t="s">
        <v>456</v>
      </c>
      <c r="F204" s="2" t="s">
        <v>20</v>
      </c>
      <c r="G204" s="2" t="s">
        <v>200</v>
      </c>
      <c r="H204" s="2" t="s">
        <v>322</v>
      </c>
      <c r="I204" s="2" t="s">
        <v>323</v>
      </c>
      <c r="J204" s="3">
        <v>16</v>
      </c>
      <c r="K204" s="2" t="s">
        <v>85</v>
      </c>
      <c r="L204" s="3">
        <v>16</v>
      </c>
      <c r="M204" s="11">
        <v>1043665.28</v>
      </c>
      <c r="N204" s="3">
        <v>0</v>
      </c>
      <c r="O204" s="2" t="s">
        <v>25</v>
      </c>
      <c r="P204" s="2" t="s">
        <v>26</v>
      </c>
      <c r="Q204" s="2" t="s">
        <v>42</v>
      </c>
    </row>
    <row r="205" spans="1:17" x14ac:dyDescent="0.25">
      <c r="A205" s="1">
        <v>46188</v>
      </c>
      <c r="B205" s="1">
        <v>46186</v>
      </c>
      <c r="C205" s="2" t="s">
        <v>455</v>
      </c>
      <c r="D205" s="2" t="s">
        <v>18</v>
      </c>
      <c r="E205" s="2" t="s">
        <v>456</v>
      </c>
      <c r="F205" s="2" t="s">
        <v>20</v>
      </c>
      <c r="G205" s="2" t="s">
        <v>200</v>
      </c>
      <c r="H205" s="2" t="s">
        <v>324</v>
      </c>
      <c r="I205" s="2" t="s">
        <v>325</v>
      </c>
      <c r="J205" s="3">
        <v>12</v>
      </c>
      <c r="K205" s="2" t="s">
        <v>85</v>
      </c>
      <c r="L205" s="3">
        <v>12</v>
      </c>
      <c r="M205" s="11">
        <v>622633.41</v>
      </c>
      <c r="N205" s="3">
        <v>0</v>
      </c>
      <c r="O205" s="2" t="s">
        <v>25</v>
      </c>
      <c r="P205" s="2" t="s">
        <v>26</v>
      </c>
      <c r="Q205" s="2" t="s">
        <v>42</v>
      </c>
    </row>
    <row r="206" spans="1:17" x14ac:dyDescent="0.25">
      <c r="A206" s="1">
        <v>46188</v>
      </c>
      <c r="B206" s="1">
        <v>46186</v>
      </c>
      <c r="C206" s="2" t="s">
        <v>459</v>
      </c>
      <c r="D206" s="2" t="s">
        <v>18</v>
      </c>
      <c r="E206" s="2" t="s">
        <v>460</v>
      </c>
      <c r="F206" s="2" t="s">
        <v>20</v>
      </c>
      <c r="G206" s="2" t="s">
        <v>50</v>
      </c>
      <c r="H206" s="2" t="s">
        <v>87</v>
      </c>
      <c r="I206" s="2" t="s">
        <v>88</v>
      </c>
      <c r="J206" s="3">
        <v>10.5299</v>
      </c>
      <c r="K206" s="2" t="s">
        <v>51</v>
      </c>
      <c r="L206" s="3">
        <v>10.26</v>
      </c>
      <c r="M206" s="11">
        <v>2462400</v>
      </c>
      <c r="N206" s="3">
        <v>-0.26989999999999997</v>
      </c>
      <c r="O206" s="2" t="s">
        <v>25</v>
      </c>
      <c r="P206" s="2" t="s">
        <v>26</v>
      </c>
      <c r="Q206" s="2" t="s">
        <v>42</v>
      </c>
    </row>
    <row r="207" spans="1:17" x14ac:dyDescent="0.25">
      <c r="A207" s="1">
        <v>46188</v>
      </c>
      <c r="B207" s="1">
        <v>46186</v>
      </c>
      <c r="C207" s="2" t="s">
        <v>461</v>
      </c>
      <c r="D207" s="2" t="s">
        <v>18</v>
      </c>
      <c r="E207" s="2" t="s">
        <v>462</v>
      </c>
      <c r="F207" s="2" t="s">
        <v>20</v>
      </c>
      <c r="G207" s="2" t="s">
        <v>54</v>
      </c>
      <c r="H207" s="2" t="s">
        <v>463</v>
      </c>
      <c r="I207" s="2" t="s">
        <v>464</v>
      </c>
      <c r="J207" s="3">
        <v>12</v>
      </c>
      <c r="K207" s="2" t="s">
        <v>41</v>
      </c>
      <c r="L207" s="3">
        <v>12</v>
      </c>
      <c r="M207" s="11">
        <v>461538</v>
      </c>
      <c r="N207" s="3">
        <v>0</v>
      </c>
      <c r="O207" s="2" t="s">
        <v>25</v>
      </c>
      <c r="P207" s="2" t="s">
        <v>26</v>
      </c>
      <c r="Q207" s="2" t="s">
        <v>42</v>
      </c>
    </row>
    <row r="208" spans="1:17" x14ac:dyDescent="0.25">
      <c r="A208" s="1">
        <v>46188</v>
      </c>
      <c r="B208" s="1">
        <v>46186</v>
      </c>
      <c r="C208" s="2" t="s">
        <v>461</v>
      </c>
      <c r="D208" s="2" t="s">
        <v>18</v>
      </c>
      <c r="E208" s="2" t="s">
        <v>462</v>
      </c>
      <c r="F208" s="2" t="s">
        <v>20</v>
      </c>
      <c r="G208" s="2" t="s">
        <v>54</v>
      </c>
      <c r="H208" s="2" t="s">
        <v>43</v>
      </c>
      <c r="I208" s="2" t="s">
        <v>44</v>
      </c>
      <c r="J208" s="3">
        <v>36</v>
      </c>
      <c r="K208" s="2" t="s">
        <v>41</v>
      </c>
      <c r="L208" s="3">
        <v>36</v>
      </c>
      <c r="M208" s="11">
        <v>1678320</v>
      </c>
      <c r="N208" s="3">
        <v>0</v>
      </c>
      <c r="O208" s="2" t="s">
        <v>25</v>
      </c>
      <c r="P208" s="2" t="s">
        <v>26</v>
      </c>
      <c r="Q208" s="2" t="s">
        <v>42</v>
      </c>
    </row>
    <row r="209" spans="1:17" x14ac:dyDescent="0.25">
      <c r="A209" s="1">
        <v>46188</v>
      </c>
      <c r="B209" s="1">
        <v>46186</v>
      </c>
      <c r="C209" s="2" t="s">
        <v>465</v>
      </c>
      <c r="D209" s="2" t="s">
        <v>18</v>
      </c>
      <c r="E209" s="2" t="s">
        <v>207</v>
      </c>
      <c r="F209" s="2" t="s">
        <v>20</v>
      </c>
      <c r="G209" s="2" t="s">
        <v>50</v>
      </c>
      <c r="H209" s="2" t="s">
        <v>87</v>
      </c>
      <c r="I209" s="2" t="s">
        <v>88</v>
      </c>
      <c r="J209" s="3">
        <v>30</v>
      </c>
      <c r="K209" s="2" t="s">
        <v>51</v>
      </c>
      <c r="L209" s="3">
        <v>28.059899999999999</v>
      </c>
      <c r="M209" s="11">
        <v>6173200</v>
      </c>
      <c r="N209" s="3">
        <v>-1.9400999999999999</v>
      </c>
      <c r="O209" s="2" t="s">
        <v>25</v>
      </c>
      <c r="P209" s="2" t="s">
        <v>26</v>
      </c>
      <c r="Q209" s="2" t="s">
        <v>42</v>
      </c>
    </row>
    <row r="210" spans="1:17" x14ac:dyDescent="0.25">
      <c r="A210" s="1">
        <v>46188</v>
      </c>
      <c r="B210" s="1">
        <v>46186</v>
      </c>
      <c r="C210" s="2" t="s">
        <v>466</v>
      </c>
      <c r="D210" s="2" t="s">
        <v>18</v>
      </c>
      <c r="E210" s="2" t="s">
        <v>467</v>
      </c>
      <c r="F210" s="2" t="s">
        <v>20</v>
      </c>
      <c r="G210" s="2" t="s">
        <v>386</v>
      </c>
      <c r="H210" s="2" t="s">
        <v>99</v>
      </c>
      <c r="I210" s="2" t="s">
        <v>100</v>
      </c>
      <c r="J210" s="3">
        <v>6</v>
      </c>
      <c r="K210" s="2" t="s">
        <v>51</v>
      </c>
      <c r="L210" s="3">
        <v>6</v>
      </c>
      <c r="M210" s="11">
        <v>89999.98</v>
      </c>
      <c r="N210" s="3">
        <v>0</v>
      </c>
      <c r="O210" s="2" t="s">
        <v>25</v>
      </c>
      <c r="P210" s="2" t="s">
        <v>26</v>
      </c>
      <c r="Q210" s="2" t="s">
        <v>42</v>
      </c>
    </row>
    <row r="211" spans="1:17" x14ac:dyDescent="0.25">
      <c r="A211" s="1">
        <v>46188</v>
      </c>
      <c r="B211" s="1">
        <v>46186</v>
      </c>
      <c r="C211" s="2" t="s">
        <v>468</v>
      </c>
      <c r="D211" s="2" t="s">
        <v>18</v>
      </c>
      <c r="E211" s="2" t="s">
        <v>467</v>
      </c>
      <c r="F211" s="2" t="s">
        <v>20</v>
      </c>
      <c r="G211" s="2" t="s">
        <v>386</v>
      </c>
      <c r="H211" s="2" t="s">
        <v>469</v>
      </c>
      <c r="I211" s="2" t="s">
        <v>470</v>
      </c>
      <c r="J211" s="3">
        <v>6</v>
      </c>
      <c r="K211" s="2" t="s">
        <v>51</v>
      </c>
      <c r="L211" s="3">
        <v>6.63</v>
      </c>
      <c r="M211" s="11">
        <v>1392300</v>
      </c>
      <c r="N211" s="3">
        <v>0.63</v>
      </c>
      <c r="O211" s="2" t="s">
        <v>25</v>
      </c>
      <c r="P211" s="2" t="s">
        <v>26</v>
      </c>
      <c r="Q211" s="2" t="s">
        <v>42</v>
      </c>
    </row>
    <row r="212" spans="1:17" x14ac:dyDescent="0.25">
      <c r="A212" s="1">
        <v>46188</v>
      </c>
      <c r="B212" s="1">
        <v>46186</v>
      </c>
      <c r="C212" s="2" t="s">
        <v>471</v>
      </c>
      <c r="D212" s="2" t="s">
        <v>18</v>
      </c>
      <c r="E212" s="2" t="s">
        <v>390</v>
      </c>
      <c r="F212" s="2" t="s">
        <v>20</v>
      </c>
      <c r="G212" s="2" t="s">
        <v>50</v>
      </c>
      <c r="H212" s="2" t="s">
        <v>117</v>
      </c>
      <c r="I212" s="2" t="s">
        <v>118</v>
      </c>
      <c r="J212" s="3">
        <v>4</v>
      </c>
      <c r="K212" s="2" t="s">
        <v>51</v>
      </c>
      <c r="L212" s="3">
        <v>4.5999999999999996</v>
      </c>
      <c r="M212" s="11">
        <v>460000</v>
      </c>
      <c r="N212" s="3">
        <v>0.6</v>
      </c>
      <c r="O212" s="2" t="s">
        <v>25</v>
      </c>
      <c r="P212" s="2" t="s">
        <v>26</v>
      </c>
      <c r="Q212" s="2" t="s">
        <v>42</v>
      </c>
    </row>
    <row r="213" spans="1:17" x14ac:dyDescent="0.25">
      <c r="A213" s="1">
        <v>46188</v>
      </c>
      <c r="B213" s="1">
        <v>46186</v>
      </c>
      <c r="C213" s="2" t="s">
        <v>472</v>
      </c>
      <c r="D213" s="2" t="s">
        <v>18</v>
      </c>
      <c r="E213" s="2" t="s">
        <v>390</v>
      </c>
      <c r="F213" s="2" t="s">
        <v>20</v>
      </c>
      <c r="G213" s="2" t="s">
        <v>50</v>
      </c>
      <c r="H213" s="2" t="s">
        <v>122</v>
      </c>
      <c r="I213" s="2" t="s">
        <v>123</v>
      </c>
      <c r="J213" s="3">
        <v>6</v>
      </c>
      <c r="K213" s="2" t="s">
        <v>51</v>
      </c>
      <c r="L213" s="3">
        <v>6</v>
      </c>
      <c r="M213" s="11">
        <v>1140000</v>
      </c>
      <c r="N213" s="3">
        <v>0</v>
      </c>
      <c r="O213" s="2" t="s">
        <v>25</v>
      </c>
      <c r="P213" s="2" t="s">
        <v>26</v>
      </c>
      <c r="Q213" s="2" t="s">
        <v>42</v>
      </c>
    </row>
    <row r="214" spans="1:17" x14ac:dyDescent="0.25">
      <c r="A214" s="1">
        <v>46188</v>
      </c>
      <c r="B214" s="1">
        <v>46186</v>
      </c>
      <c r="C214" s="2" t="s">
        <v>473</v>
      </c>
      <c r="D214" s="2" t="s">
        <v>18</v>
      </c>
      <c r="E214" s="2" t="s">
        <v>390</v>
      </c>
      <c r="F214" s="2" t="s">
        <v>20</v>
      </c>
      <c r="G214" s="2" t="s">
        <v>50</v>
      </c>
      <c r="H214" s="2" t="s">
        <v>117</v>
      </c>
      <c r="I214" s="2" t="s">
        <v>118</v>
      </c>
      <c r="J214" s="3">
        <v>20</v>
      </c>
      <c r="K214" s="2" t="s">
        <v>51</v>
      </c>
      <c r="L214" s="3">
        <v>20.6999</v>
      </c>
      <c r="M214" s="11">
        <v>2069999.99</v>
      </c>
      <c r="N214" s="3">
        <v>0.69989999999999997</v>
      </c>
      <c r="O214" s="2" t="s">
        <v>25</v>
      </c>
      <c r="P214" s="2" t="s">
        <v>26</v>
      </c>
      <c r="Q214" s="2" t="s">
        <v>42</v>
      </c>
    </row>
    <row r="215" spans="1:17" x14ac:dyDescent="0.25">
      <c r="A215" s="1">
        <v>46188</v>
      </c>
      <c r="B215" s="1">
        <v>46186</v>
      </c>
      <c r="C215" s="2" t="s">
        <v>474</v>
      </c>
      <c r="D215" s="2" t="s">
        <v>18</v>
      </c>
      <c r="E215" s="2" t="s">
        <v>475</v>
      </c>
      <c r="F215" s="2" t="s">
        <v>20</v>
      </c>
      <c r="G215" s="2" t="s">
        <v>38</v>
      </c>
      <c r="H215" s="2" t="s">
        <v>66</v>
      </c>
      <c r="I215" s="2" t="s">
        <v>67</v>
      </c>
      <c r="J215" s="3">
        <v>1</v>
      </c>
      <c r="K215" s="2" t="s">
        <v>24</v>
      </c>
      <c r="L215" s="3">
        <v>1</v>
      </c>
      <c r="M215" s="11">
        <v>355200</v>
      </c>
      <c r="N215" s="3">
        <v>0</v>
      </c>
      <c r="O215" s="2" t="s">
        <v>25</v>
      </c>
      <c r="P215" s="2" t="s">
        <v>26</v>
      </c>
      <c r="Q215" s="2" t="s">
        <v>42</v>
      </c>
    </row>
    <row r="216" spans="1:17" x14ac:dyDescent="0.25">
      <c r="A216" s="1">
        <v>46188</v>
      </c>
      <c r="B216" s="1">
        <v>46186</v>
      </c>
      <c r="C216" s="2" t="s">
        <v>476</v>
      </c>
      <c r="D216" s="2" t="s">
        <v>18</v>
      </c>
      <c r="E216" s="2" t="s">
        <v>477</v>
      </c>
      <c r="F216" s="2" t="s">
        <v>142</v>
      </c>
      <c r="G216" s="2" t="s">
        <v>21</v>
      </c>
      <c r="H216" s="2" t="s">
        <v>22</v>
      </c>
      <c r="I216" s="2" t="s">
        <v>23</v>
      </c>
      <c r="J216" s="3">
        <v>1</v>
      </c>
      <c r="K216" s="2" t="s">
        <v>24</v>
      </c>
      <c r="L216" s="3">
        <v>1</v>
      </c>
      <c r="M216" s="11">
        <v>327450</v>
      </c>
      <c r="N216" s="3">
        <v>0</v>
      </c>
      <c r="O216" s="2" t="s">
        <v>25</v>
      </c>
      <c r="P216" s="2" t="s">
        <v>26</v>
      </c>
      <c r="Q216" s="2" t="s">
        <v>42</v>
      </c>
    </row>
    <row r="217" spans="1:17" x14ac:dyDescent="0.25">
      <c r="A217" s="1">
        <v>46188</v>
      </c>
      <c r="B217" s="1">
        <v>46186</v>
      </c>
      <c r="C217" s="2" t="s">
        <v>478</v>
      </c>
      <c r="D217" s="2" t="s">
        <v>18</v>
      </c>
      <c r="E217" s="2" t="s">
        <v>439</v>
      </c>
      <c r="F217" s="2" t="s">
        <v>20</v>
      </c>
      <c r="G217" s="2" t="s">
        <v>54</v>
      </c>
      <c r="H217" s="2" t="s">
        <v>122</v>
      </c>
      <c r="I217" s="2" t="s">
        <v>123</v>
      </c>
      <c r="J217" s="3">
        <v>8</v>
      </c>
      <c r="K217" s="2" t="s">
        <v>51</v>
      </c>
      <c r="L217" s="3">
        <v>8.2798999999999996</v>
      </c>
      <c r="M217" s="11">
        <v>1531800</v>
      </c>
      <c r="N217" s="3">
        <v>0.27989999999999998</v>
      </c>
      <c r="O217" s="2" t="s">
        <v>25</v>
      </c>
      <c r="P217" s="2" t="s">
        <v>26</v>
      </c>
      <c r="Q217" s="2" t="s">
        <v>479</v>
      </c>
    </row>
    <row r="218" spans="1:17" x14ac:dyDescent="0.25">
      <c r="A218" s="1">
        <v>46188</v>
      </c>
      <c r="B218" s="1">
        <v>46186</v>
      </c>
      <c r="C218" s="2" t="s">
        <v>480</v>
      </c>
      <c r="D218" s="2" t="s">
        <v>18</v>
      </c>
      <c r="E218" s="2" t="s">
        <v>439</v>
      </c>
      <c r="F218" s="2" t="s">
        <v>20</v>
      </c>
      <c r="G218" s="2" t="s">
        <v>54</v>
      </c>
      <c r="H218" s="2" t="s">
        <v>66</v>
      </c>
      <c r="I218" s="2" t="s">
        <v>67</v>
      </c>
      <c r="J218" s="3">
        <v>15</v>
      </c>
      <c r="K218" s="2" t="s">
        <v>24</v>
      </c>
      <c r="L218" s="3">
        <v>15</v>
      </c>
      <c r="M218" s="11">
        <v>4350000</v>
      </c>
      <c r="N218" s="3">
        <v>0</v>
      </c>
      <c r="O218" s="2" t="s">
        <v>25</v>
      </c>
      <c r="P218" s="2" t="s">
        <v>26</v>
      </c>
      <c r="Q218" s="2" t="s">
        <v>42</v>
      </c>
    </row>
    <row r="219" spans="1:17" x14ac:dyDescent="0.25">
      <c r="A219" s="1">
        <v>46188</v>
      </c>
      <c r="B219" s="1">
        <v>46186</v>
      </c>
      <c r="C219" s="2" t="s">
        <v>481</v>
      </c>
      <c r="D219" s="2" t="s">
        <v>18</v>
      </c>
      <c r="E219" s="2" t="s">
        <v>128</v>
      </c>
      <c r="F219" s="2" t="s">
        <v>20</v>
      </c>
      <c r="G219" s="2" t="s">
        <v>62</v>
      </c>
      <c r="H219" s="2" t="s">
        <v>117</v>
      </c>
      <c r="I219" s="2" t="s">
        <v>118</v>
      </c>
      <c r="J219" s="3">
        <v>147</v>
      </c>
      <c r="K219" s="2" t="s">
        <v>51</v>
      </c>
      <c r="L219" s="3">
        <v>147.19990000000001</v>
      </c>
      <c r="M219" s="11">
        <v>15455999.25</v>
      </c>
      <c r="N219" s="3">
        <v>0.19989999999999999</v>
      </c>
      <c r="O219" s="2" t="s">
        <v>25</v>
      </c>
      <c r="P219" s="2" t="s">
        <v>26</v>
      </c>
      <c r="Q219" s="2" t="s">
        <v>482</v>
      </c>
    </row>
    <row r="220" spans="1:17" x14ac:dyDescent="0.25">
      <c r="A220" s="1">
        <v>46188</v>
      </c>
      <c r="B220" s="1">
        <v>46186</v>
      </c>
      <c r="C220" s="2" t="s">
        <v>483</v>
      </c>
      <c r="D220" s="2" t="s">
        <v>18</v>
      </c>
      <c r="E220" s="2" t="s">
        <v>484</v>
      </c>
      <c r="F220" s="2" t="s">
        <v>20</v>
      </c>
      <c r="G220" s="2" t="s">
        <v>131</v>
      </c>
      <c r="H220" s="2" t="s">
        <v>143</v>
      </c>
      <c r="I220" s="2" t="s">
        <v>144</v>
      </c>
      <c r="J220" s="3">
        <v>7</v>
      </c>
      <c r="K220" s="2" t="s">
        <v>51</v>
      </c>
      <c r="L220" s="3">
        <v>7</v>
      </c>
      <c r="M220" s="11">
        <v>254079</v>
      </c>
      <c r="N220" s="3">
        <v>0</v>
      </c>
      <c r="O220" s="2" t="s">
        <v>25</v>
      </c>
      <c r="P220" s="2" t="s">
        <v>26</v>
      </c>
      <c r="Q220" s="2" t="s">
        <v>42</v>
      </c>
    </row>
    <row r="221" spans="1:17" x14ac:dyDescent="0.25">
      <c r="A221" s="1">
        <v>46188</v>
      </c>
      <c r="B221" s="1">
        <v>46186</v>
      </c>
      <c r="C221" s="2" t="s">
        <v>485</v>
      </c>
      <c r="D221" s="2" t="s">
        <v>18</v>
      </c>
      <c r="E221" s="2" t="s">
        <v>486</v>
      </c>
      <c r="F221" s="2" t="s">
        <v>142</v>
      </c>
      <c r="G221" s="2" t="s">
        <v>131</v>
      </c>
      <c r="H221" s="2" t="s">
        <v>252</v>
      </c>
      <c r="I221" s="2" t="s">
        <v>253</v>
      </c>
      <c r="J221" s="3">
        <v>12</v>
      </c>
      <c r="K221" s="2" t="s">
        <v>254</v>
      </c>
      <c r="L221" s="3">
        <v>12</v>
      </c>
      <c r="M221" s="11">
        <v>719280</v>
      </c>
      <c r="N221" s="3">
        <v>0</v>
      </c>
      <c r="O221" s="2" t="s">
        <v>25</v>
      </c>
      <c r="P221" s="2" t="s">
        <v>26</v>
      </c>
      <c r="Q221" s="2" t="s">
        <v>42</v>
      </c>
    </row>
    <row r="222" spans="1:17" x14ac:dyDescent="0.25">
      <c r="A222" s="1">
        <v>46188</v>
      </c>
      <c r="B222" s="1">
        <v>46186</v>
      </c>
      <c r="C222" s="2" t="s">
        <v>487</v>
      </c>
      <c r="D222" s="2" t="s">
        <v>18</v>
      </c>
      <c r="E222" s="2" t="s">
        <v>488</v>
      </c>
      <c r="F222" s="2" t="s">
        <v>142</v>
      </c>
      <c r="G222" s="2" t="s">
        <v>489</v>
      </c>
      <c r="H222" s="2" t="s">
        <v>490</v>
      </c>
      <c r="I222" s="2" t="s">
        <v>491</v>
      </c>
      <c r="J222" s="3">
        <v>6</v>
      </c>
      <c r="K222" s="2" t="s">
        <v>492</v>
      </c>
      <c r="L222" s="3">
        <v>6</v>
      </c>
      <c r="M222" s="11">
        <v>416700.02</v>
      </c>
      <c r="N222" s="3">
        <v>0</v>
      </c>
      <c r="O222" s="2" t="s">
        <v>25</v>
      </c>
      <c r="P222" s="2" t="s">
        <v>26</v>
      </c>
      <c r="Q222" s="2" t="s">
        <v>42</v>
      </c>
    </row>
    <row r="223" spans="1:17" x14ac:dyDescent="0.25">
      <c r="A223" s="1">
        <v>46188</v>
      </c>
      <c r="B223" s="1">
        <v>46185</v>
      </c>
      <c r="C223" s="2" t="s">
        <v>493</v>
      </c>
      <c r="D223" s="2" t="s">
        <v>494</v>
      </c>
      <c r="E223" s="2" t="s">
        <v>495</v>
      </c>
      <c r="F223" s="2" t="s">
        <v>142</v>
      </c>
      <c r="G223" s="2" t="s">
        <v>181</v>
      </c>
      <c r="H223" s="2" t="s">
        <v>496</v>
      </c>
      <c r="I223" s="2" t="s">
        <v>497</v>
      </c>
      <c r="J223" s="3">
        <v>2</v>
      </c>
      <c r="K223" s="2" t="s">
        <v>82</v>
      </c>
      <c r="L223" s="3">
        <v>2</v>
      </c>
      <c r="M223" s="11">
        <v>500000.01</v>
      </c>
      <c r="N223" s="3">
        <v>0</v>
      </c>
      <c r="O223" s="2" t="s">
        <v>25</v>
      </c>
      <c r="P223" s="2" t="s">
        <v>26</v>
      </c>
      <c r="Q223" s="2" t="s">
        <v>42</v>
      </c>
    </row>
    <row r="224" spans="1:17" x14ac:dyDescent="0.25">
      <c r="A224" s="1">
        <v>46188</v>
      </c>
      <c r="B224" s="1">
        <v>46185</v>
      </c>
      <c r="C224" s="2" t="s">
        <v>498</v>
      </c>
      <c r="D224" s="2" t="s">
        <v>494</v>
      </c>
      <c r="E224" s="2" t="s">
        <v>19</v>
      </c>
      <c r="F224" s="2" t="s">
        <v>20</v>
      </c>
      <c r="G224" s="2" t="s">
        <v>21</v>
      </c>
      <c r="H224" s="2" t="s">
        <v>499</v>
      </c>
      <c r="I224" s="2" t="s">
        <v>500</v>
      </c>
      <c r="J224" s="3">
        <v>18</v>
      </c>
      <c r="K224" s="2" t="s">
        <v>238</v>
      </c>
      <c r="L224" s="3">
        <v>7.25</v>
      </c>
      <c r="M224" s="11">
        <v>630750</v>
      </c>
      <c r="N224" s="3">
        <v>-10.75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46188</v>
      </c>
      <c r="B225" s="1">
        <v>46185</v>
      </c>
      <c r="C225" s="2" t="s">
        <v>501</v>
      </c>
      <c r="D225" s="2" t="s">
        <v>494</v>
      </c>
      <c r="E225" s="2" t="s">
        <v>49</v>
      </c>
      <c r="F225" s="2" t="s">
        <v>20</v>
      </c>
      <c r="G225" s="2" t="s">
        <v>50</v>
      </c>
      <c r="H225" s="2" t="s">
        <v>502</v>
      </c>
      <c r="I225" s="2" t="s">
        <v>503</v>
      </c>
      <c r="J225" s="3">
        <v>3</v>
      </c>
      <c r="K225" s="2" t="s">
        <v>85</v>
      </c>
      <c r="L225" s="3">
        <v>3</v>
      </c>
      <c r="M225" s="11">
        <v>315000</v>
      </c>
      <c r="N225" s="3">
        <v>0</v>
      </c>
      <c r="O225" s="2" t="s">
        <v>25</v>
      </c>
      <c r="P225" s="2" t="s">
        <v>26</v>
      </c>
      <c r="Q225" s="2" t="s">
        <v>42</v>
      </c>
    </row>
    <row r="226" spans="1:17" x14ac:dyDescent="0.25">
      <c r="A226" s="1">
        <v>46188</v>
      </c>
      <c r="B226" s="1">
        <v>46185</v>
      </c>
      <c r="C226" s="2" t="s">
        <v>504</v>
      </c>
      <c r="D226" s="2" t="s">
        <v>494</v>
      </c>
      <c r="E226" s="2" t="s">
        <v>49</v>
      </c>
      <c r="F226" s="2" t="s">
        <v>20</v>
      </c>
      <c r="G226" s="2" t="s">
        <v>50</v>
      </c>
      <c r="H226" s="2" t="s">
        <v>505</v>
      </c>
      <c r="I226" s="2" t="s">
        <v>506</v>
      </c>
      <c r="J226" s="3">
        <v>50</v>
      </c>
      <c r="K226" s="2" t="s">
        <v>51</v>
      </c>
      <c r="L226" s="3">
        <v>50</v>
      </c>
      <c r="M226" s="11">
        <v>5000000</v>
      </c>
      <c r="N226" s="3">
        <v>0</v>
      </c>
      <c r="O226" s="2" t="s">
        <v>25</v>
      </c>
      <c r="P226" s="2" t="s">
        <v>26</v>
      </c>
      <c r="Q226" s="2" t="s">
        <v>42</v>
      </c>
    </row>
    <row r="227" spans="1:17" x14ac:dyDescent="0.25">
      <c r="A227" s="1">
        <v>46188</v>
      </c>
      <c r="B227" s="1">
        <v>46185</v>
      </c>
      <c r="C227" s="2" t="s">
        <v>507</v>
      </c>
      <c r="D227" s="2" t="s">
        <v>494</v>
      </c>
      <c r="E227" s="2" t="s">
        <v>49</v>
      </c>
      <c r="F227" s="2" t="s">
        <v>20</v>
      </c>
      <c r="G227" s="2" t="s">
        <v>50</v>
      </c>
      <c r="H227" s="2" t="s">
        <v>508</v>
      </c>
      <c r="I227" s="2" t="s">
        <v>509</v>
      </c>
      <c r="J227" s="3">
        <v>1</v>
      </c>
      <c r="K227" s="2" t="s">
        <v>238</v>
      </c>
      <c r="L227" s="3">
        <v>1</v>
      </c>
      <c r="M227" s="11">
        <v>135000</v>
      </c>
      <c r="N227" s="3">
        <v>0</v>
      </c>
      <c r="O227" s="2" t="s">
        <v>25</v>
      </c>
      <c r="P227" s="2" t="s">
        <v>26</v>
      </c>
      <c r="Q227" s="2" t="s">
        <v>42</v>
      </c>
    </row>
    <row r="228" spans="1:17" x14ac:dyDescent="0.25">
      <c r="A228" s="1">
        <v>46188</v>
      </c>
      <c r="B228" s="1">
        <v>46185</v>
      </c>
      <c r="C228" s="2" t="s">
        <v>510</v>
      </c>
      <c r="D228" s="2" t="s">
        <v>494</v>
      </c>
      <c r="E228" s="2" t="s">
        <v>49</v>
      </c>
      <c r="F228" s="2" t="s">
        <v>20</v>
      </c>
      <c r="G228" s="2" t="s">
        <v>50</v>
      </c>
      <c r="H228" s="2" t="s">
        <v>511</v>
      </c>
      <c r="I228" s="2" t="s">
        <v>512</v>
      </c>
      <c r="J228" s="3">
        <v>9</v>
      </c>
      <c r="K228" s="2" t="s">
        <v>82</v>
      </c>
      <c r="L228" s="3">
        <v>9</v>
      </c>
      <c r="M228" s="11">
        <v>3779999.99</v>
      </c>
      <c r="N228" s="3">
        <v>0</v>
      </c>
      <c r="O228" s="2" t="s">
        <v>25</v>
      </c>
      <c r="P228" s="2" t="s">
        <v>26</v>
      </c>
      <c r="Q228" s="2" t="s">
        <v>42</v>
      </c>
    </row>
    <row r="229" spans="1:17" x14ac:dyDescent="0.25">
      <c r="A229" s="1">
        <v>46188</v>
      </c>
      <c r="B229" s="1">
        <v>46185</v>
      </c>
      <c r="C229" s="2" t="s">
        <v>510</v>
      </c>
      <c r="D229" s="2" t="s">
        <v>494</v>
      </c>
      <c r="E229" s="2" t="s">
        <v>49</v>
      </c>
      <c r="F229" s="2" t="s">
        <v>20</v>
      </c>
      <c r="G229" s="2" t="s">
        <v>50</v>
      </c>
      <c r="H229" s="2" t="s">
        <v>513</v>
      </c>
      <c r="I229" s="2" t="s">
        <v>514</v>
      </c>
      <c r="J229" s="3">
        <v>1</v>
      </c>
      <c r="K229" s="2" t="s">
        <v>85</v>
      </c>
      <c r="L229" s="3">
        <v>1</v>
      </c>
      <c r="M229" s="11">
        <v>444000</v>
      </c>
      <c r="N229" s="3">
        <v>0</v>
      </c>
      <c r="O229" s="2" t="s">
        <v>25</v>
      </c>
      <c r="P229" s="2" t="s">
        <v>26</v>
      </c>
      <c r="Q229" s="2" t="s">
        <v>42</v>
      </c>
    </row>
    <row r="230" spans="1:17" x14ac:dyDescent="0.25">
      <c r="A230" s="1">
        <v>46188</v>
      </c>
      <c r="B230" s="1">
        <v>46185</v>
      </c>
      <c r="C230" s="2" t="s">
        <v>515</v>
      </c>
      <c r="D230" s="2" t="s">
        <v>494</v>
      </c>
      <c r="E230" s="2" t="s">
        <v>516</v>
      </c>
      <c r="F230" s="2" t="s">
        <v>20</v>
      </c>
      <c r="G230" s="2" t="s">
        <v>362</v>
      </c>
      <c r="H230" s="2" t="s">
        <v>517</v>
      </c>
      <c r="I230" s="2" t="s">
        <v>518</v>
      </c>
      <c r="J230" s="3">
        <v>2</v>
      </c>
      <c r="K230" s="2" t="s">
        <v>254</v>
      </c>
      <c r="L230" s="3">
        <v>2</v>
      </c>
      <c r="M230" s="11">
        <v>329670</v>
      </c>
      <c r="N230" s="3">
        <v>0</v>
      </c>
      <c r="O230" s="2" t="s">
        <v>25</v>
      </c>
      <c r="P230" s="2" t="s">
        <v>26</v>
      </c>
      <c r="Q230" s="2" t="s">
        <v>42</v>
      </c>
    </row>
    <row r="231" spans="1:17" x14ac:dyDescent="0.25">
      <c r="A231" s="1">
        <v>46188</v>
      </c>
      <c r="B231" s="1">
        <v>46185</v>
      </c>
      <c r="C231" s="2" t="s">
        <v>515</v>
      </c>
      <c r="D231" s="2" t="s">
        <v>494</v>
      </c>
      <c r="E231" s="2" t="s">
        <v>516</v>
      </c>
      <c r="F231" s="2" t="s">
        <v>20</v>
      </c>
      <c r="G231" s="2" t="s">
        <v>362</v>
      </c>
      <c r="H231" s="2" t="s">
        <v>519</v>
      </c>
      <c r="I231" s="2" t="s">
        <v>520</v>
      </c>
      <c r="J231" s="3">
        <v>3</v>
      </c>
      <c r="K231" s="2" t="s">
        <v>85</v>
      </c>
      <c r="L231" s="3">
        <v>3</v>
      </c>
      <c r="M231" s="11">
        <v>165000</v>
      </c>
      <c r="N231" s="3">
        <v>0</v>
      </c>
      <c r="O231" s="2" t="s">
        <v>25</v>
      </c>
      <c r="P231" s="2" t="s">
        <v>26</v>
      </c>
      <c r="Q231" s="2" t="s">
        <v>42</v>
      </c>
    </row>
    <row r="232" spans="1:17" x14ac:dyDescent="0.25">
      <c r="A232" s="1">
        <v>46188</v>
      </c>
      <c r="B232" s="1">
        <v>46185</v>
      </c>
      <c r="C232" s="2" t="s">
        <v>515</v>
      </c>
      <c r="D232" s="2" t="s">
        <v>494</v>
      </c>
      <c r="E232" s="2" t="s">
        <v>516</v>
      </c>
      <c r="F232" s="2" t="s">
        <v>20</v>
      </c>
      <c r="G232" s="2" t="s">
        <v>362</v>
      </c>
      <c r="H232" s="2" t="s">
        <v>521</v>
      </c>
      <c r="I232" s="2" t="s">
        <v>522</v>
      </c>
      <c r="J232" s="3">
        <v>3</v>
      </c>
      <c r="K232" s="2" t="s">
        <v>85</v>
      </c>
      <c r="L232" s="3">
        <v>3</v>
      </c>
      <c r="M232" s="11">
        <v>2664000</v>
      </c>
      <c r="N232" s="3">
        <v>0</v>
      </c>
      <c r="O232" s="2" t="s">
        <v>25</v>
      </c>
      <c r="P232" s="2" t="s">
        <v>26</v>
      </c>
      <c r="Q232" s="2" t="s">
        <v>42</v>
      </c>
    </row>
    <row r="233" spans="1:17" x14ac:dyDescent="0.25">
      <c r="A233" s="1">
        <v>46188</v>
      </c>
      <c r="B233" s="1">
        <v>46185</v>
      </c>
      <c r="C233" s="2" t="s">
        <v>523</v>
      </c>
      <c r="D233" s="2" t="s">
        <v>494</v>
      </c>
      <c r="E233" s="2" t="s">
        <v>378</v>
      </c>
      <c r="F233" s="2" t="s">
        <v>20</v>
      </c>
      <c r="G233" s="2" t="s">
        <v>362</v>
      </c>
      <c r="H233" s="2" t="s">
        <v>517</v>
      </c>
      <c r="I233" s="2" t="s">
        <v>518</v>
      </c>
      <c r="J233" s="3">
        <v>5</v>
      </c>
      <c r="K233" s="2" t="s">
        <v>254</v>
      </c>
      <c r="L233" s="3">
        <v>5</v>
      </c>
      <c r="M233" s="11">
        <v>824175</v>
      </c>
      <c r="N233" s="3">
        <v>0</v>
      </c>
      <c r="O233" s="2" t="s">
        <v>25</v>
      </c>
      <c r="P233" s="2" t="s">
        <v>26</v>
      </c>
      <c r="Q233" s="2" t="s">
        <v>42</v>
      </c>
    </row>
    <row r="234" spans="1:17" x14ac:dyDescent="0.25">
      <c r="A234" s="1">
        <v>46188</v>
      </c>
      <c r="B234" s="1">
        <v>46185</v>
      </c>
      <c r="C234" s="2" t="s">
        <v>524</v>
      </c>
      <c r="D234" s="2" t="s">
        <v>494</v>
      </c>
      <c r="E234" s="2" t="s">
        <v>73</v>
      </c>
      <c r="F234" s="2" t="s">
        <v>20</v>
      </c>
      <c r="G234" s="2" t="s">
        <v>50</v>
      </c>
      <c r="H234" s="2" t="s">
        <v>525</v>
      </c>
      <c r="I234" s="2" t="s">
        <v>526</v>
      </c>
      <c r="J234" s="3">
        <v>5</v>
      </c>
      <c r="K234" s="2" t="s">
        <v>51</v>
      </c>
      <c r="L234" s="3">
        <v>5.41</v>
      </c>
      <c r="M234" s="11">
        <v>703300</v>
      </c>
      <c r="N234" s="3">
        <v>0.41</v>
      </c>
      <c r="O234" s="2" t="s">
        <v>25</v>
      </c>
      <c r="P234" s="2" t="s">
        <v>26</v>
      </c>
      <c r="Q234" s="2" t="s">
        <v>42</v>
      </c>
    </row>
    <row r="235" spans="1:17" x14ac:dyDescent="0.25">
      <c r="A235" s="1">
        <v>46188</v>
      </c>
      <c r="B235" s="1">
        <v>46185</v>
      </c>
      <c r="C235" s="2" t="s">
        <v>527</v>
      </c>
      <c r="D235" s="2" t="s">
        <v>494</v>
      </c>
      <c r="E235" s="2" t="s">
        <v>73</v>
      </c>
      <c r="F235" s="2" t="s">
        <v>20</v>
      </c>
      <c r="G235" s="2" t="s">
        <v>50</v>
      </c>
      <c r="H235" s="2" t="s">
        <v>528</v>
      </c>
      <c r="I235" s="2" t="s">
        <v>529</v>
      </c>
      <c r="J235" s="3">
        <v>50</v>
      </c>
      <c r="K235" s="2" t="s">
        <v>51</v>
      </c>
      <c r="L235" s="3">
        <v>50</v>
      </c>
      <c r="M235" s="11">
        <v>8300000.0300000003</v>
      </c>
      <c r="N235" s="3">
        <v>0</v>
      </c>
      <c r="O235" s="2" t="s">
        <v>25</v>
      </c>
      <c r="P235" s="2" t="s">
        <v>26</v>
      </c>
      <c r="Q235" s="2" t="s">
        <v>42</v>
      </c>
    </row>
    <row r="236" spans="1:17" x14ac:dyDescent="0.25">
      <c r="A236" s="1">
        <v>46188</v>
      </c>
      <c r="B236" s="1">
        <v>46185</v>
      </c>
      <c r="C236" s="2" t="s">
        <v>530</v>
      </c>
      <c r="D236" s="2" t="s">
        <v>494</v>
      </c>
      <c r="E236" s="2" t="s">
        <v>73</v>
      </c>
      <c r="F236" s="2" t="s">
        <v>20</v>
      </c>
      <c r="G236" s="2" t="s">
        <v>50</v>
      </c>
      <c r="H236" s="2" t="s">
        <v>531</v>
      </c>
      <c r="I236" s="2" t="s">
        <v>532</v>
      </c>
      <c r="J236" s="3">
        <v>5</v>
      </c>
      <c r="K236" s="2" t="s">
        <v>51</v>
      </c>
      <c r="L236" s="3">
        <v>5</v>
      </c>
      <c r="M236" s="11">
        <v>600000</v>
      </c>
      <c r="N236" s="3">
        <v>0</v>
      </c>
      <c r="O236" s="2" t="s">
        <v>25</v>
      </c>
      <c r="P236" s="2" t="s">
        <v>26</v>
      </c>
      <c r="Q236" s="2" t="s">
        <v>42</v>
      </c>
    </row>
    <row r="237" spans="1:17" x14ac:dyDescent="0.25">
      <c r="A237" s="1">
        <v>46188</v>
      </c>
      <c r="B237" s="1">
        <v>46185</v>
      </c>
      <c r="C237" s="2" t="s">
        <v>533</v>
      </c>
      <c r="D237" s="2" t="s">
        <v>494</v>
      </c>
      <c r="E237" s="2" t="s">
        <v>534</v>
      </c>
      <c r="F237" s="2" t="s">
        <v>20</v>
      </c>
      <c r="G237" s="2" t="s">
        <v>50</v>
      </c>
      <c r="H237" s="2" t="s">
        <v>513</v>
      </c>
      <c r="I237" s="2" t="s">
        <v>514</v>
      </c>
      <c r="J237" s="3">
        <v>16</v>
      </c>
      <c r="K237" s="2" t="s">
        <v>85</v>
      </c>
      <c r="L237" s="3">
        <v>16</v>
      </c>
      <c r="M237" s="11">
        <v>5999999.8600000003</v>
      </c>
      <c r="N237" s="3">
        <v>0</v>
      </c>
      <c r="O237" s="2" t="s">
        <v>25</v>
      </c>
      <c r="P237" s="2" t="s">
        <v>26</v>
      </c>
      <c r="Q237" s="2" t="s">
        <v>42</v>
      </c>
    </row>
    <row r="238" spans="1:17" x14ac:dyDescent="0.25">
      <c r="A238" s="1">
        <v>46188</v>
      </c>
      <c r="B238" s="1">
        <v>46185</v>
      </c>
      <c r="C238" s="2" t="s">
        <v>535</v>
      </c>
      <c r="D238" s="2" t="s">
        <v>494</v>
      </c>
      <c r="E238" s="2" t="s">
        <v>536</v>
      </c>
      <c r="F238" s="2" t="s">
        <v>20</v>
      </c>
      <c r="G238" s="2" t="s">
        <v>47</v>
      </c>
      <c r="H238" s="2" t="s">
        <v>537</v>
      </c>
      <c r="I238" s="2" t="s">
        <v>538</v>
      </c>
      <c r="J238" s="3">
        <v>8</v>
      </c>
      <c r="K238" s="2" t="s">
        <v>539</v>
      </c>
      <c r="L238" s="3">
        <v>8</v>
      </c>
      <c r="M238" s="11">
        <v>439999.99</v>
      </c>
      <c r="N238" s="3">
        <v>0</v>
      </c>
      <c r="O238" s="2" t="s">
        <v>25</v>
      </c>
      <c r="P238" s="2" t="s">
        <v>26</v>
      </c>
      <c r="Q238" s="2" t="s">
        <v>42</v>
      </c>
    </row>
    <row r="239" spans="1:17" x14ac:dyDescent="0.25">
      <c r="A239" s="1">
        <v>46188</v>
      </c>
      <c r="B239" s="1">
        <v>46185</v>
      </c>
      <c r="C239" s="2" t="s">
        <v>540</v>
      </c>
      <c r="D239" s="2" t="s">
        <v>494</v>
      </c>
      <c r="E239" s="2" t="s">
        <v>541</v>
      </c>
      <c r="F239" s="2" t="s">
        <v>20</v>
      </c>
      <c r="G239" s="2" t="s">
        <v>50</v>
      </c>
      <c r="H239" s="2" t="s">
        <v>542</v>
      </c>
      <c r="I239" s="2" t="s">
        <v>543</v>
      </c>
      <c r="J239" s="3">
        <v>4</v>
      </c>
      <c r="K239" s="2" t="s">
        <v>51</v>
      </c>
      <c r="L239" s="3">
        <v>4.5</v>
      </c>
      <c r="M239" s="11">
        <v>495000</v>
      </c>
      <c r="N239" s="3">
        <v>0.5</v>
      </c>
      <c r="O239" s="2" t="s">
        <v>25</v>
      </c>
      <c r="P239" s="2" t="s">
        <v>26</v>
      </c>
      <c r="Q239" s="2" t="s">
        <v>42</v>
      </c>
    </row>
    <row r="240" spans="1:17" x14ac:dyDescent="0.25">
      <c r="A240" s="1">
        <v>46188</v>
      </c>
      <c r="B240" s="1">
        <v>46185</v>
      </c>
      <c r="C240" s="2" t="s">
        <v>544</v>
      </c>
      <c r="D240" s="2" t="s">
        <v>494</v>
      </c>
      <c r="E240" s="2" t="s">
        <v>120</v>
      </c>
      <c r="F240" s="2" t="s">
        <v>20</v>
      </c>
      <c r="G240" s="2" t="s">
        <v>47</v>
      </c>
      <c r="H240" s="2" t="s">
        <v>545</v>
      </c>
      <c r="I240" s="2" t="s">
        <v>546</v>
      </c>
      <c r="J240" s="3">
        <v>1</v>
      </c>
      <c r="K240" s="2" t="s">
        <v>85</v>
      </c>
      <c r="L240" s="3">
        <v>1</v>
      </c>
      <c r="M240" s="11">
        <v>120000</v>
      </c>
      <c r="N240" s="3">
        <v>0</v>
      </c>
      <c r="O240" s="2" t="s">
        <v>25</v>
      </c>
      <c r="P240" s="2" t="s">
        <v>26</v>
      </c>
      <c r="Q240" s="2" t="s">
        <v>42</v>
      </c>
    </row>
    <row r="241" spans="1:17" x14ac:dyDescent="0.25">
      <c r="A241" s="1">
        <v>46188</v>
      </c>
      <c r="B241" s="1">
        <v>46185</v>
      </c>
      <c r="C241" s="2" t="s">
        <v>547</v>
      </c>
      <c r="D241" s="2" t="s">
        <v>494</v>
      </c>
      <c r="E241" s="2" t="s">
        <v>548</v>
      </c>
      <c r="F241" s="2" t="s">
        <v>20</v>
      </c>
      <c r="G241" s="2" t="s">
        <v>47</v>
      </c>
      <c r="H241" s="2" t="s">
        <v>549</v>
      </c>
      <c r="I241" s="2" t="s">
        <v>550</v>
      </c>
      <c r="J241" s="3">
        <v>3</v>
      </c>
      <c r="K241" s="2" t="s">
        <v>82</v>
      </c>
      <c r="L241" s="3">
        <v>3</v>
      </c>
      <c r="M241" s="11">
        <v>1440000</v>
      </c>
      <c r="N241" s="3">
        <v>0</v>
      </c>
      <c r="O241" s="2" t="s">
        <v>25</v>
      </c>
      <c r="P241" s="2" t="s">
        <v>26</v>
      </c>
      <c r="Q241" s="2" t="s">
        <v>42</v>
      </c>
    </row>
    <row r="242" spans="1:17" x14ac:dyDescent="0.25">
      <c r="A242" s="1">
        <v>46188</v>
      </c>
      <c r="B242" s="1">
        <v>46185</v>
      </c>
      <c r="C242" s="2" t="s">
        <v>547</v>
      </c>
      <c r="D242" s="2" t="s">
        <v>494</v>
      </c>
      <c r="E242" s="2" t="s">
        <v>548</v>
      </c>
      <c r="F242" s="2" t="s">
        <v>20</v>
      </c>
      <c r="G242" s="2" t="s">
        <v>47</v>
      </c>
      <c r="H242" s="2" t="s">
        <v>545</v>
      </c>
      <c r="I242" s="2" t="s">
        <v>546</v>
      </c>
      <c r="J242" s="3">
        <v>3</v>
      </c>
      <c r="K242" s="2" t="s">
        <v>85</v>
      </c>
      <c r="L242" s="3">
        <v>3</v>
      </c>
      <c r="M242" s="11">
        <v>360000</v>
      </c>
      <c r="N242" s="3">
        <v>0</v>
      </c>
      <c r="O242" s="2" t="s">
        <v>25</v>
      </c>
      <c r="P242" s="2" t="s">
        <v>26</v>
      </c>
      <c r="Q242" s="2" t="s">
        <v>42</v>
      </c>
    </row>
    <row r="243" spans="1:17" x14ac:dyDescent="0.25">
      <c r="A243" s="1">
        <v>46188</v>
      </c>
      <c r="B243" s="1">
        <v>46185</v>
      </c>
      <c r="C243" s="2" t="s">
        <v>551</v>
      </c>
      <c r="D243" s="2" t="s">
        <v>494</v>
      </c>
      <c r="E243" s="2" t="s">
        <v>120</v>
      </c>
      <c r="F243" s="2" t="s">
        <v>20</v>
      </c>
      <c r="G243" s="2" t="s">
        <v>47</v>
      </c>
      <c r="H243" s="2" t="s">
        <v>525</v>
      </c>
      <c r="I243" s="2" t="s">
        <v>526</v>
      </c>
      <c r="J243" s="3">
        <v>2</v>
      </c>
      <c r="K243" s="2" t="s">
        <v>51</v>
      </c>
      <c r="L243" s="3">
        <v>6.41</v>
      </c>
      <c r="M243" s="11">
        <v>814070</v>
      </c>
      <c r="N243" s="3">
        <v>4.41</v>
      </c>
      <c r="O243" s="2" t="s">
        <v>25</v>
      </c>
      <c r="P243" s="2" t="s">
        <v>26</v>
      </c>
      <c r="Q243" s="2" t="s">
        <v>42</v>
      </c>
    </row>
    <row r="244" spans="1:17" x14ac:dyDescent="0.25">
      <c r="A244" s="1">
        <v>46188</v>
      </c>
      <c r="B244" s="1">
        <v>46185</v>
      </c>
      <c r="C244" s="2" t="s">
        <v>551</v>
      </c>
      <c r="D244" s="2" t="s">
        <v>494</v>
      </c>
      <c r="E244" s="2" t="s">
        <v>120</v>
      </c>
      <c r="F244" s="2" t="s">
        <v>20</v>
      </c>
      <c r="G244" s="2" t="s">
        <v>47</v>
      </c>
      <c r="H244" s="2" t="s">
        <v>552</v>
      </c>
      <c r="I244" s="2" t="s">
        <v>553</v>
      </c>
      <c r="J244" s="3">
        <v>6</v>
      </c>
      <c r="K244" s="2" t="s">
        <v>85</v>
      </c>
      <c r="L244" s="3">
        <v>6</v>
      </c>
      <c r="M244" s="11">
        <v>389999.94</v>
      </c>
      <c r="N244" s="3">
        <v>0</v>
      </c>
      <c r="O244" s="2" t="s">
        <v>25</v>
      </c>
      <c r="P244" s="2" t="s">
        <v>26</v>
      </c>
      <c r="Q244" s="2" t="s">
        <v>42</v>
      </c>
    </row>
    <row r="245" spans="1:17" x14ac:dyDescent="0.25">
      <c r="A245" s="1">
        <v>46188</v>
      </c>
      <c r="B245" s="1">
        <v>46185</v>
      </c>
      <c r="C245" s="2" t="s">
        <v>554</v>
      </c>
      <c r="D245" s="2" t="s">
        <v>494</v>
      </c>
      <c r="E245" s="2" t="s">
        <v>126</v>
      </c>
      <c r="F245" s="2" t="s">
        <v>20</v>
      </c>
      <c r="G245" s="2" t="s">
        <v>47</v>
      </c>
      <c r="H245" s="2" t="s">
        <v>542</v>
      </c>
      <c r="I245" s="2" t="s">
        <v>543</v>
      </c>
      <c r="J245" s="3">
        <v>3</v>
      </c>
      <c r="K245" s="2" t="s">
        <v>51</v>
      </c>
      <c r="L245" s="3">
        <v>3</v>
      </c>
      <c r="M245" s="11">
        <v>330000</v>
      </c>
      <c r="N245" s="3">
        <v>0</v>
      </c>
      <c r="O245" s="2" t="s">
        <v>25</v>
      </c>
      <c r="P245" s="2" t="s">
        <v>26</v>
      </c>
      <c r="Q245" s="2" t="s">
        <v>42</v>
      </c>
    </row>
    <row r="246" spans="1:17" x14ac:dyDescent="0.25">
      <c r="A246" s="1">
        <v>46188</v>
      </c>
      <c r="B246" s="1">
        <v>46185</v>
      </c>
      <c r="C246" s="2" t="s">
        <v>555</v>
      </c>
      <c r="D246" s="2" t="s">
        <v>494</v>
      </c>
      <c r="E246" s="2" t="s">
        <v>126</v>
      </c>
      <c r="F246" s="2" t="s">
        <v>20</v>
      </c>
      <c r="G246" s="2" t="s">
        <v>47</v>
      </c>
      <c r="H246" s="2" t="s">
        <v>542</v>
      </c>
      <c r="I246" s="2" t="s">
        <v>543</v>
      </c>
      <c r="J246" s="3">
        <v>9</v>
      </c>
      <c r="K246" s="2" t="s">
        <v>51</v>
      </c>
      <c r="L246" s="3">
        <v>9</v>
      </c>
      <c r="M246" s="11">
        <v>990000.01</v>
      </c>
      <c r="N246" s="3">
        <v>0</v>
      </c>
      <c r="O246" s="2" t="s">
        <v>25</v>
      </c>
      <c r="P246" s="2" t="s">
        <v>26</v>
      </c>
      <c r="Q246" s="2" t="s">
        <v>42</v>
      </c>
    </row>
    <row r="247" spans="1:17" x14ac:dyDescent="0.25">
      <c r="A247" s="1">
        <v>46188</v>
      </c>
      <c r="B247" s="1">
        <v>46185</v>
      </c>
      <c r="C247" s="2" t="s">
        <v>556</v>
      </c>
      <c r="D247" s="2" t="s">
        <v>494</v>
      </c>
      <c r="E247" s="2" t="s">
        <v>98</v>
      </c>
      <c r="F247" s="2" t="s">
        <v>20</v>
      </c>
      <c r="G247" s="2" t="s">
        <v>47</v>
      </c>
      <c r="H247" s="2" t="s">
        <v>557</v>
      </c>
      <c r="I247" s="2" t="s">
        <v>558</v>
      </c>
      <c r="J247" s="3">
        <v>2</v>
      </c>
      <c r="K247" s="2" t="s">
        <v>559</v>
      </c>
      <c r="L247" s="3">
        <v>2</v>
      </c>
      <c r="M247" s="11">
        <v>95999.99</v>
      </c>
      <c r="N247" s="3">
        <v>0</v>
      </c>
      <c r="O247" s="2" t="s">
        <v>25</v>
      </c>
      <c r="P247" s="2" t="s">
        <v>26</v>
      </c>
      <c r="Q247" s="2" t="s">
        <v>42</v>
      </c>
    </row>
    <row r="248" spans="1:17" x14ac:dyDescent="0.25">
      <c r="A248" s="1">
        <v>46188</v>
      </c>
      <c r="B248" s="1">
        <v>46186</v>
      </c>
      <c r="C248" s="2" t="s">
        <v>560</v>
      </c>
      <c r="D248" s="2" t="s">
        <v>494</v>
      </c>
      <c r="E248" s="2" t="s">
        <v>133</v>
      </c>
      <c r="F248" s="2" t="s">
        <v>20</v>
      </c>
      <c r="G248" s="2" t="s">
        <v>50</v>
      </c>
      <c r="H248" s="2" t="s">
        <v>561</v>
      </c>
      <c r="I248" s="2" t="s">
        <v>562</v>
      </c>
      <c r="J248" s="3">
        <v>12</v>
      </c>
      <c r="K248" s="2" t="s">
        <v>85</v>
      </c>
      <c r="L248" s="3">
        <v>12</v>
      </c>
      <c r="M248" s="11">
        <v>3503160</v>
      </c>
      <c r="N248" s="3">
        <v>0</v>
      </c>
      <c r="O248" s="2" t="s">
        <v>25</v>
      </c>
      <c r="P248" s="2" t="s">
        <v>26</v>
      </c>
      <c r="Q248" s="2" t="s">
        <v>42</v>
      </c>
    </row>
    <row r="249" spans="1:17" x14ac:dyDescent="0.25">
      <c r="A249" s="1">
        <v>46188</v>
      </c>
      <c r="B249" s="1">
        <v>46186</v>
      </c>
      <c r="C249" s="2" t="s">
        <v>563</v>
      </c>
      <c r="D249" s="2" t="s">
        <v>494</v>
      </c>
      <c r="E249" s="2" t="s">
        <v>128</v>
      </c>
      <c r="F249" s="2" t="s">
        <v>20</v>
      </c>
      <c r="G249" s="2" t="s">
        <v>62</v>
      </c>
      <c r="H249" s="2" t="s">
        <v>564</v>
      </c>
      <c r="I249" s="2" t="s">
        <v>565</v>
      </c>
      <c r="J249" s="3">
        <v>1</v>
      </c>
      <c r="K249" s="2" t="s">
        <v>254</v>
      </c>
      <c r="L249" s="3">
        <v>1</v>
      </c>
      <c r="M249" s="11">
        <v>202020</v>
      </c>
      <c r="N249" s="3">
        <v>0</v>
      </c>
      <c r="O249" s="2" t="s">
        <v>25</v>
      </c>
      <c r="P249" s="2" t="s">
        <v>26</v>
      </c>
      <c r="Q249" s="2" t="s">
        <v>129</v>
      </c>
    </row>
    <row r="250" spans="1:17" x14ac:dyDescent="0.25">
      <c r="A250" s="1">
        <v>46188</v>
      </c>
      <c r="B250" s="1">
        <v>46186</v>
      </c>
      <c r="C250" s="2" t="s">
        <v>566</v>
      </c>
      <c r="D250" s="2" t="s">
        <v>494</v>
      </c>
      <c r="E250" s="2" t="s">
        <v>128</v>
      </c>
      <c r="F250" s="2" t="s">
        <v>20</v>
      </c>
      <c r="G250" s="2" t="s">
        <v>62</v>
      </c>
      <c r="H250" s="2" t="s">
        <v>567</v>
      </c>
      <c r="I250" s="2" t="s">
        <v>568</v>
      </c>
      <c r="J250" s="3">
        <v>2</v>
      </c>
      <c r="K250" s="2" t="s">
        <v>254</v>
      </c>
      <c r="L250" s="3">
        <v>2</v>
      </c>
      <c r="M250" s="11">
        <v>532800</v>
      </c>
      <c r="N250" s="3">
        <v>0</v>
      </c>
      <c r="O250" s="2" t="s">
        <v>25</v>
      </c>
      <c r="P250" s="2" t="s">
        <v>26</v>
      </c>
      <c r="Q250" s="2" t="s">
        <v>129</v>
      </c>
    </row>
    <row r="251" spans="1:17" x14ac:dyDescent="0.25">
      <c r="A251" s="1">
        <v>46188</v>
      </c>
      <c r="B251" s="1">
        <v>46186</v>
      </c>
      <c r="C251" s="2" t="s">
        <v>566</v>
      </c>
      <c r="D251" s="2" t="s">
        <v>494</v>
      </c>
      <c r="E251" s="2" t="s">
        <v>128</v>
      </c>
      <c r="F251" s="2" t="s">
        <v>20</v>
      </c>
      <c r="G251" s="2" t="s">
        <v>62</v>
      </c>
      <c r="H251" s="2" t="s">
        <v>569</v>
      </c>
      <c r="I251" s="2" t="s">
        <v>570</v>
      </c>
      <c r="J251" s="3">
        <v>2</v>
      </c>
      <c r="K251" s="2" t="s">
        <v>254</v>
      </c>
      <c r="L251" s="3">
        <v>2</v>
      </c>
      <c r="M251" s="11">
        <v>299700</v>
      </c>
      <c r="N251" s="3">
        <v>0</v>
      </c>
      <c r="O251" s="2" t="s">
        <v>25</v>
      </c>
      <c r="P251" s="2" t="s">
        <v>26</v>
      </c>
      <c r="Q251" s="2" t="s">
        <v>129</v>
      </c>
    </row>
    <row r="252" spans="1:17" x14ac:dyDescent="0.25">
      <c r="A252" s="1">
        <v>46188</v>
      </c>
      <c r="B252" s="1">
        <v>46186</v>
      </c>
      <c r="C252" s="2" t="s">
        <v>566</v>
      </c>
      <c r="D252" s="2" t="s">
        <v>494</v>
      </c>
      <c r="E252" s="2" t="s">
        <v>128</v>
      </c>
      <c r="F252" s="2" t="s">
        <v>20</v>
      </c>
      <c r="G252" s="2" t="s">
        <v>62</v>
      </c>
      <c r="H252" s="2" t="s">
        <v>571</v>
      </c>
      <c r="I252" s="2" t="s">
        <v>572</v>
      </c>
      <c r="J252" s="3">
        <v>1</v>
      </c>
      <c r="K252" s="2" t="s">
        <v>85</v>
      </c>
      <c r="L252" s="3">
        <v>1</v>
      </c>
      <c r="M252" s="11">
        <v>338550</v>
      </c>
      <c r="N252" s="3">
        <v>0</v>
      </c>
      <c r="O252" s="2" t="s">
        <v>25</v>
      </c>
      <c r="P252" s="2" t="s">
        <v>26</v>
      </c>
      <c r="Q252" s="2" t="s">
        <v>129</v>
      </c>
    </row>
    <row r="253" spans="1:17" x14ac:dyDescent="0.25">
      <c r="A253" s="1">
        <v>46188</v>
      </c>
      <c r="B253" s="1">
        <v>46186</v>
      </c>
      <c r="C253" s="2" t="s">
        <v>573</v>
      </c>
      <c r="D253" s="2" t="s">
        <v>494</v>
      </c>
      <c r="E253" s="2" t="s">
        <v>574</v>
      </c>
      <c r="F253" s="2" t="s">
        <v>20</v>
      </c>
      <c r="G253" s="2" t="s">
        <v>131</v>
      </c>
      <c r="H253" s="2" t="s">
        <v>575</v>
      </c>
      <c r="I253" s="2" t="s">
        <v>576</v>
      </c>
      <c r="J253" s="3">
        <v>2</v>
      </c>
      <c r="K253" s="2" t="s">
        <v>85</v>
      </c>
      <c r="L253" s="3">
        <v>2</v>
      </c>
      <c r="M253" s="11">
        <v>156000</v>
      </c>
      <c r="N253" s="3">
        <v>0</v>
      </c>
      <c r="O253" s="2" t="s">
        <v>25</v>
      </c>
      <c r="P253" s="2" t="s">
        <v>26</v>
      </c>
      <c r="Q253" s="2" t="s">
        <v>42</v>
      </c>
    </row>
    <row r="254" spans="1:17" x14ac:dyDescent="0.25">
      <c r="A254" s="1">
        <v>46188</v>
      </c>
      <c r="B254" s="1">
        <v>46186</v>
      </c>
      <c r="C254" s="2" t="s">
        <v>577</v>
      </c>
      <c r="D254" s="2" t="s">
        <v>494</v>
      </c>
      <c r="E254" s="2" t="s">
        <v>578</v>
      </c>
      <c r="F254" s="2" t="s">
        <v>20</v>
      </c>
      <c r="G254" s="2" t="s">
        <v>251</v>
      </c>
      <c r="H254" s="2" t="s">
        <v>579</v>
      </c>
      <c r="I254" s="2" t="s">
        <v>580</v>
      </c>
      <c r="J254" s="3">
        <v>2</v>
      </c>
      <c r="K254" s="2" t="s">
        <v>254</v>
      </c>
      <c r="L254" s="3">
        <v>2</v>
      </c>
      <c r="M254" s="11">
        <v>337020</v>
      </c>
      <c r="N254" s="3">
        <v>0</v>
      </c>
      <c r="O254" s="2" t="s">
        <v>25</v>
      </c>
      <c r="P254" s="2" t="s">
        <v>26</v>
      </c>
      <c r="Q254" s="2" t="s">
        <v>42</v>
      </c>
    </row>
    <row r="255" spans="1:17" x14ac:dyDescent="0.25">
      <c r="A255" s="1">
        <v>46188</v>
      </c>
      <c r="B255" s="1">
        <v>46186</v>
      </c>
      <c r="C255" s="2" t="s">
        <v>577</v>
      </c>
      <c r="D255" s="2" t="s">
        <v>494</v>
      </c>
      <c r="E255" s="2" t="s">
        <v>578</v>
      </c>
      <c r="F255" s="2" t="s">
        <v>20</v>
      </c>
      <c r="G255" s="2" t="s">
        <v>251</v>
      </c>
      <c r="H255" s="2" t="s">
        <v>581</v>
      </c>
      <c r="I255" s="2" t="s">
        <v>582</v>
      </c>
      <c r="J255" s="3">
        <v>2</v>
      </c>
      <c r="K255" s="2" t="s">
        <v>254</v>
      </c>
      <c r="L255" s="3">
        <v>2</v>
      </c>
      <c r="M255" s="11">
        <v>313020</v>
      </c>
      <c r="N255" s="3">
        <v>0</v>
      </c>
      <c r="O255" s="2" t="s">
        <v>25</v>
      </c>
      <c r="P255" s="2" t="s">
        <v>26</v>
      </c>
      <c r="Q255" s="2" t="s">
        <v>42</v>
      </c>
    </row>
    <row r="256" spans="1:17" x14ac:dyDescent="0.25">
      <c r="A256" s="1">
        <v>46188</v>
      </c>
      <c r="B256" s="1">
        <v>46186</v>
      </c>
      <c r="C256" s="2" t="s">
        <v>577</v>
      </c>
      <c r="D256" s="2" t="s">
        <v>494</v>
      </c>
      <c r="E256" s="2" t="s">
        <v>578</v>
      </c>
      <c r="F256" s="2" t="s">
        <v>20</v>
      </c>
      <c r="G256" s="2" t="s">
        <v>251</v>
      </c>
      <c r="H256" s="2" t="s">
        <v>583</v>
      </c>
      <c r="I256" s="2" t="s">
        <v>584</v>
      </c>
      <c r="J256" s="3">
        <v>2</v>
      </c>
      <c r="K256" s="2" t="s">
        <v>254</v>
      </c>
      <c r="L256" s="3">
        <v>2</v>
      </c>
      <c r="M256" s="11">
        <v>313020</v>
      </c>
      <c r="N256" s="3">
        <v>0</v>
      </c>
      <c r="O256" s="2" t="s">
        <v>25</v>
      </c>
      <c r="P256" s="2" t="s">
        <v>26</v>
      </c>
      <c r="Q256" s="2" t="s">
        <v>42</v>
      </c>
    </row>
    <row r="257" spans="1:17" x14ac:dyDescent="0.25">
      <c r="A257" s="1">
        <v>46188</v>
      </c>
      <c r="B257" s="1">
        <v>46186</v>
      </c>
      <c r="C257" s="2" t="s">
        <v>585</v>
      </c>
      <c r="D257" s="2" t="s">
        <v>494</v>
      </c>
      <c r="E257" s="2" t="s">
        <v>586</v>
      </c>
      <c r="F257" s="2" t="s">
        <v>142</v>
      </c>
      <c r="G257" s="2" t="s">
        <v>62</v>
      </c>
      <c r="H257" s="2" t="s">
        <v>587</v>
      </c>
      <c r="I257" s="2" t="s">
        <v>588</v>
      </c>
      <c r="J257" s="3">
        <v>5</v>
      </c>
      <c r="K257" s="2" t="s">
        <v>492</v>
      </c>
      <c r="L257" s="3">
        <v>5</v>
      </c>
      <c r="M257" s="11">
        <v>337500</v>
      </c>
      <c r="N257" s="3">
        <v>0</v>
      </c>
      <c r="O257" s="2" t="s">
        <v>25</v>
      </c>
      <c r="P257" s="2" t="s">
        <v>26</v>
      </c>
      <c r="Q257" s="2" t="s">
        <v>589</v>
      </c>
    </row>
    <row r="258" spans="1:17" x14ac:dyDescent="0.25">
      <c r="A258" s="1">
        <v>46188</v>
      </c>
      <c r="B258" s="1">
        <v>46186</v>
      </c>
      <c r="C258" s="2" t="s">
        <v>585</v>
      </c>
      <c r="D258" s="2" t="s">
        <v>494</v>
      </c>
      <c r="E258" s="2" t="s">
        <v>586</v>
      </c>
      <c r="F258" s="2" t="s">
        <v>142</v>
      </c>
      <c r="G258" s="2" t="s">
        <v>62</v>
      </c>
      <c r="H258" s="2" t="s">
        <v>590</v>
      </c>
      <c r="I258" s="2" t="s">
        <v>591</v>
      </c>
      <c r="J258" s="3">
        <v>5</v>
      </c>
      <c r="K258" s="2" t="s">
        <v>492</v>
      </c>
      <c r="L258" s="3">
        <v>5</v>
      </c>
      <c r="M258" s="11">
        <v>337500</v>
      </c>
      <c r="N258" s="3">
        <v>0</v>
      </c>
      <c r="O258" s="2" t="s">
        <v>25</v>
      </c>
      <c r="P258" s="2" t="s">
        <v>26</v>
      </c>
      <c r="Q258" s="2" t="s">
        <v>589</v>
      </c>
    </row>
    <row r="259" spans="1:17" x14ac:dyDescent="0.25">
      <c r="A259" s="1">
        <v>46188</v>
      </c>
      <c r="B259" s="1">
        <v>46186</v>
      </c>
      <c r="C259" s="2" t="s">
        <v>585</v>
      </c>
      <c r="D259" s="2" t="s">
        <v>494</v>
      </c>
      <c r="E259" s="2" t="s">
        <v>586</v>
      </c>
      <c r="F259" s="2" t="s">
        <v>142</v>
      </c>
      <c r="G259" s="2" t="s">
        <v>62</v>
      </c>
      <c r="H259" s="2" t="s">
        <v>592</v>
      </c>
      <c r="I259" s="2" t="s">
        <v>593</v>
      </c>
      <c r="J259" s="3">
        <v>5</v>
      </c>
      <c r="K259" s="2" t="s">
        <v>492</v>
      </c>
      <c r="L259" s="3">
        <v>5</v>
      </c>
      <c r="M259" s="11">
        <v>337500</v>
      </c>
      <c r="N259" s="3">
        <v>0</v>
      </c>
      <c r="O259" s="2" t="s">
        <v>25</v>
      </c>
      <c r="P259" s="2" t="s">
        <v>26</v>
      </c>
      <c r="Q259" s="2" t="s">
        <v>589</v>
      </c>
    </row>
    <row r="260" spans="1:17" x14ac:dyDescent="0.25">
      <c r="A260" s="1">
        <v>46188</v>
      </c>
      <c r="B260" s="1">
        <v>46186</v>
      </c>
      <c r="C260" s="2" t="s">
        <v>585</v>
      </c>
      <c r="D260" s="2" t="s">
        <v>494</v>
      </c>
      <c r="E260" s="2" t="s">
        <v>586</v>
      </c>
      <c r="F260" s="2" t="s">
        <v>142</v>
      </c>
      <c r="G260" s="2" t="s">
        <v>62</v>
      </c>
      <c r="H260" s="2" t="s">
        <v>594</v>
      </c>
      <c r="I260" s="2" t="s">
        <v>595</v>
      </c>
      <c r="J260" s="3">
        <v>5</v>
      </c>
      <c r="K260" s="2" t="s">
        <v>492</v>
      </c>
      <c r="L260" s="3">
        <v>5</v>
      </c>
      <c r="M260" s="11">
        <v>337499.98</v>
      </c>
      <c r="N260" s="3">
        <v>0</v>
      </c>
      <c r="O260" s="2" t="s">
        <v>25</v>
      </c>
      <c r="P260" s="2" t="s">
        <v>26</v>
      </c>
      <c r="Q260" s="2" t="s">
        <v>589</v>
      </c>
    </row>
    <row r="261" spans="1:17" x14ac:dyDescent="0.25">
      <c r="A261" s="1">
        <v>46188</v>
      </c>
      <c r="B261" s="1">
        <v>46186</v>
      </c>
      <c r="C261" s="2" t="s">
        <v>596</v>
      </c>
      <c r="D261" s="2" t="s">
        <v>494</v>
      </c>
      <c r="E261" s="2" t="s">
        <v>193</v>
      </c>
      <c r="F261" s="2" t="s">
        <v>20</v>
      </c>
      <c r="G261" s="2" t="s">
        <v>54</v>
      </c>
      <c r="H261" s="2" t="s">
        <v>597</v>
      </c>
      <c r="I261" s="2" t="s">
        <v>598</v>
      </c>
      <c r="J261" s="3">
        <v>1</v>
      </c>
      <c r="K261" s="2" t="s">
        <v>599</v>
      </c>
      <c r="L261" s="3">
        <v>1</v>
      </c>
      <c r="M261" s="11">
        <v>975000</v>
      </c>
      <c r="N261" s="3">
        <v>0</v>
      </c>
      <c r="O261" s="2" t="s">
        <v>25</v>
      </c>
      <c r="P261" s="2" t="s">
        <v>26</v>
      </c>
      <c r="Q261" s="2" t="s">
        <v>42</v>
      </c>
    </row>
    <row r="262" spans="1:17" x14ac:dyDescent="0.25">
      <c r="A262" s="1">
        <v>46188</v>
      </c>
      <c r="B262" s="1">
        <v>46186</v>
      </c>
      <c r="C262" s="2" t="s">
        <v>600</v>
      </c>
      <c r="D262" s="2" t="s">
        <v>494</v>
      </c>
      <c r="E262" s="2" t="s">
        <v>207</v>
      </c>
      <c r="F262" s="2" t="s">
        <v>20</v>
      </c>
      <c r="G262" s="2" t="s">
        <v>50</v>
      </c>
      <c r="H262" s="2" t="s">
        <v>525</v>
      </c>
      <c r="I262" s="2" t="s">
        <v>526</v>
      </c>
      <c r="J262" s="3">
        <v>10</v>
      </c>
      <c r="K262" s="2" t="s">
        <v>51</v>
      </c>
      <c r="L262" s="3">
        <v>6.37</v>
      </c>
      <c r="M262" s="11">
        <v>808990</v>
      </c>
      <c r="N262" s="3">
        <v>-3.63</v>
      </c>
      <c r="O262" s="2" t="s">
        <v>25</v>
      </c>
      <c r="P262" s="2" t="s">
        <v>26</v>
      </c>
      <c r="Q262" s="2" t="s">
        <v>42</v>
      </c>
    </row>
    <row r="263" spans="1:17" x14ac:dyDescent="0.25">
      <c r="A263" s="1">
        <v>46188</v>
      </c>
      <c r="B263" s="1">
        <v>46186</v>
      </c>
      <c r="C263" s="2" t="s">
        <v>601</v>
      </c>
      <c r="D263" s="2" t="s">
        <v>494</v>
      </c>
      <c r="E263" s="2" t="s">
        <v>207</v>
      </c>
      <c r="F263" s="2" t="s">
        <v>20</v>
      </c>
      <c r="G263" s="2" t="s">
        <v>50</v>
      </c>
      <c r="H263" s="2" t="s">
        <v>513</v>
      </c>
      <c r="I263" s="2" t="s">
        <v>514</v>
      </c>
      <c r="J263" s="3">
        <v>2</v>
      </c>
      <c r="K263" s="2" t="s">
        <v>85</v>
      </c>
      <c r="L263" s="3">
        <v>2</v>
      </c>
      <c r="M263" s="11">
        <v>888000</v>
      </c>
      <c r="N263" s="3">
        <v>0</v>
      </c>
      <c r="O263" s="2" t="s">
        <v>25</v>
      </c>
      <c r="P263" s="2" t="s">
        <v>26</v>
      </c>
      <c r="Q263" s="2" t="s">
        <v>42</v>
      </c>
    </row>
    <row r="264" spans="1:17" x14ac:dyDescent="0.25">
      <c r="A264" s="1">
        <v>46188</v>
      </c>
      <c r="B264" s="1">
        <v>46186</v>
      </c>
      <c r="C264" s="2" t="s">
        <v>602</v>
      </c>
      <c r="D264" s="2" t="s">
        <v>494</v>
      </c>
      <c r="E264" s="2" t="s">
        <v>207</v>
      </c>
      <c r="F264" s="2" t="s">
        <v>20</v>
      </c>
      <c r="G264" s="2" t="s">
        <v>50</v>
      </c>
      <c r="H264" s="2" t="s">
        <v>525</v>
      </c>
      <c r="I264" s="2" t="s">
        <v>526</v>
      </c>
      <c r="J264" s="3">
        <v>10</v>
      </c>
      <c r="K264" s="2" t="s">
        <v>51</v>
      </c>
      <c r="L264" s="3">
        <v>5.71</v>
      </c>
      <c r="M264" s="11">
        <v>725170</v>
      </c>
      <c r="N264" s="3">
        <v>-4.29</v>
      </c>
      <c r="O264" s="2" t="s">
        <v>25</v>
      </c>
      <c r="P264" s="2" t="s">
        <v>26</v>
      </c>
      <c r="Q264" s="2" t="s">
        <v>42</v>
      </c>
    </row>
    <row r="265" spans="1:17" x14ac:dyDescent="0.25">
      <c r="A265" s="1">
        <v>46188</v>
      </c>
      <c r="B265" s="1">
        <v>46186</v>
      </c>
      <c r="C265" s="2" t="s">
        <v>603</v>
      </c>
      <c r="D265" s="2" t="s">
        <v>494</v>
      </c>
      <c r="E265" s="2" t="s">
        <v>219</v>
      </c>
      <c r="F265" s="2" t="s">
        <v>20</v>
      </c>
      <c r="G265" s="2" t="s">
        <v>220</v>
      </c>
      <c r="H265" s="2" t="s">
        <v>604</v>
      </c>
      <c r="I265" s="2" t="s">
        <v>605</v>
      </c>
      <c r="J265" s="3">
        <v>1</v>
      </c>
      <c r="K265" s="2" t="s">
        <v>51</v>
      </c>
      <c r="L265" s="3">
        <v>1</v>
      </c>
      <c r="M265" s="11">
        <v>112665</v>
      </c>
      <c r="N265" s="3">
        <v>0</v>
      </c>
      <c r="O265" s="2" t="s">
        <v>25</v>
      </c>
      <c r="P265" s="2" t="s">
        <v>26</v>
      </c>
      <c r="Q265" s="2" t="s">
        <v>42</v>
      </c>
    </row>
    <row r="266" spans="1:17" x14ac:dyDescent="0.25">
      <c r="A266" s="1">
        <v>46188</v>
      </c>
      <c r="B266" s="1">
        <v>46186</v>
      </c>
      <c r="C266" s="2" t="s">
        <v>606</v>
      </c>
      <c r="D266" s="2" t="s">
        <v>494</v>
      </c>
      <c r="E266" s="2" t="s">
        <v>607</v>
      </c>
      <c r="F266" s="2" t="s">
        <v>20</v>
      </c>
      <c r="G266" s="2" t="s">
        <v>220</v>
      </c>
      <c r="H266" s="2" t="s">
        <v>590</v>
      </c>
      <c r="I266" s="2" t="s">
        <v>591</v>
      </c>
      <c r="J266" s="3">
        <v>20</v>
      </c>
      <c r="K266" s="2" t="s">
        <v>492</v>
      </c>
      <c r="L266" s="3">
        <v>20</v>
      </c>
      <c r="M266" s="11">
        <v>1412719.2</v>
      </c>
      <c r="N266" s="3">
        <v>0</v>
      </c>
      <c r="O266" s="2" t="s">
        <v>25</v>
      </c>
      <c r="P266" s="2" t="s">
        <v>26</v>
      </c>
      <c r="Q266" s="2" t="s">
        <v>42</v>
      </c>
    </row>
    <row r="267" spans="1:17" x14ac:dyDescent="0.25">
      <c r="A267" s="1">
        <v>46188</v>
      </c>
      <c r="B267" s="1">
        <v>46186</v>
      </c>
      <c r="C267" s="2" t="s">
        <v>606</v>
      </c>
      <c r="D267" s="2" t="s">
        <v>494</v>
      </c>
      <c r="E267" s="2" t="s">
        <v>607</v>
      </c>
      <c r="F267" s="2" t="s">
        <v>20</v>
      </c>
      <c r="G267" s="2" t="s">
        <v>220</v>
      </c>
      <c r="H267" s="2" t="s">
        <v>608</v>
      </c>
      <c r="I267" s="2" t="s">
        <v>609</v>
      </c>
      <c r="J267" s="3">
        <v>20</v>
      </c>
      <c r="K267" s="2" t="s">
        <v>492</v>
      </c>
      <c r="L267" s="3">
        <v>20</v>
      </c>
      <c r="M267" s="11">
        <v>1349999.98</v>
      </c>
      <c r="N267" s="3">
        <v>0</v>
      </c>
      <c r="O267" s="2" t="s">
        <v>25</v>
      </c>
      <c r="P267" s="2" t="s">
        <v>26</v>
      </c>
      <c r="Q267" s="2" t="s">
        <v>42</v>
      </c>
    </row>
    <row r="268" spans="1:17" x14ac:dyDescent="0.25">
      <c r="A268" s="1">
        <v>46188</v>
      </c>
      <c r="B268" s="1">
        <v>46186</v>
      </c>
      <c r="C268" s="2" t="s">
        <v>606</v>
      </c>
      <c r="D268" s="2" t="s">
        <v>494</v>
      </c>
      <c r="E268" s="2" t="s">
        <v>607</v>
      </c>
      <c r="F268" s="2" t="s">
        <v>20</v>
      </c>
      <c r="G268" s="2" t="s">
        <v>220</v>
      </c>
      <c r="H268" s="2" t="s">
        <v>610</v>
      </c>
      <c r="I268" s="2" t="s">
        <v>611</v>
      </c>
      <c r="J268" s="3">
        <v>24</v>
      </c>
      <c r="K268" s="2" t="s">
        <v>492</v>
      </c>
      <c r="L268" s="3">
        <v>24</v>
      </c>
      <c r="M268" s="11">
        <v>551999.98</v>
      </c>
      <c r="N268" s="3">
        <v>0</v>
      </c>
      <c r="O268" s="2" t="s">
        <v>25</v>
      </c>
      <c r="P268" s="2" t="s">
        <v>26</v>
      </c>
      <c r="Q268" s="2" t="s">
        <v>42</v>
      </c>
    </row>
    <row r="269" spans="1:17" x14ac:dyDescent="0.25">
      <c r="A269" s="1">
        <v>46188</v>
      </c>
      <c r="B269" s="1">
        <v>46186</v>
      </c>
      <c r="C269" s="2" t="s">
        <v>606</v>
      </c>
      <c r="D269" s="2" t="s">
        <v>494</v>
      </c>
      <c r="E269" s="2" t="s">
        <v>607</v>
      </c>
      <c r="F269" s="2" t="s">
        <v>20</v>
      </c>
      <c r="G269" s="2" t="s">
        <v>220</v>
      </c>
      <c r="H269" s="2" t="s">
        <v>612</v>
      </c>
      <c r="I269" s="2" t="s">
        <v>613</v>
      </c>
      <c r="J269" s="3">
        <v>24</v>
      </c>
      <c r="K269" s="2" t="s">
        <v>492</v>
      </c>
      <c r="L269" s="3">
        <v>24</v>
      </c>
      <c r="M269" s="11">
        <v>551999.98</v>
      </c>
      <c r="N269" s="3">
        <v>0</v>
      </c>
      <c r="O269" s="2" t="s">
        <v>25</v>
      </c>
      <c r="P269" s="2" t="s">
        <v>26</v>
      </c>
      <c r="Q269" s="2" t="s">
        <v>42</v>
      </c>
    </row>
    <row r="270" spans="1:17" x14ac:dyDescent="0.25">
      <c r="A270" s="1">
        <v>46188</v>
      </c>
      <c r="B270" s="1">
        <v>46186</v>
      </c>
      <c r="C270" s="2" t="s">
        <v>614</v>
      </c>
      <c r="D270" s="2" t="s">
        <v>494</v>
      </c>
      <c r="E270" s="2" t="s">
        <v>235</v>
      </c>
      <c r="F270" s="2" t="s">
        <v>20</v>
      </c>
      <c r="G270" s="2" t="s">
        <v>50</v>
      </c>
      <c r="H270" s="2" t="s">
        <v>542</v>
      </c>
      <c r="I270" s="2" t="s">
        <v>543</v>
      </c>
      <c r="J270" s="3">
        <v>1.5</v>
      </c>
      <c r="K270" s="2" t="s">
        <v>51</v>
      </c>
      <c r="L270" s="3">
        <v>1.5</v>
      </c>
      <c r="M270" s="11">
        <v>169500</v>
      </c>
      <c r="N270" s="3">
        <v>0</v>
      </c>
      <c r="O270" s="2" t="s">
        <v>25</v>
      </c>
      <c r="P270" s="2" t="s">
        <v>26</v>
      </c>
      <c r="Q270" s="2" t="s">
        <v>42</v>
      </c>
    </row>
    <row r="271" spans="1:17" x14ac:dyDescent="0.25">
      <c r="A271" s="1">
        <v>46188</v>
      </c>
      <c r="B271" s="1">
        <v>46186</v>
      </c>
      <c r="C271" s="2" t="s">
        <v>614</v>
      </c>
      <c r="D271" s="2" t="s">
        <v>494</v>
      </c>
      <c r="E271" s="2" t="s">
        <v>235</v>
      </c>
      <c r="F271" s="2" t="s">
        <v>20</v>
      </c>
      <c r="G271" s="2" t="s">
        <v>50</v>
      </c>
      <c r="H271" s="2" t="s">
        <v>513</v>
      </c>
      <c r="I271" s="2" t="s">
        <v>514</v>
      </c>
      <c r="J271" s="3">
        <v>2</v>
      </c>
      <c r="K271" s="2" t="s">
        <v>85</v>
      </c>
      <c r="L271" s="3">
        <v>2</v>
      </c>
      <c r="M271" s="11">
        <v>869999.99</v>
      </c>
      <c r="N271" s="3">
        <v>0</v>
      </c>
      <c r="O271" s="2" t="s">
        <v>25</v>
      </c>
      <c r="P271" s="2" t="s">
        <v>26</v>
      </c>
      <c r="Q271" s="2" t="s">
        <v>42</v>
      </c>
    </row>
    <row r="272" spans="1:17" x14ac:dyDescent="0.25">
      <c r="A272" s="1">
        <v>46188</v>
      </c>
      <c r="B272" s="1">
        <v>46186</v>
      </c>
      <c r="C272" s="2" t="s">
        <v>615</v>
      </c>
      <c r="D272" s="2" t="s">
        <v>494</v>
      </c>
      <c r="E272" s="2" t="s">
        <v>235</v>
      </c>
      <c r="F272" s="2" t="s">
        <v>20</v>
      </c>
      <c r="G272" s="2" t="s">
        <v>50</v>
      </c>
      <c r="H272" s="2" t="s">
        <v>525</v>
      </c>
      <c r="I272" s="2" t="s">
        <v>526</v>
      </c>
      <c r="J272" s="3">
        <v>8</v>
      </c>
      <c r="K272" s="2" t="s">
        <v>51</v>
      </c>
      <c r="L272" s="3">
        <v>8</v>
      </c>
      <c r="M272" s="11">
        <v>1016000</v>
      </c>
      <c r="N272" s="3">
        <v>0</v>
      </c>
      <c r="O272" s="2" t="s">
        <v>25</v>
      </c>
      <c r="P272" s="2" t="s">
        <v>26</v>
      </c>
      <c r="Q272" s="2" t="s">
        <v>42</v>
      </c>
    </row>
    <row r="273" spans="1:17" x14ac:dyDescent="0.25">
      <c r="A273" s="1">
        <v>46188</v>
      </c>
      <c r="B273" s="1">
        <v>46186</v>
      </c>
      <c r="C273" s="2" t="s">
        <v>616</v>
      </c>
      <c r="D273" s="2" t="s">
        <v>494</v>
      </c>
      <c r="E273" s="2" t="s">
        <v>235</v>
      </c>
      <c r="F273" s="2" t="s">
        <v>20</v>
      </c>
      <c r="G273" s="2" t="s">
        <v>50</v>
      </c>
      <c r="H273" s="2" t="s">
        <v>542</v>
      </c>
      <c r="I273" s="2" t="s">
        <v>543</v>
      </c>
      <c r="J273" s="3">
        <v>19.5</v>
      </c>
      <c r="K273" s="2" t="s">
        <v>51</v>
      </c>
      <c r="L273" s="3">
        <v>19.5</v>
      </c>
      <c r="M273" s="11">
        <v>2203499.96</v>
      </c>
      <c r="N273" s="3">
        <v>0</v>
      </c>
      <c r="O273" s="2" t="s">
        <v>25</v>
      </c>
      <c r="P273" s="2" t="s">
        <v>26</v>
      </c>
      <c r="Q273" s="2" t="s">
        <v>42</v>
      </c>
    </row>
    <row r="274" spans="1:17" x14ac:dyDescent="0.25">
      <c r="A274" s="1">
        <v>46188</v>
      </c>
      <c r="B274" s="1">
        <v>46186</v>
      </c>
      <c r="C274" s="2" t="s">
        <v>617</v>
      </c>
      <c r="D274" s="2" t="s">
        <v>494</v>
      </c>
      <c r="E274" s="2" t="s">
        <v>235</v>
      </c>
      <c r="F274" s="2" t="s">
        <v>20</v>
      </c>
      <c r="G274" s="2" t="s">
        <v>50</v>
      </c>
      <c r="H274" s="2" t="s">
        <v>542</v>
      </c>
      <c r="I274" s="2" t="s">
        <v>543</v>
      </c>
      <c r="J274" s="3">
        <v>3</v>
      </c>
      <c r="K274" s="2" t="s">
        <v>51</v>
      </c>
      <c r="L274" s="3">
        <v>3</v>
      </c>
      <c r="M274" s="11">
        <v>338999.99</v>
      </c>
      <c r="N274" s="3">
        <v>0</v>
      </c>
      <c r="O274" s="2" t="s">
        <v>25</v>
      </c>
      <c r="P274" s="2" t="s">
        <v>26</v>
      </c>
      <c r="Q274" s="2" t="s">
        <v>42</v>
      </c>
    </row>
    <row r="275" spans="1:17" x14ac:dyDescent="0.25">
      <c r="A275" s="1">
        <v>46188</v>
      </c>
      <c r="B275" s="1">
        <v>46186</v>
      </c>
      <c r="C275" s="2" t="s">
        <v>618</v>
      </c>
      <c r="D275" s="2" t="s">
        <v>494</v>
      </c>
      <c r="E275" s="2" t="s">
        <v>235</v>
      </c>
      <c r="F275" s="2" t="s">
        <v>20</v>
      </c>
      <c r="G275" s="2" t="s">
        <v>50</v>
      </c>
      <c r="H275" s="2" t="s">
        <v>542</v>
      </c>
      <c r="I275" s="2" t="s">
        <v>543</v>
      </c>
      <c r="J275" s="3">
        <v>10.5</v>
      </c>
      <c r="K275" s="2" t="s">
        <v>51</v>
      </c>
      <c r="L275" s="3">
        <v>10.5</v>
      </c>
      <c r="M275" s="11">
        <v>1186499.98</v>
      </c>
      <c r="N275" s="3">
        <v>0</v>
      </c>
      <c r="O275" s="2" t="s">
        <v>25</v>
      </c>
      <c r="P275" s="2" t="s">
        <v>26</v>
      </c>
      <c r="Q275" s="2" t="s">
        <v>42</v>
      </c>
    </row>
    <row r="276" spans="1:17" x14ac:dyDescent="0.25">
      <c r="A276" s="1">
        <v>46188</v>
      </c>
      <c r="B276" s="1">
        <v>46186</v>
      </c>
      <c r="C276" s="2" t="s">
        <v>619</v>
      </c>
      <c r="D276" s="2" t="s">
        <v>494</v>
      </c>
      <c r="E276" s="2" t="s">
        <v>235</v>
      </c>
      <c r="F276" s="2" t="s">
        <v>20</v>
      </c>
      <c r="G276" s="2" t="s">
        <v>50</v>
      </c>
      <c r="H276" s="2" t="s">
        <v>542</v>
      </c>
      <c r="I276" s="2" t="s">
        <v>543</v>
      </c>
      <c r="J276" s="3">
        <v>6</v>
      </c>
      <c r="K276" s="2" t="s">
        <v>51</v>
      </c>
      <c r="L276" s="3">
        <v>6</v>
      </c>
      <c r="M276" s="11">
        <v>677999.99</v>
      </c>
      <c r="N276" s="3">
        <v>0</v>
      </c>
      <c r="O276" s="2" t="s">
        <v>25</v>
      </c>
      <c r="P276" s="2" t="s">
        <v>26</v>
      </c>
      <c r="Q276" s="2" t="s">
        <v>42</v>
      </c>
    </row>
    <row r="277" spans="1:17" x14ac:dyDescent="0.25">
      <c r="A277" s="1">
        <v>46188</v>
      </c>
      <c r="B277" s="1">
        <v>46186</v>
      </c>
      <c r="C277" s="2" t="s">
        <v>620</v>
      </c>
      <c r="D277" s="2" t="s">
        <v>494</v>
      </c>
      <c r="E277" s="2" t="s">
        <v>621</v>
      </c>
      <c r="F277" s="2" t="s">
        <v>20</v>
      </c>
      <c r="G277" s="2" t="s">
        <v>47</v>
      </c>
      <c r="H277" s="2" t="s">
        <v>575</v>
      </c>
      <c r="I277" s="2" t="s">
        <v>576</v>
      </c>
      <c r="J277" s="3">
        <v>30</v>
      </c>
      <c r="K277" s="2" t="s">
        <v>85</v>
      </c>
      <c r="L277" s="3">
        <v>30</v>
      </c>
      <c r="M277" s="11">
        <v>1800000</v>
      </c>
      <c r="N277" s="3">
        <v>0</v>
      </c>
      <c r="O277" s="2" t="s">
        <v>25</v>
      </c>
      <c r="P277" s="2" t="s">
        <v>26</v>
      </c>
      <c r="Q277" s="2" t="s">
        <v>42</v>
      </c>
    </row>
    <row r="278" spans="1:17" x14ac:dyDescent="0.25">
      <c r="A278" s="1">
        <v>46188</v>
      </c>
      <c r="B278" s="1">
        <v>46186</v>
      </c>
      <c r="C278" s="2" t="s">
        <v>622</v>
      </c>
      <c r="D278" s="2" t="s">
        <v>494</v>
      </c>
      <c r="E278" s="2" t="s">
        <v>623</v>
      </c>
      <c r="F278" s="2" t="s">
        <v>20</v>
      </c>
      <c r="G278" s="2" t="s">
        <v>47</v>
      </c>
      <c r="H278" s="2" t="s">
        <v>624</v>
      </c>
      <c r="I278" s="2" t="s">
        <v>625</v>
      </c>
      <c r="J278" s="3">
        <v>20</v>
      </c>
      <c r="K278" s="2" t="s">
        <v>51</v>
      </c>
      <c r="L278" s="3">
        <v>20.4499</v>
      </c>
      <c r="M278" s="11">
        <v>2556250.17</v>
      </c>
      <c r="N278" s="3">
        <v>0.44990000000000002</v>
      </c>
      <c r="O278" s="2" t="s">
        <v>25</v>
      </c>
      <c r="P278" s="2" t="s">
        <v>26</v>
      </c>
      <c r="Q278" s="2" t="s">
        <v>42</v>
      </c>
    </row>
    <row r="279" spans="1:17" x14ac:dyDescent="0.25">
      <c r="A279" s="1">
        <v>46188</v>
      </c>
      <c r="B279" s="1">
        <v>46186</v>
      </c>
      <c r="C279" s="2" t="s">
        <v>626</v>
      </c>
      <c r="D279" s="2" t="s">
        <v>494</v>
      </c>
      <c r="E279" s="2" t="s">
        <v>623</v>
      </c>
      <c r="F279" s="2" t="s">
        <v>20</v>
      </c>
      <c r="G279" s="2" t="s">
        <v>47</v>
      </c>
      <c r="H279" s="2" t="s">
        <v>627</v>
      </c>
      <c r="I279" s="2" t="s">
        <v>628</v>
      </c>
      <c r="J279" s="3">
        <v>12</v>
      </c>
      <c r="K279" s="2" t="s">
        <v>539</v>
      </c>
      <c r="L279" s="3">
        <v>12</v>
      </c>
      <c r="M279" s="11">
        <v>864000.07</v>
      </c>
      <c r="N279" s="3">
        <v>0</v>
      </c>
      <c r="O279" s="2" t="s">
        <v>25</v>
      </c>
      <c r="P279" s="2" t="s">
        <v>26</v>
      </c>
      <c r="Q279" s="2" t="s">
        <v>42</v>
      </c>
    </row>
    <row r="280" spans="1:17" x14ac:dyDescent="0.25">
      <c r="A280" s="1">
        <v>46188</v>
      </c>
      <c r="B280" s="1">
        <v>46186</v>
      </c>
      <c r="C280" s="2" t="s">
        <v>629</v>
      </c>
      <c r="D280" s="2" t="s">
        <v>494</v>
      </c>
      <c r="E280" s="2" t="s">
        <v>235</v>
      </c>
      <c r="F280" s="2" t="s">
        <v>20</v>
      </c>
      <c r="G280" s="2" t="s">
        <v>50</v>
      </c>
      <c r="H280" s="2" t="s">
        <v>525</v>
      </c>
      <c r="I280" s="2" t="s">
        <v>526</v>
      </c>
      <c r="J280" s="3">
        <v>13</v>
      </c>
      <c r="K280" s="2" t="s">
        <v>51</v>
      </c>
      <c r="L280" s="3">
        <v>12.27</v>
      </c>
      <c r="M280" s="11">
        <v>1558290</v>
      </c>
      <c r="N280" s="3">
        <v>-0.73</v>
      </c>
      <c r="O280" s="2" t="s">
        <v>25</v>
      </c>
      <c r="P280" s="2" t="s">
        <v>26</v>
      </c>
      <c r="Q280" s="2" t="s">
        <v>42</v>
      </c>
    </row>
    <row r="281" spans="1:17" x14ac:dyDescent="0.25">
      <c r="A281" s="1">
        <v>46188</v>
      </c>
      <c r="B281" s="1">
        <v>46186</v>
      </c>
      <c r="C281" s="2" t="s">
        <v>630</v>
      </c>
      <c r="D281" s="2" t="s">
        <v>494</v>
      </c>
      <c r="E281" s="2" t="s">
        <v>235</v>
      </c>
      <c r="F281" s="2" t="s">
        <v>20</v>
      </c>
      <c r="G281" s="2" t="s">
        <v>50</v>
      </c>
      <c r="H281" s="2" t="s">
        <v>525</v>
      </c>
      <c r="I281" s="2" t="s">
        <v>526</v>
      </c>
      <c r="J281" s="3">
        <v>45</v>
      </c>
      <c r="K281" s="2" t="s">
        <v>51</v>
      </c>
      <c r="L281" s="3">
        <v>42.7</v>
      </c>
      <c r="M281" s="11">
        <v>5422900</v>
      </c>
      <c r="N281" s="3">
        <v>-2.2999999999999998</v>
      </c>
      <c r="O281" s="2" t="s">
        <v>25</v>
      </c>
      <c r="P281" s="2" t="s">
        <v>26</v>
      </c>
      <c r="Q281" s="2" t="s">
        <v>42</v>
      </c>
    </row>
    <row r="282" spans="1:17" x14ac:dyDescent="0.25">
      <c r="A282" s="1">
        <v>46188</v>
      </c>
      <c r="B282" s="1">
        <v>46186</v>
      </c>
      <c r="C282" s="2" t="s">
        <v>630</v>
      </c>
      <c r="D282" s="2" t="s">
        <v>494</v>
      </c>
      <c r="E282" s="2" t="s">
        <v>235</v>
      </c>
      <c r="F282" s="2" t="s">
        <v>20</v>
      </c>
      <c r="G282" s="2" t="s">
        <v>50</v>
      </c>
      <c r="H282" s="2" t="s">
        <v>513</v>
      </c>
      <c r="I282" s="2" t="s">
        <v>514</v>
      </c>
      <c r="J282" s="3">
        <v>1</v>
      </c>
      <c r="K282" s="2" t="s">
        <v>85</v>
      </c>
      <c r="L282" s="3">
        <v>1</v>
      </c>
      <c r="M282" s="11">
        <v>435000</v>
      </c>
      <c r="N282" s="3">
        <v>0</v>
      </c>
      <c r="O282" s="2" t="s">
        <v>25</v>
      </c>
      <c r="P282" s="2" t="s">
        <v>26</v>
      </c>
      <c r="Q282" s="2" t="s">
        <v>42</v>
      </c>
    </row>
    <row r="283" spans="1:17" x14ac:dyDescent="0.25">
      <c r="A283" s="1">
        <v>46188</v>
      </c>
      <c r="B283" s="1">
        <v>46186</v>
      </c>
      <c r="C283" s="2" t="s">
        <v>631</v>
      </c>
      <c r="D283" s="2" t="s">
        <v>494</v>
      </c>
      <c r="E283" s="2" t="s">
        <v>235</v>
      </c>
      <c r="F283" s="2" t="s">
        <v>20</v>
      </c>
      <c r="G283" s="2" t="s">
        <v>50</v>
      </c>
      <c r="H283" s="2" t="s">
        <v>525</v>
      </c>
      <c r="I283" s="2" t="s">
        <v>526</v>
      </c>
      <c r="J283" s="3">
        <v>3</v>
      </c>
      <c r="K283" s="2" t="s">
        <v>51</v>
      </c>
      <c r="L283" s="3">
        <v>6.32</v>
      </c>
      <c r="M283" s="11">
        <v>802640</v>
      </c>
      <c r="N283" s="3">
        <v>3.32</v>
      </c>
      <c r="O283" s="2" t="s">
        <v>25</v>
      </c>
      <c r="P283" s="2" t="s">
        <v>26</v>
      </c>
      <c r="Q283" s="2" t="s">
        <v>42</v>
      </c>
    </row>
    <row r="284" spans="1:17" x14ac:dyDescent="0.25">
      <c r="A284" s="1">
        <v>46188</v>
      </c>
      <c r="B284" s="1">
        <v>46186</v>
      </c>
      <c r="C284" s="2" t="s">
        <v>632</v>
      </c>
      <c r="D284" s="2" t="s">
        <v>494</v>
      </c>
      <c r="E284" s="2" t="s">
        <v>235</v>
      </c>
      <c r="F284" s="2" t="s">
        <v>20</v>
      </c>
      <c r="G284" s="2" t="s">
        <v>50</v>
      </c>
      <c r="H284" s="2" t="s">
        <v>542</v>
      </c>
      <c r="I284" s="2" t="s">
        <v>543</v>
      </c>
      <c r="J284" s="3">
        <v>4.5</v>
      </c>
      <c r="K284" s="2" t="s">
        <v>51</v>
      </c>
      <c r="L284" s="3">
        <v>4.5</v>
      </c>
      <c r="M284" s="11">
        <v>508499.99</v>
      </c>
      <c r="N284" s="3">
        <v>0</v>
      </c>
      <c r="O284" s="2" t="s">
        <v>25</v>
      </c>
      <c r="P284" s="2" t="s">
        <v>26</v>
      </c>
      <c r="Q284" s="2" t="s">
        <v>42</v>
      </c>
    </row>
    <row r="285" spans="1:17" x14ac:dyDescent="0.25">
      <c r="A285" s="1">
        <v>46188</v>
      </c>
      <c r="B285" s="1">
        <v>46186</v>
      </c>
      <c r="C285" s="2" t="s">
        <v>633</v>
      </c>
      <c r="D285" s="2" t="s">
        <v>494</v>
      </c>
      <c r="E285" s="2" t="s">
        <v>235</v>
      </c>
      <c r="F285" s="2" t="s">
        <v>20</v>
      </c>
      <c r="G285" s="2" t="s">
        <v>50</v>
      </c>
      <c r="H285" s="2" t="s">
        <v>513</v>
      </c>
      <c r="I285" s="2" t="s">
        <v>514</v>
      </c>
      <c r="J285" s="3">
        <v>1</v>
      </c>
      <c r="K285" s="2" t="s">
        <v>85</v>
      </c>
      <c r="L285" s="3">
        <v>1</v>
      </c>
      <c r="M285" s="11">
        <v>435000</v>
      </c>
      <c r="N285" s="3">
        <v>0</v>
      </c>
      <c r="O285" s="2" t="s">
        <v>25</v>
      </c>
      <c r="P285" s="2" t="s">
        <v>26</v>
      </c>
      <c r="Q285" s="2" t="s">
        <v>42</v>
      </c>
    </row>
    <row r="286" spans="1:17" x14ac:dyDescent="0.25">
      <c r="A286" s="1">
        <v>46188</v>
      </c>
      <c r="B286" s="1">
        <v>46186</v>
      </c>
      <c r="C286" s="2" t="s">
        <v>634</v>
      </c>
      <c r="D286" s="2" t="s">
        <v>494</v>
      </c>
      <c r="E286" s="2" t="s">
        <v>235</v>
      </c>
      <c r="F286" s="2" t="s">
        <v>20</v>
      </c>
      <c r="G286" s="2" t="s">
        <v>50</v>
      </c>
      <c r="H286" s="2" t="s">
        <v>542</v>
      </c>
      <c r="I286" s="2" t="s">
        <v>543</v>
      </c>
      <c r="J286" s="3">
        <v>1.5</v>
      </c>
      <c r="K286" s="2" t="s">
        <v>51</v>
      </c>
      <c r="L286" s="3">
        <v>1.5</v>
      </c>
      <c r="M286" s="11">
        <v>169500</v>
      </c>
      <c r="N286" s="3">
        <v>0</v>
      </c>
      <c r="O286" s="2" t="s">
        <v>25</v>
      </c>
      <c r="P286" s="2" t="s">
        <v>26</v>
      </c>
      <c r="Q286" s="2" t="s">
        <v>42</v>
      </c>
    </row>
    <row r="287" spans="1:17" x14ac:dyDescent="0.25">
      <c r="A287" s="1">
        <v>46188</v>
      </c>
      <c r="B287" s="1">
        <v>46186</v>
      </c>
      <c r="C287" s="2" t="s">
        <v>635</v>
      </c>
      <c r="D287" s="2" t="s">
        <v>494</v>
      </c>
      <c r="E287" s="2" t="s">
        <v>636</v>
      </c>
      <c r="F287" s="2" t="s">
        <v>142</v>
      </c>
      <c r="G287" s="2" t="s">
        <v>38</v>
      </c>
      <c r="H287" s="2" t="s">
        <v>637</v>
      </c>
      <c r="I287" s="2" t="s">
        <v>638</v>
      </c>
      <c r="J287" s="3">
        <v>1</v>
      </c>
      <c r="K287" s="2" t="s">
        <v>85</v>
      </c>
      <c r="L287" s="3">
        <v>1</v>
      </c>
      <c r="M287" s="11">
        <v>73815</v>
      </c>
      <c r="N287" s="3">
        <v>0</v>
      </c>
      <c r="O287" s="2" t="s">
        <v>25</v>
      </c>
      <c r="P287" s="2" t="s">
        <v>26</v>
      </c>
      <c r="Q287" s="2" t="s">
        <v>42</v>
      </c>
    </row>
    <row r="288" spans="1:17" x14ac:dyDescent="0.25">
      <c r="A288" s="1">
        <v>46188</v>
      </c>
      <c r="B288" s="1">
        <v>46186</v>
      </c>
      <c r="C288" s="2" t="s">
        <v>635</v>
      </c>
      <c r="D288" s="2" t="s">
        <v>494</v>
      </c>
      <c r="E288" s="2" t="s">
        <v>636</v>
      </c>
      <c r="F288" s="2" t="s">
        <v>142</v>
      </c>
      <c r="G288" s="2" t="s">
        <v>38</v>
      </c>
      <c r="H288" s="2" t="s">
        <v>639</v>
      </c>
      <c r="I288" s="2" t="s">
        <v>640</v>
      </c>
      <c r="J288" s="3">
        <v>1</v>
      </c>
      <c r="K288" s="2" t="s">
        <v>85</v>
      </c>
      <c r="L288" s="3">
        <v>1</v>
      </c>
      <c r="M288" s="11">
        <v>69665</v>
      </c>
      <c r="N288" s="3">
        <v>0</v>
      </c>
      <c r="O288" s="2" t="s">
        <v>25</v>
      </c>
      <c r="P288" s="2" t="s">
        <v>26</v>
      </c>
      <c r="Q288" s="2" t="s">
        <v>42</v>
      </c>
    </row>
    <row r="289" spans="1:17" x14ac:dyDescent="0.25">
      <c r="A289" s="1">
        <v>46188</v>
      </c>
      <c r="B289" s="1">
        <v>46186</v>
      </c>
      <c r="C289" s="2" t="s">
        <v>635</v>
      </c>
      <c r="D289" s="2" t="s">
        <v>494</v>
      </c>
      <c r="E289" s="2" t="s">
        <v>636</v>
      </c>
      <c r="F289" s="2" t="s">
        <v>142</v>
      </c>
      <c r="G289" s="2" t="s">
        <v>38</v>
      </c>
      <c r="H289" s="2" t="s">
        <v>641</v>
      </c>
      <c r="I289" s="2" t="s">
        <v>642</v>
      </c>
      <c r="J289" s="3">
        <v>1</v>
      </c>
      <c r="K289" s="2" t="s">
        <v>492</v>
      </c>
      <c r="L289" s="3">
        <v>1</v>
      </c>
      <c r="M289" s="11">
        <v>110000</v>
      </c>
      <c r="N289" s="3">
        <v>0</v>
      </c>
      <c r="O289" s="2" t="s">
        <v>25</v>
      </c>
      <c r="P289" s="2" t="s">
        <v>26</v>
      </c>
      <c r="Q289" s="2" t="s">
        <v>42</v>
      </c>
    </row>
    <row r="290" spans="1:17" x14ac:dyDescent="0.25">
      <c r="A290" s="1">
        <v>46188</v>
      </c>
      <c r="B290" s="1">
        <v>46186</v>
      </c>
      <c r="C290" s="2" t="s">
        <v>643</v>
      </c>
      <c r="D290" s="2" t="s">
        <v>494</v>
      </c>
      <c r="E290" s="2" t="s">
        <v>644</v>
      </c>
      <c r="F290" s="2" t="s">
        <v>142</v>
      </c>
      <c r="G290" s="2" t="s">
        <v>251</v>
      </c>
      <c r="H290" s="2" t="s">
        <v>517</v>
      </c>
      <c r="I290" s="2" t="s">
        <v>518</v>
      </c>
      <c r="J290" s="3">
        <v>2</v>
      </c>
      <c r="K290" s="2" t="s">
        <v>254</v>
      </c>
      <c r="L290" s="3">
        <v>2</v>
      </c>
      <c r="M290" s="11">
        <v>329670</v>
      </c>
      <c r="N290" s="3">
        <v>0</v>
      </c>
      <c r="O290" s="2" t="s">
        <v>25</v>
      </c>
      <c r="P290" s="2" t="s">
        <v>26</v>
      </c>
      <c r="Q290" s="2" t="s">
        <v>42</v>
      </c>
    </row>
    <row r="291" spans="1:17" x14ac:dyDescent="0.25">
      <c r="A291" s="1">
        <v>46188</v>
      </c>
      <c r="B291" s="1">
        <v>46186</v>
      </c>
      <c r="C291" s="2" t="s">
        <v>645</v>
      </c>
      <c r="D291" s="2" t="s">
        <v>494</v>
      </c>
      <c r="E291" s="2" t="s">
        <v>260</v>
      </c>
      <c r="F291" s="2" t="s">
        <v>20</v>
      </c>
      <c r="G291" s="2" t="s">
        <v>54</v>
      </c>
      <c r="H291" s="2" t="s">
        <v>537</v>
      </c>
      <c r="I291" s="2" t="s">
        <v>538</v>
      </c>
      <c r="J291" s="3">
        <v>3</v>
      </c>
      <c r="K291" s="2" t="s">
        <v>539</v>
      </c>
      <c r="L291" s="3">
        <v>3</v>
      </c>
      <c r="M291" s="11">
        <v>204000</v>
      </c>
      <c r="N291" s="3">
        <v>0</v>
      </c>
      <c r="O291" s="2" t="s">
        <v>25</v>
      </c>
      <c r="P291" s="2" t="s">
        <v>26</v>
      </c>
      <c r="Q291" s="2" t="s">
        <v>42</v>
      </c>
    </row>
    <row r="292" spans="1:17" x14ac:dyDescent="0.25">
      <c r="A292" s="1">
        <v>46188</v>
      </c>
      <c r="B292" s="1">
        <v>46186</v>
      </c>
      <c r="C292" s="2" t="s">
        <v>646</v>
      </c>
      <c r="D292" s="2" t="s">
        <v>494</v>
      </c>
      <c r="E292" s="2" t="s">
        <v>260</v>
      </c>
      <c r="F292" s="2" t="s">
        <v>20</v>
      </c>
      <c r="G292" s="2" t="s">
        <v>54</v>
      </c>
      <c r="H292" s="2" t="s">
        <v>575</v>
      </c>
      <c r="I292" s="2" t="s">
        <v>576</v>
      </c>
      <c r="J292" s="3">
        <v>15</v>
      </c>
      <c r="K292" s="2" t="s">
        <v>85</v>
      </c>
      <c r="L292" s="3">
        <v>15</v>
      </c>
      <c r="M292" s="11">
        <v>900000</v>
      </c>
      <c r="N292" s="3">
        <v>0</v>
      </c>
      <c r="O292" s="2" t="s">
        <v>25</v>
      </c>
      <c r="P292" s="2" t="s">
        <v>26</v>
      </c>
      <c r="Q292" s="2" t="s">
        <v>42</v>
      </c>
    </row>
    <row r="293" spans="1:17" x14ac:dyDescent="0.25">
      <c r="A293" s="1">
        <v>46188</v>
      </c>
      <c r="B293" s="1">
        <v>46186</v>
      </c>
      <c r="C293" s="2" t="s">
        <v>647</v>
      </c>
      <c r="D293" s="2" t="s">
        <v>494</v>
      </c>
      <c r="E293" s="2" t="s">
        <v>648</v>
      </c>
      <c r="F293" s="2" t="s">
        <v>20</v>
      </c>
      <c r="G293" s="2" t="s">
        <v>50</v>
      </c>
      <c r="H293" s="2" t="s">
        <v>549</v>
      </c>
      <c r="I293" s="2" t="s">
        <v>550</v>
      </c>
      <c r="J293" s="3">
        <v>3</v>
      </c>
      <c r="K293" s="2" t="s">
        <v>82</v>
      </c>
      <c r="L293" s="3">
        <v>3</v>
      </c>
      <c r="M293" s="11">
        <v>1590000</v>
      </c>
      <c r="N293" s="3">
        <v>0</v>
      </c>
      <c r="O293" s="2" t="s">
        <v>25</v>
      </c>
      <c r="P293" s="2" t="s">
        <v>26</v>
      </c>
      <c r="Q293" s="2" t="s">
        <v>42</v>
      </c>
    </row>
    <row r="294" spans="1:17" x14ac:dyDescent="0.25">
      <c r="A294" s="1">
        <v>46188</v>
      </c>
      <c r="B294" s="1">
        <v>46186</v>
      </c>
      <c r="C294" s="2" t="s">
        <v>649</v>
      </c>
      <c r="D294" s="2" t="s">
        <v>494</v>
      </c>
      <c r="E294" s="2" t="s">
        <v>286</v>
      </c>
      <c r="F294" s="2" t="s">
        <v>20</v>
      </c>
      <c r="G294" s="2" t="s">
        <v>131</v>
      </c>
      <c r="H294" s="2" t="s">
        <v>499</v>
      </c>
      <c r="I294" s="2" t="s">
        <v>500</v>
      </c>
      <c r="J294" s="3">
        <v>48</v>
      </c>
      <c r="K294" s="2" t="s">
        <v>238</v>
      </c>
      <c r="L294" s="3">
        <v>48</v>
      </c>
      <c r="M294" s="11">
        <v>3839999.89</v>
      </c>
      <c r="N294" s="3">
        <v>0</v>
      </c>
      <c r="O294" s="2" t="s">
        <v>25</v>
      </c>
      <c r="P294" s="2" t="s">
        <v>26</v>
      </c>
      <c r="Q294" s="2" t="s">
        <v>42</v>
      </c>
    </row>
    <row r="295" spans="1:17" x14ac:dyDescent="0.25">
      <c r="A295" s="1">
        <v>46188</v>
      </c>
      <c r="B295" s="1">
        <v>46186</v>
      </c>
      <c r="C295" s="2" t="s">
        <v>650</v>
      </c>
      <c r="D295" s="2" t="s">
        <v>494</v>
      </c>
      <c r="E295" s="2" t="s">
        <v>651</v>
      </c>
      <c r="F295" s="2" t="s">
        <v>20</v>
      </c>
      <c r="G295" s="2" t="s">
        <v>32</v>
      </c>
      <c r="H295" s="2" t="s">
        <v>624</v>
      </c>
      <c r="I295" s="2" t="s">
        <v>625</v>
      </c>
      <c r="J295" s="3">
        <v>10</v>
      </c>
      <c r="K295" s="2" t="s">
        <v>51</v>
      </c>
      <c r="L295" s="3">
        <v>10.3</v>
      </c>
      <c r="M295" s="11">
        <v>1390499.99</v>
      </c>
      <c r="N295" s="3">
        <v>0.3</v>
      </c>
      <c r="O295" s="2" t="s">
        <v>25</v>
      </c>
      <c r="P295" s="2" t="s">
        <v>26</v>
      </c>
      <c r="Q295" s="2" t="s">
        <v>42</v>
      </c>
    </row>
    <row r="296" spans="1:17" x14ac:dyDescent="0.25">
      <c r="A296" s="1">
        <v>46188</v>
      </c>
      <c r="B296" s="1">
        <v>46186</v>
      </c>
      <c r="C296" s="2" t="s">
        <v>652</v>
      </c>
      <c r="D296" s="2" t="s">
        <v>494</v>
      </c>
      <c r="E296" s="2" t="s">
        <v>653</v>
      </c>
      <c r="F296" s="2" t="s">
        <v>20</v>
      </c>
      <c r="G296" s="2" t="s">
        <v>654</v>
      </c>
      <c r="H296" s="2" t="s">
        <v>655</v>
      </c>
      <c r="I296" s="2" t="s">
        <v>656</v>
      </c>
      <c r="J296" s="3">
        <v>50</v>
      </c>
      <c r="K296" s="2" t="s">
        <v>51</v>
      </c>
      <c r="L296" s="3">
        <v>51.049900000000001</v>
      </c>
      <c r="M296" s="11">
        <v>5564450</v>
      </c>
      <c r="N296" s="3">
        <v>1.0499000000000001</v>
      </c>
      <c r="O296" s="2" t="s">
        <v>25</v>
      </c>
      <c r="P296" s="2" t="s">
        <v>26</v>
      </c>
      <c r="Q296" s="2" t="s">
        <v>657</v>
      </c>
    </row>
    <row r="297" spans="1:17" x14ac:dyDescent="0.25">
      <c r="A297" s="1">
        <v>46188</v>
      </c>
      <c r="B297" s="1">
        <v>46186</v>
      </c>
      <c r="C297" s="2" t="s">
        <v>658</v>
      </c>
      <c r="D297" s="2" t="s">
        <v>494</v>
      </c>
      <c r="E297" s="2" t="s">
        <v>659</v>
      </c>
      <c r="F297" s="2" t="s">
        <v>142</v>
      </c>
      <c r="G297" s="2" t="s">
        <v>170</v>
      </c>
      <c r="H297" s="2" t="s">
        <v>545</v>
      </c>
      <c r="I297" s="2" t="s">
        <v>546</v>
      </c>
      <c r="J297" s="3">
        <v>8</v>
      </c>
      <c r="K297" s="2" t="s">
        <v>85</v>
      </c>
      <c r="L297" s="3">
        <v>8</v>
      </c>
      <c r="M297" s="11">
        <v>1200000</v>
      </c>
      <c r="N297" s="3">
        <v>0</v>
      </c>
      <c r="O297" s="2" t="s">
        <v>25</v>
      </c>
      <c r="P297" s="2" t="s">
        <v>26</v>
      </c>
      <c r="Q297" s="2" t="s">
        <v>42</v>
      </c>
    </row>
    <row r="298" spans="1:17" x14ac:dyDescent="0.25">
      <c r="A298" s="1">
        <v>46188</v>
      </c>
      <c r="B298" s="1">
        <v>46186</v>
      </c>
      <c r="C298" s="2" t="s">
        <v>660</v>
      </c>
      <c r="D298" s="2" t="s">
        <v>494</v>
      </c>
      <c r="E298" s="2" t="s">
        <v>300</v>
      </c>
      <c r="F298" s="2" t="s">
        <v>20</v>
      </c>
      <c r="G298" s="2" t="s">
        <v>38</v>
      </c>
      <c r="H298" s="2" t="s">
        <v>513</v>
      </c>
      <c r="I298" s="2" t="s">
        <v>514</v>
      </c>
      <c r="J298" s="3">
        <v>5</v>
      </c>
      <c r="K298" s="2" t="s">
        <v>85</v>
      </c>
      <c r="L298" s="3">
        <v>5</v>
      </c>
      <c r="M298" s="11">
        <v>2220000</v>
      </c>
      <c r="N298" s="3">
        <v>0</v>
      </c>
      <c r="O298" s="2" t="s">
        <v>25</v>
      </c>
      <c r="P298" s="2" t="s">
        <v>26</v>
      </c>
      <c r="Q298" s="2" t="s">
        <v>661</v>
      </c>
    </row>
    <row r="299" spans="1:17" x14ac:dyDescent="0.25">
      <c r="A299" s="1">
        <v>46188</v>
      </c>
      <c r="B299" s="1">
        <v>46186</v>
      </c>
      <c r="C299" s="2" t="s">
        <v>662</v>
      </c>
      <c r="D299" s="2" t="s">
        <v>494</v>
      </c>
      <c r="E299" s="2" t="s">
        <v>300</v>
      </c>
      <c r="F299" s="2" t="s">
        <v>20</v>
      </c>
      <c r="G299" s="2" t="s">
        <v>38</v>
      </c>
      <c r="H299" s="2" t="s">
        <v>513</v>
      </c>
      <c r="I299" s="2" t="s">
        <v>514</v>
      </c>
      <c r="J299" s="3">
        <v>5</v>
      </c>
      <c r="K299" s="2" t="s">
        <v>85</v>
      </c>
      <c r="L299" s="3">
        <v>5</v>
      </c>
      <c r="M299" s="11">
        <v>2220000</v>
      </c>
      <c r="N299" s="3">
        <v>0</v>
      </c>
      <c r="O299" s="2" t="s">
        <v>25</v>
      </c>
      <c r="P299" s="2" t="s">
        <v>26</v>
      </c>
      <c r="Q299" s="2" t="s">
        <v>663</v>
      </c>
    </row>
    <row r="300" spans="1:17" x14ac:dyDescent="0.25">
      <c r="A300" s="1">
        <v>46188</v>
      </c>
      <c r="B300" s="1">
        <v>46186</v>
      </c>
      <c r="C300" s="2" t="s">
        <v>664</v>
      </c>
      <c r="D300" s="2" t="s">
        <v>494</v>
      </c>
      <c r="E300" s="2" t="s">
        <v>665</v>
      </c>
      <c r="F300" s="2" t="s">
        <v>20</v>
      </c>
      <c r="G300" s="2" t="s">
        <v>32</v>
      </c>
      <c r="H300" s="2" t="s">
        <v>624</v>
      </c>
      <c r="I300" s="2" t="s">
        <v>625</v>
      </c>
      <c r="J300" s="3">
        <v>15</v>
      </c>
      <c r="K300" s="2" t="s">
        <v>51</v>
      </c>
      <c r="L300" s="3">
        <v>14.9</v>
      </c>
      <c r="M300" s="11">
        <v>2011499.98</v>
      </c>
      <c r="N300" s="3">
        <v>-0.1</v>
      </c>
      <c r="O300" s="2" t="s">
        <v>25</v>
      </c>
      <c r="P300" s="2" t="s">
        <v>26</v>
      </c>
      <c r="Q300" s="2" t="s">
        <v>42</v>
      </c>
    </row>
    <row r="301" spans="1:17" x14ac:dyDescent="0.25">
      <c r="A301" s="1">
        <v>46188</v>
      </c>
      <c r="B301" s="1">
        <v>46186</v>
      </c>
      <c r="C301" s="2" t="s">
        <v>666</v>
      </c>
      <c r="D301" s="2" t="s">
        <v>494</v>
      </c>
      <c r="E301" s="2" t="s">
        <v>667</v>
      </c>
      <c r="F301" s="2" t="s">
        <v>142</v>
      </c>
      <c r="G301" s="2" t="s">
        <v>131</v>
      </c>
      <c r="H301" s="2" t="s">
        <v>499</v>
      </c>
      <c r="I301" s="2" t="s">
        <v>500</v>
      </c>
      <c r="J301" s="3">
        <v>12</v>
      </c>
      <c r="K301" s="2" t="s">
        <v>238</v>
      </c>
      <c r="L301" s="3">
        <v>12</v>
      </c>
      <c r="M301" s="11">
        <v>1139999.99</v>
      </c>
      <c r="N301" s="3">
        <v>0</v>
      </c>
      <c r="O301" s="2" t="s">
        <v>25</v>
      </c>
      <c r="P301" s="2" t="s">
        <v>26</v>
      </c>
      <c r="Q301" s="2" t="s">
        <v>42</v>
      </c>
    </row>
    <row r="302" spans="1:17" x14ac:dyDescent="0.25">
      <c r="A302" s="1">
        <v>46188</v>
      </c>
      <c r="B302" s="1">
        <v>46186</v>
      </c>
      <c r="C302" s="2" t="s">
        <v>668</v>
      </c>
      <c r="D302" s="2" t="s">
        <v>494</v>
      </c>
      <c r="E302" s="2" t="s">
        <v>135</v>
      </c>
      <c r="F302" s="2" t="s">
        <v>20</v>
      </c>
      <c r="G302" s="2" t="s">
        <v>62</v>
      </c>
      <c r="H302" s="2" t="s">
        <v>669</v>
      </c>
      <c r="I302" s="2" t="s">
        <v>670</v>
      </c>
      <c r="J302" s="3">
        <v>1</v>
      </c>
      <c r="K302" s="2" t="s">
        <v>82</v>
      </c>
      <c r="L302" s="3">
        <v>1</v>
      </c>
      <c r="M302" s="11">
        <v>466200</v>
      </c>
      <c r="N302" s="3">
        <v>0</v>
      </c>
      <c r="O302" s="2" t="s">
        <v>25</v>
      </c>
      <c r="P302" s="2" t="s">
        <v>26</v>
      </c>
      <c r="Q302" s="2" t="s">
        <v>42</v>
      </c>
    </row>
    <row r="303" spans="1:17" x14ac:dyDescent="0.25">
      <c r="A303" s="1">
        <v>46188</v>
      </c>
      <c r="B303" s="1">
        <v>46186</v>
      </c>
      <c r="C303" s="2" t="s">
        <v>671</v>
      </c>
      <c r="D303" s="2" t="s">
        <v>494</v>
      </c>
      <c r="E303" s="2" t="s">
        <v>672</v>
      </c>
      <c r="F303" s="2" t="s">
        <v>142</v>
      </c>
      <c r="G303" s="2" t="s">
        <v>32</v>
      </c>
      <c r="H303" s="2" t="s">
        <v>545</v>
      </c>
      <c r="I303" s="2" t="s">
        <v>546</v>
      </c>
      <c r="J303" s="3">
        <v>2</v>
      </c>
      <c r="K303" s="2" t="s">
        <v>85</v>
      </c>
      <c r="L303" s="3">
        <v>2</v>
      </c>
      <c r="M303" s="11">
        <v>300000</v>
      </c>
      <c r="N303" s="3">
        <v>0</v>
      </c>
      <c r="O303" s="2" t="s">
        <v>25</v>
      </c>
      <c r="P303" s="2" t="s">
        <v>26</v>
      </c>
      <c r="Q303" s="2" t="s">
        <v>673</v>
      </c>
    </row>
    <row r="304" spans="1:17" x14ac:dyDescent="0.25">
      <c r="A304" s="1">
        <v>46188</v>
      </c>
      <c r="B304" s="1">
        <v>46186</v>
      </c>
      <c r="C304" s="2" t="s">
        <v>674</v>
      </c>
      <c r="D304" s="2" t="s">
        <v>494</v>
      </c>
      <c r="E304" s="2" t="s">
        <v>675</v>
      </c>
      <c r="F304" s="2" t="s">
        <v>142</v>
      </c>
      <c r="G304" s="2" t="s">
        <v>62</v>
      </c>
      <c r="H304" s="2" t="s">
        <v>676</v>
      </c>
      <c r="I304" s="2" t="s">
        <v>677</v>
      </c>
      <c r="J304" s="3">
        <v>1</v>
      </c>
      <c r="K304" s="2" t="s">
        <v>559</v>
      </c>
      <c r="L304" s="3">
        <v>1</v>
      </c>
      <c r="M304" s="11">
        <v>117810.01</v>
      </c>
      <c r="N304" s="3">
        <v>0</v>
      </c>
      <c r="O304" s="2" t="s">
        <v>25</v>
      </c>
      <c r="P304" s="2" t="s">
        <v>26</v>
      </c>
      <c r="Q304" s="2" t="s">
        <v>42</v>
      </c>
    </row>
    <row r="305" spans="1:17" x14ac:dyDescent="0.25">
      <c r="A305" s="1">
        <v>46188</v>
      </c>
      <c r="B305" s="1">
        <v>46186</v>
      </c>
      <c r="C305" s="2" t="s">
        <v>678</v>
      </c>
      <c r="D305" s="2" t="s">
        <v>494</v>
      </c>
      <c r="E305" s="2" t="s">
        <v>679</v>
      </c>
      <c r="F305" s="2" t="s">
        <v>20</v>
      </c>
      <c r="G305" s="2" t="s">
        <v>62</v>
      </c>
      <c r="H305" s="2" t="s">
        <v>499</v>
      </c>
      <c r="I305" s="2" t="s">
        <v>500</v>
      </c>
      <c r="J305" s="3">
        <v>6</v>
      </c>
      <c r="K305" s="2" t="s">
        <v>238</v>
      </c>
      <c r="L305" s="3">
        <v>6</v>
      </c>
      <c r="M305" s="11">
        <v>510000</v>
      </c>
      <c r="N305" s="3">
        <v>0</v>
      </c>
      <c r="O305" s="2" t="s">
        <v>25</v>
      </c>
      <c r="P305" s="2" t="s">
        <v>26</v>
      </c>
      <c r="Q305" s="2" t="s">
        <v>42</v>
      </c>
    </row>
    <row r="306" spans="1:17" x14ac:dyDescent="0.25">
      <c r="A306" s="1">
        <v>46188</v>
      </c>
      <c r="B306" s="1">
        <v>46186</v>
      </c>
      <c r="C306" s="2" t="s">
        <v>680</v>
      </c>
      <c r="D306" s="2" t="s">
        <v>494</v>
      </c>
      <c r="E306" s="2" t="s">
        <v>327</v>
      </c>
      <c r="F306" s="2" t="s">
        <v>20</v>
      </c>
      <c r="G306" s="2" t="s">
        <v>328</v>
      </c>
      <c r="H306" s="2" t="s">
        <v>681</v>
      </c>
      <c r="I306" s="2" t="s">
        <v>682</v>
      </c>
      <c r="J306" s="3">
        <v>300</v>
      </c>
      <c r="K306" s="2" t="s">
        <v>51</v>
      </c>
      <c r="L306" s="3">
        <v>309</v>
      </c>
      <c r="M306" s="11">
        <v>30591000</v>
      </c>
      <c r="N306" s="3">
        <v>9</v>
      </c>
      <c r="O306" s="2" t="s">
        <v>25</v>
      </c>
      <c r="P306" s="2" t="s">
        <v>26</v>
      </c>
      <c r="Q306" s="2" t="s">
        <v>683</v>
      </c>
    </row>
    <row r="307" spans="1:17" x14ac:dyDescent="0.25">
      <c r="A307" s="1">
        <v>46188</v>
      </c>
      <c r="B307" s="1">
        <v>46186</v>
      </c>
      <c r="C307" s="2" t="s">
        <v>684</v>
      </c>
      <c r="D307" s="2" t="s">
        <v>494</v>
      </c>
      <c r="E307" s="2" t="s">
        <v>685</v>
      </c>
      <c r="F307" s="2" t="s">
        <v>142</v>
      </c>
      <c r="G307" s="2" t="s">
        <v>38</v>
      </c>
      <c r="H307" s="2" t="s">
        <v>686</v>
      </c>
      <c r="I307" s="2" t="s">
        <v>687</v>
      </c>
      <c r="J307" s="3">
        <v>12</v>
      </c>
      <c r="K307" s="2" t="s">
        <v>85</v>
      </c>
      <c r="L307" s="3">
        <v>11</v>
      </c>
      <c r="M307" s="11">
        <v>319000</v>
      </c>
      <c r="N307" s="3">
        <v>-1</v>
      </c>
      <c r="O307" s="2" t="s">
        <v>25</v>
      </c>
      <c r="P307" s="2" t="s">
        <v>26</v>
      </c>
      <c r="Q307" s="2" t="s">
        <v>42</v>
      </c>
    </row>
    <row r="308" spans="1:17" x14ac:dyDescent="0.25">
      <c r="A308" s="1">
        <v>46188</v>
      </c>
      <c r="B308" s="1">
        <v>46186</v>
      </c>
      <c r="C308" s="2" t="s">
        <v>688</v>
      </c>
      <c r="D308" s="2" t="s">
        <v>494</v>
      </c>
      <c r="E308" s="2" t="s">
        <v>327</v>
      </c>
      <c r="F308" s="2" t="s">
        <v>20</v>
      </c>
      <c r="G308" s="2" t="s">
        <v>328</v>
      </c>
      <c r="H308" s="2" t="s">
        <v>689</v>
      </c>
      <c r="I308" s="2" t="s">
        <v>690</v>
      </c>
      <c r="J308" s="3">
        <v>200</v>
      </c>
      <c r="K308" s="2" t="s">
        <v>51</v>
      </c>
      <c r="L308" s="3">
        <v>203.59989999999999</v>
      </c>
      <c r="M308" s="11">
        <v>20767200</v>
      </c>
      <c r="N308" s="3">
        <v>3.5998999999999999</v>
      </c>
      <c r="O308" s="2" t="s">
        <v>25</v>
      </c>
      <c r="P308" s="2" t="s">
        <v>26</v>
      </c>
      <c r="Q308" s="2" t="s">
        <v>691</v>
      </c>
    </row>
    <row r="309" spans="1:17" x14ac:dyDescent="0.25">
      <c r="A309" s="1">
        <v>46188</v>
      </c>
      <c r="B309" s="1">
        <v>46186</v>
      </c>
      <c r="C309" s="2" t="s">
        <v>692</v>
      </c>
      <c r="D309" s="2" t="s">
        <v>494</v>
      </c>
      <c r="E309" s="2" t="s">
        <v>326</v>
      </c>
      <c r="F309" s="2" t="s">
        <v>20</v>
      </c>
      <c r="G309" s="2" t="s">
        <v>38</v>
      </c>
      <c r="H309" s="2" t="s">
        <v>499</v>
      </c>
      <c r="I309" s="2" t="s">
        <v>500</v>
      </c>
      <c r="J309" s="3">
        <v>18</v>
      </c>
      <c r="K309" s="2" t="s">
        <v>238</v>
      </c>
      <c r="L309" s="3">
        <v>18</v>
      </c>
      <c r="M309" s="11">
        <v>1439999.96</v>
      </c>
      <c r="N309" s="3">
        <v>0</v>
      </c>
      <c r="O309" s="2" t="s">
        <v>25</v>
      </c>
      <c r="P309" s="2" t="s">
        <v>26</v>
      </c>
      <c r="Q309" s="2" t="s">
        <v>42</v>
      </c>
    </row>
    <row r="310" spans="1:17" x14ac:dyDescent="0.25">
      <c r="A310" s="1">
        <v>46188</v>
      </c>
      <c r="B310" s="1">
        <v>46186</v>
      </c>
      <c r="C310" s="2" t="s">
        <v>693</v>
      </c>
      <c r="D310" s="2" t="s">
        <v>494</v>
      </c>
      <c r="E310" s="2" t="s">
        <v>694</v>
      </c>
      <c r="F310" s="2" t="s">
        <v>142</v>
      </c>
      <c r="G310" s="2" t="s">
        <v>170</v>
      </c>
      <c r="H310" s="2" t="s">
        <v>695</v>
      </c>
      <c r="I310" s="2" t="s">
        <v>696</v>
      </c>
      <c r="J310" s="3">
        <v>20</v>
      </c>
      <c r="K310" s="2" t="s">
        <v>51</v>
      </c>
      <c r="L310" s="3">
        <v>20</v>
      </c>
      <c r="M310" s="11">
        <v>2000000</v>
      </c>
      <c r="N310" s="3">
        <v>0</v>
      </c>
      <c r="O310" s="2" t="s">
        <v>25</v>
      </c>
      <c r="P310" s="2" t="s">
        <v>26</v>
      </c>
      <c r="Q310" s="2" t="s">
        <v>42</v>
      </c>
    </row>
    <row r="311" spans="1:17" x14ac:dyDescent="0.25">
      <c r="A311" s="1">
        <v>46188</v>
      </c>
      <c r="B311" s="1">
        <v>46186</v>
      </c>
      <c r="C311" s="2" t="s">
        <v>697</v>
      </c>
      <c r="D311" s="2" t="s">
        <v>494</v>
      </c>
      <c r="E311" s="2" t="s">
        <v>698</v>
      </c>
      <c r="F311" s="2" t="s">
        <v>20</v>
      </c>
      <c r="G311" s="2" t="s">
        <v>54</v>
      </c>
      <c r="H311" s="2" t="s">
        <v>545</v>
      </c>
      <c r="I311" s="2" t="s">
        <v>546</v>
      </c>
      <c r="J311" s="3">
        <v>8</v>
      </c>
      <c r="K311" s="2" t="s">
        <v>85</v>
      </c>
      <c r="L311" s="3">
        <v>8</v>
      </c>
      <c r="M311" s="11">
        <v>1059999.99</v>
      </c>
      <c r="N311" s="3">
        <v>0</v>
      </c>
      <c r="O311" s="2" t="s">
        <v>25</v>
      </c>
      <c r="P311" s="2" t="s">
        <v>26</v>
      </c>
      <c r="Q311" s="2" t="s">
        <v>42</v>
      </c>
    </row>
    <row r="312" spans="1:17" x14ac:dyDescent="0.25">
      <c r="A312" s="1">
        <v>46188</v>
      </c>
      <c r="B312" s="1">
        <v>46186</v>
      </c>
      <c r="C312" s="2" t="s">
        <v>699</v>
      </c>
      <c r="D312" s="2" t="s">
        <v>494</v>
      </c>
      <c r="E312" s="2" t="s">
        <v>352</v>
      </c>
      <c r="F312" s="2" t="s">
        <v>20</v>
      </c>
      <c r="G312" s="2" t="s">
        <v>21</v>
      </c>
      <c r="H312" s="2" t="s">
        <v>525</v>
      </c>
      <c r="I312" s="2" t="s">
        <v>526</v>
      </c>
      <c r="J312" s="3">
        <v>10</v>
      </c>
      <c r="K312" s="2" t="s">
        <v>51</v>
      </c>
      <c r="L312" s="3">
        <v>13.14</v>
      </c>
      <c r="M312" s="11">
        <v>1668780</v>
      </c>
      <c r="N312" s="3">
        <v>3.14</v>
      </c>
      <c r="O312" s="2" t="s">
        <v>25</v>
      </c>
      <c r="P312" s="2" t="s">
        <v>26</v>
      </c>
      <c r="Q312" s="2" t="s">
        <v>395</v>
      </c>
    </row>
    <row r="313" spans="1:17" x14ac:dyDescent="0.25">
      <c r="A313" s="1">
        <v>46188</v>
      </c>
      <c r="B313" s="1">
        <v>46186</v>
      </c>
      <c r="C313" s="2" t="s">
        <v>699</v>
      </c>
      <c r="D313" s="2" t="s">
        <v>494</v>
      </c>
      <c r="E313" s="2" t="s">
        <v>352</v>
      </c>
      <c r="F313" s="2" t="s">
        <v>20</v>
      </c>
      <c r="G313" s="2" t="s">
        <v>21</v>
      </c>
      <c r="H313" s="2" t="s">
        <v>531</v>
      </c>
      <c r="I313" s="2" t="s">
        <v>532</v>
      </c>
      <c r="J313" s="3">
        <v>10</v>
      </c>
      <c r="K313" s="2" t="s">
        <v>51</v>
      </c>
      <c r="L313" s="3">
        <v>9.01</v>
      </c>
      <c r="M313" s="11">
        <v>1081200</v>
      </c>
      <c r="N313" s="3">
        <v>-0.99</v>
      </c>
      <c r="O313" s="2" t="s">
        <v>25</v>
      </c>
      <c r="P313" s="2" t="s">
        <v>26</v>
      </c>
      <c r="Q313" s="2" t="s">
        <v>395</v>
      </c>
    </row>
    <row r="314" spans="1:17" x14ac:dyDescent="0.25">
      <c r="A314" s="1">
        <v>46188</v>
      </c>
      <c r="B314" s="1">
        <v>46186</v>
      </c>
      <c r="C314" s="2" t="s">
        <v>700</v>
      </c>
      <c r="D314" s="2" t="s">
        <v>494</v>
      </c>
      <c r="E314" s="2" t="s">
        <v>418</v>
      </c>
      <c r="F314" s="2" t="s">
        <v>20</v>
      </c>
      <c r="G314" s="2" t="s">
        <v>21</v>
      </c>
      <c r="H314" s="2" t="s">
        <v>499</v>
      </c>
      <c r="I314" s="2" t="s">
        <v>500</v>
      </c>
      <c r="J314" s="3">
        <v>12</v>
      </c>
      <c r="K314" s="2" t="s">
        <v>238</v>
      </c>
      <c r="L314" s="3">
        <v>12</v>
      </c>
      <c r="M314" s="11">
        <v>1008000.06</v>
      </c>
      <c r="N314" s="3">
        <v>0</v>
      </c>
      <c r="O314" s="2" t="s">
        <v>25</v>
      </c>
      <c r="P314" s="2" t="s">
        <v>26</v>
      </c>
      <c r="Q314" s="2" t="s">
        <v>42</v>
      </c>
    </row>
    <row r="315" spans="1:17" x14ac:dyDescent="0.25">
      <c r="A315" s="1">
        <v>46188</v>
      </c>
      <c r="B315" s="1">
        <v>46186</v>
      </c>
      <c r="C315" s="2" t="s">
        <v>701</v>
      </c>
      <c r="D315" s="2" t="s">
        <v>494</v>
      </c>
      <c r="E315" s="2" t="s">
        <v>702</v>
      </c>
      <c r="F315" s="2" t="s">
        <v>20</v>
      </c>
      <c r="G315" s="2" t="s">
        <v>62</v>
      </c>
      <c r="H315" s="2" t="s">
        <v>528</v>
      </c>
      <c r="I315" s="2" t="s">
        <v>529</v>
      </c>
      <c r="J315" s="3">
        <v>25</v>
      </c>
      <c r="K315" s="2" t="s">
        <v>51</v>
      </c>
      <c r="L315" s="3">
        <v>25</v>
      </c>
      <c r="M315" s="11">
        <v>4125000.04</v>
      </c>
      <c r="N315" s="3">
        <v>0</v>
      </c>
      <c r="O315" s="2" t="s">
        <v>25</v>
      </c>
      <c r="P315" s="2" t="s">
        <v>26</v>
      </c>
      <c r="Q315" s="2" t="s">
        <v>42</v>
      </c>
    </row>
    <row r="316" spans="1:17" x14ac:dyDescent="0.25">
      <c r="A316" s="1">
        <v>46188</v>
      </c>
      <c r="B316" s="1">
        <v>46186</v>
      </c>
      <c r="C316" s="2" t="s">
        <v>701</v>
      </c>
      <c r="D316" s="2" t="s">
        <v>494</v>
      </c>
      <c r="E316" s="2" t="s">
        <v>702</v>
      </c>
      <c r="F316" s="2" t="s">
        <v>20</v>
      </c>
      <c r="G316" s="2" t="s">
        <v>62</v>
      </c>
      <c r="H316" s="2" t="s">
        <v>703</v>
      </c>
      <c r="I316" s="2" t="s">
        <v>704</v>
      </c>
      <c r="J316" s="3">
        <v>10</v>
      </c>
      <c r="K316" s="2" t="s">
        <v>85</v>
      </c>
      <c r="L316" s="3">
        <v>10</v>
      </c>
      <c r="M316" s="11">
        <v>1400000.04</v>
      </c>
      <c r="N316" s="3">
        <v>0</v>
      </c>
      <c r="O316" s="2" t="s">
        <v>25</v>
      </c>
      <c r="P316" s="2" t="s">
        <v>26</v>
      </c>
      <c r="Q316" s="2" t="s">
        <v>42</v>
      </c>
    </row>
    <row r="317" spans="1:17" x14ac:dyDescent="0.25">
      <c r="A317" s="1">
        <v>46188</v>
      </c>
      <c r="B317" s="1">
        <v>46186</v>
      </c>
      <c r="C317" s="2" t="s">
        <v>705</v>
      </c>
      <c r="D317" s="2" t="s">
        <v>494</v>
      </c>
      <c r="E317" s="2" t="s">
        <v>706</v>
      </c>
      <c r="F317" s="2" t="s">
        <v>142</v>
      </c>
      <c r="G317" s="2" t="s">
        <v>362</v>
      </c>
      <c r="H317" s="2" t="s">
        <v>521</v>
      </c>
      <c r="I317" s="2" t="s">
        <v>522</v>
      </c>
      <c r="J317" s="3">
        <v>1</v>
      </c>
      <c r="K317" s="2" t="s">
        <v>85</v>
      </c>
      <c r="L317" s="3">
        <v>1</v>
      </c>
      <c r="M317" s="11">
        <v>888000</v>
      </c>
      <c r="N317" s="3">
        <v>0</v>
      </c>
      <c r="O317" s="2" t="s">
        <v>25</v>
      </c>
      <c r="P317" s="2" t="s">
        <v>26</v>
      </c>
      <c r="Q317" s="2" t="s">
        <v>707</v>
      </c>
    </row>
    <row r="318" spans="1:17" x14ac:dyDescent="0.25">
      <c r="A318" s="1">
        <v>46188</v>
      </c>
      <c r="B318" s="1">
        <v>46186</v>
      </c>
      <c r="C318" s="2" t="s">
        <v>708</v>
      </c>
      <c r="D318" s="2" t="s">
        <v>494</v>
      </c>
      <c r="E318" s="2" t="s">
        <v>709</v>
      </c>
      <c r="F318" s="2" t="s">
        <v>20</v>
      </c>
      <c r="G318" s="2" t="s">
        <v>50</v>
      </c>
      <c r="H318" s="2" t="s">
        <v>549</v>
      </c>
      <c r="I318" s="2" t="s">
        <v>550</v>
      </c>
      <c r="J318" s="3">
        <v>1</v>
      </c>
      <c r="K318" s="2" t="s">
        <v>82</v>
      </c>
      <c r="L318" s="3">
        <v>1</v>
      </c>
      <c r="M318" s="11">
        <v>550000.01</v>
      </c>
      <c r="N318" s="3">
        <v>0</v>
      </c>
      <c r="O318" s="2" t="s">
        <v>25</v>
      </c>
      <c r="P318" s="2" t="s">
        <v>26</v>
      </c>
      <c r="Q318" s="2" t="s">
        <v>42</v>
      </c>
    </row>
    <row r="319" spans="1:17" x14ac:dyDescent="0.25">
      <c r="A319" s="1">
        <v>46188</v>
      </c>
      <c r="B319" s="1">
        <v>46186</v>
      </c>
      <c r="C319" s="2" t="s">
        <v>710</v>
      </c>
      <c r="D319" s="2" t="s">
        <v>494</v>
      </c>
      <c r="E319" s="2" t="s">
        <v>711</v>
      </c>
      <c r="F319" s="2" t="s">
        <v>20</v>
      </c>
      <c r="G319" s="2" t="s">
        <v>47</v>
      </c>
      <c r="H319" s="2" t="s">
        <v>528</v>
      </c>
      <c r="I319" s="2" t="s">
        <v>529</v>
      </c>
      <c r="J319" s="3">
        <v>50</v>
      </c>
      <c r="K319" s="2" t="s">
        <v>51</v>
      </c>
      <c r="L319" s="3">
        <v>50</v>
      </c>
      <c r="M319" s="11">
        <v>8249991.2000000002</v>
      </c>
      <c r="N319" s="3">
        <v>0</v>
      </c>
      <c r="O319" s="2" t="s">
        <v>25</v>
      </c>
      <c r="P319" s="2" t="s">
        <v>26</v>
      </c>
      <c r="Q319" s="2" t="s">
        <v>42</v>
      </c>
    </row>
    <row r="320" spans="1:17" x14ac:dyDescent="0.25">
      <c r="A320" s="1">
        <v>46188</v>
      </c>
      <c r="B320" s="1">
        <v>46186</v>
      </c>
      <c r="C320" s="2" t="s">
        <v>712</v>
      </c>
      <c r="D320" s="2" t="s">
        <v>494</v>
      </c>
      <c r="E320" s="2" t="s">
        <v>452</v>
      </c>
      <c r="F320" s="2" t="s">
        <v>20</v>
      </c>
      <c r="G320" s="2" t="s">
        <v>386</v>
      </c>
      <c r="H320" s="2" t="s">
        <v>537</v>
      </c>
      <c r="I320" s="2" t="s">
        <v>538</v>
      </c>
      <c r="J320" s="3">
        <v>12</v>
      </c>
      <c r="K320" s="2" t="s">
        <v>539</v>
      </c>
      <c r="L320" s="3">
        <v>12</v>
      </c>
      <c r="M320" s="11">
        <v>652680</v>
      </c>
      <c r="N320" s="3">
        <v>0</v>
      </c>
      <c r="O320" s="2" t="s">
        <v>25</v>
      </c>
      <c r="P320" s="2" t="s">
        <v>26</v>
      </c>
      <c r="Q320" s="2" t="s">
        <v>42</v>
      </c>
    </row>
    <row r="321" spans="1:17" x14ac:dyDescent="0.25">
      <c r="A321" s="1">
        <v>46188</v>
      </c>
      <c r="B321" s="1">
        <v>46186</v>
      </c>
      <c r="C321" s="2" t="s">
        <v>712</v>
      </c>
      <c r="D321" s="2" t="s">
        <v>494</v>
      </c>
      <c r="E321" s="2" t="s">
        <v>452</v>
      </c>
      <c r="F321" s="2" t="s">
        <v>20</v>
      </c>
      <c r="G321" s="2" t="s">
        <v>386</v>
      </c>
      <c r="H321" s="2" t="s">
        <v>713</v>
      </c>
      <c r="I321" s="2" t="s">
        <v>714</v>
      </c>
      <c r="J321" s="3">
        <v>10</v>
      </c>
      <c r="K321" s="2" t="s">
        <v>85</v>
      </c>
      <c r="L321" s="3">
        <v>10</v>
      </c>
      <c r="M321" s="11">
        <v>155400</v>
      </c>
      <c r="N321" s="3">
        <v>0</v>
      </c>
      <c r="O321" s="2" t="s">
        <v>25</v>
      </c>
      <c r="P321" s="2" t="s">
        <v>26</v>
      </c>
      <c r="Q321" s="2" t="s">
        <v>42</v>
      </c>
    </row>
    <row r="322" spans="1:17" x14ac:dyDescent="0.25">
      <c r="A322" s="1">
        <v>46188</v>
      </c>
      <c r="B322" s="1">
        <v>46186</v>
      </c>
      <c r="C322" s="2" t="s">
        <v>715</v>
      </c>
      <c r="D322" s="2" t="s">
        <v>494</v>
      </c>
      <c r="E322" s="2" t="s">
        <v>452</v>
      </c>
      <c r="F322" s="2" t="s">
        <v>20</v>
      </c>
      <c r="G322" s="2" t="s">
        <v>386</v>
      </c>
      <c r="H322" s="2" t="s">
        <v>716</v>
      </c>
      <c r="I322" s="2" t="s">
        <v>717</v>
      </c>
      <c r="J322" s="3">
        <v>2</v>
      </c>
      <c r="K322" s="2" t="s">
        <v>82</v>
      </c>
      <c r="L322" s="3">
        <v>2</v>
      </c>
      <c r="M322" s="11">
        <v>870000</v>
      </c>
      <c r="N322" s="3">
        <v>0</v>
      </c>
      <c r="O322" s="2" t="s">
        <v>25</v>
      </c>
      <c r="P322" s="2" t="s">
        <v>26</v>
      </c>
      <c r="Q322" s="2" t="s">
        <v>42</v>
      </c>
    </row>
    <row r="323" spans="1:17" x14ac:dyDescent="0.25">
      <c r="A323" s="1">
        <v>46188</v>
      </c>
      <c r="B323" s="1">
        <v>46186</v>
      </c>
      <c r="C323" s="2" t="s">
        <v>715</v>
      </c>
      <c r="D323" s="2" t="s">
        <v>494</v>
      </c>
      <c r="E323" s="2" t="s">
        <v>452</v>
      </c>
      <c r="F323" s="2" t="s">
        <v>20</v>
      </c>
      <c r="G323" s="2" t="s">
        <v>386</v>
      </c>
      <c r="H323" s="2" t="s">
        <v>718</v>
      </c>
      <c r="I323" s="2" t="s">
        <v>719</v>
      </c>
      <c r="J323" s="3">
        <v>3</v>
      </c>
      <c r="K323" s="2" t="s">
        <v>82</v>
      </c>
      <c r="L323" s="3">
        <v>3</v>
      </c>
      <c r="M323" s="11">
        <v>1275000</v>
      </c>
      <c r="N323" s="3">
        <v>0</v>
      </c>
      <c r="O323" s="2" t="s">
        <v>25</v>
      </c>
      <c r="P323" s="2" t="s">
        <v>26</v>
      </c>
      <c r="Q323" s="2" t="s">
        <v>42</v>
      </c>
    </row>
    <row r="324" spans="1:17" x14ac:dyDescent="0.25">
      <c r="A324" s="1">
        <v>46188</v>
      </c>
      <c r="B324" s="1">
        <v>46186</v>
      </c>
      <c r="C324" s="2" t="s">
        <v>720</v>
      </c>
      <c r="D324" s="2" t="s">
        <v>494</v>
      </c>
      <c r="E324" s="2" t="s">
        <v>452</v>
      </c>
      <c r="F324" s="2" t="s">
        <v>20</v>
      </c>
      <c r="G324" s="2" t="s">
        <v>386</v>
      </c>
      <c r="H324" s="2" t="s">
        <v>721</v>
      </c>
      <c r="I324" s="2" t="s">
        <v>722</v>
      </c>
      <c r="J324" s="3">
        <v>1</v>
      </c>
      <c r="K324" s="2" t="s">
        <v>559</v>
      </c>
      <c r="L324" s="3">
        <v>1</v>
      </c>
      <c r="M324" s="11">
        <v>95000.01</v>
      </c>
      <c r="N324" s="3">
        <v>0</v>
      </c>
      <c r="O324" s="2" t="s">
        <v>25</v>
      </c>
      <c r="P324" s="2" t="s">
        <v>26</v>
      </c>
      <c r="Q324" s="2" t="s">
        <v>42</v>
      </c>
    </row>
    <row r="325" spans="1:17" x14ac:dyDescent="0.25">
      <c r="A325" s="1">
        <v>46188</v>
      </c>
      <c r="B325" s="1">
        <v>46186</v>
      </c>
      <c r="C325" s="2" t="s">
        <v>720</v>
      </c>
      <c r="D325" s="2" t="s">
        <v>494</v>
      </c>
      <c r="E325" s="2" t="s">
        <v>452</v>
      </c>
      <c r="F325" s="2" t="s">
        <v>20</v>
      </c>
      <c r="G325" s="2" t="s">
        <v>386</v>
      </c>
      <c r="H325" s="2" t="s">
        <v>723</v>
      </c>
      <c r="I325" s="2" t="s">
        <v>724</v>
      </c>
      <c r="J325" s="3">
        <v>1</v>
      </c>
      <c r="K325" s="2" t="s">
        <v>559</v>
      </c>
      <c r="L325" s="3">
        <v>1</v>
      </c>
      <c r="M325" s="11">
        <v>95000.01</v>
      </c>
      <c r="N325" s="3">
        <v>0</v>
      </c>
      <c r="O325" s="2" t="s">
        <v>25</v>
      </c>
      <c r="P325" s="2" t="s">
        <v>26</v>
      </c>
      <c r="Q325" s="2" t="s">
        <v>42</v>
      </c>
    </row>
    <row r="326" spans="1:17" x14ac:dyDescent="0.25">
      <c r="A326" s="1">
        <v>46188</v>
      </c>
      <c r="B326" s="1">
        <v>46186</v>
      </c>
      <c r="C326" s="2" t="s">
        <v>720</v>
      </c>
      <c r="D326" s="2" t="s">
        <v>494</v>
      </c>
      <c r="E326" s="2" t="s">
        <v>452</v>
      </c>
      <c r="F326" s="2" t="s">
        <v>20</v>
      </c>
      <c r="G326" s="2" t="s">
        <v>386</v>
      </c>
      <c r="H326" s="2" t="s">
        <v>725</v>
      </c>
      <c r="I326" s="2" t="s">
        <v>726</v>
      </c>
      <c r="J326" s="3">
        <v>1</v>
      </c>
      <c r="K326" s="2" t="s">
        <v>559</v>
      </c>
      <c r="L326" s="3">
        <v>1</v>
      </c>
      <c r="M326" s="11">
        <v>84359.99</v>
      </c>
      <c r="N326" s="3">
        <v>0</v>
      </c>
      <c r="O326" s="2" t="s">
        <v>25</v>
      </c>
      <c r="P326" s="2" t="s">
        <v>26</v>
      </c>
      <c r="Q326" s="2" t="s">
        <v>42</v>
      </c>
    </row>
    <row r="327" spans="1:17" x14ac:dyDescent="0.25">
      <c r="A327" s="1">
        <v>46188</v>
      </c>
      <c r="B327" s="1">
        <v>46186</v>
      </c>
      <c r="C327" s="2" t="s">
        <v>727</v>
      </c>
      <c r="D327" s="2" t="s">
        <v>494</v>
      </c>
      <c r="E327" s="2" t="s">
        <v>728</v>
      </c>
      <c r="F327" s="2" t="s">
        <v>142</v>
      </c>
      <c r="G327" s="2" t="s">
        <v>62</v>
      </c>
      <c r="H327" s="2" t="s">
        <v>627</v>
      </c>
      <c r="I327" s="2" t="s">
        <v>628</v>
      </c>
      <c r="J327" s="3">
        <v>5</v>
      </c>
      <c r="K327" s="2" t="s">
        <v>539</v>
      </c>
      <c r="L327" s="3">
        <v>5</v>
      </c>
      <c r="M327" s="11">
        <v>285000</v>
      </c>
      <c r="N327" s="3">
        <v>0</v>
      </c>
      <c r="O327" s="2" t="s">
        <v>25</v>
      </c>
      <c r="P327" s="2" t="s">
        <v>26</v>
      </c>
      <c r="Q327" s="2" t="s">
        <v>42</v>
      </c>
    </row>
    <row r="328" spans="1:17" x14ac:dyDescent="0.25">
      <c r="A328" s="1">
        <v>46188</v>
      </c>
      <c r="B328" s="1">
        <v>46186</v>
      </c>
      <c r="C328" s="2" t="s">
        <v>727</v>
      </c>
      <c r="D328" s="2" t="s">
        <v>494</v>
      </c>
      <c r="E328" s="2" t="s">
        <v>728</v>
      </c>
      <c r="F328" s="2" t="s">
        <v>142</v>
      </c>
      <c r="G328" s="2" t="s">
        <v>62</v>
      </c>
      <c r="H328" s="2" t="s">
        <v>537</v>
      </c>
      <c r="I328" s="2" t="s">
        <v>538</v>
      </c>
      <c r="J328" s="3">
        <v>1</v>
      </c>
      <c r="K328" s="2" t="s">
        <v>539</v>
      </c>
      <c r="L328" s="3">
        <v>1</v>
      </c>
      <c r="M328" s="11">
        <v>64000</v>
      </c>
      <c r="N328" s="3">
        <v>0</v>
      </c>
      <c r="O328" s="2" t="s">
        <v>25</v>
      </c>
      <c r="P328" s="2" t="s">
        <v>26</v>
      </c>
      <c r="Q328" s="2" t="s">
        <v>42</v>
      </c>
    </row>
    <row r="329" spans="1:17" x14ac:dyDescent="0.25">
      <c r="A329" s="1">
        <v>46188</v>
      </c>
      <c r="B329" s="1">
        <v>46186</v>
      </c>
      <c r="C329" s="2" t="s">
        <v>729</v>
      </c>
      <c r="D329" s="2" t="s">
        <v>494</v>
      </c>
      <c r="E329" s="2" t="s">
        <v>730</v>
      </c>
      <c r="F329" s="2" t="s">
        <v>142</v>
      </c>
      <c r="G329" s="2" t="s">
        <v>54</v>
      </c>
      <c r="H329" s="2" t="s">
        <v>627</v>
      </c>
      <c r="I329" s="2" t="s">
        <v>628</v>
      </c>
      <c r="J329" s="3">
        <v>6</v>
      </c>
      <c r="K329" s="2" t="s">
        <v>539</v>
      </c>
      <c r="L329" s="3">
        <v>6</v>
      </c>
      <c r="M329" s="11">
        <v>341999.99</v>
      </c>
      <c r="N329" s="3">
        <v>0</v>
      </c>
      <c r="O329" s="2" t="s">
        <v>25</v>
      </c>
      <c r="P329" s="2" t="s">
        <v>26</v>
      </c>
      <c r="Q329" s="2" t="s">
        <v>42</v>
      </c>
    </row>
    <row r="330" spans="1:17" x14ac:dyDescent="0.25">
      <c r="A330" s="1">
        <v>46188</v>
      </c>
      <c r="B330" s="1">
        <v>46186</v>
      </c>
      <c r="C330" s="2" t="s">
        <v>731</v>
      </c>
      <c r="D330" s="2" t="s">
        <v>494</v>
      </c>
      <c r="E330" s="2" t="s">
        <v>732</v>
      </c>
      <c r="F330" s="2" t="s">
        <v>142</v>
      </c>
      <c r="G330" s="2" t="s">
        <v>62</v>
      </c>
      <c r="H330" s="2" t="s">
        <v>627</v>
      </c>
      <c r="I330" s="2" t="s">
        <v>628</v>
      </c>
      <c r="J330" s="3">
        <v>10</v>
      </c>
      <c r="K330" s="2" t="s">
        <v>539</v>
      </c>
      <c r="L330" s="3">
        <v>10</v>
      </c>
      <c r="M330" s="11">
        <v>569999.98</v>
      </c>
      <c r="N330" s="3">
        <v>0</v>
      </c>
      <c r="O330" s="2" t="s">
        <v>25</v>
      </c>
      <c r="P330" s="2" t="s">
        <v>26</v>
      </c>
      <c r="Q330" s="2" t="s">
        <v>42</v>
      </c>
    </row>
    <row r="331" spans="1:17" x14ac:dyDescent="0.25">
      <c r="A331" s="1">
        <v>46188</v>
      </c>
      <c r="B331" s="1">
        <v>46186</v>
      </c>
      <c r="C331" s="2" t="s">
        <v>731</v>
      </c>
      <c r="D331" s="2" t="s">
        <v>494</v>
      </c>
      <c r="E331" s="2" t="s">
        <v>732</v>
      </c>
      <c r="F331" s="2" t="s">
        <v>142</v>
      </c>
      <c r="G331" s="2" t="s">
        <v>62</v>
      </c>
      <c r="H331" s="2" t="s">
        <v>537</v>
      </c>
      <c r="I331" s="2" t="s">
        <v>538</v>
      </c>
      <c r="J331" s="3">
        <v>2</v>
      </c>
      <c r="K331" s="2" t="s">
        <v>539</v>
      </c>
      <c r="L331" s="3">
        <v>2</v>
      </c>
      <c r="M331" s="11">
        <v>128000.01</v>
      </c>
      <c r="N331" s="3">
        <v>0</v>
      </c>
      <c r="O331" s="2" t="s">
        <v>25</v>
      </c>
      <c r="P331" s="2" t="s">
        <v>26</v>
      </c>
      <c r="Q331" s="2" t="s">
        <v>42</v>
      </c>
    </row>
    <row r="332" spans="1:17" x14ac:dyDescent="0.25">
      <c r="A332" s="1">
        <v>46188</v>
      </c>
      <c r="B332" s="1">
        <v>46186</v>
      </c>
      <c r="C332" s="2" t="s">
        <v>733</v>
      </c>
      <c r="D332" s="2" t="s">
        <v>494</v>
      </c>
      <c r="E332" s="2" t="s">
        <v>452</v>
      </c>
      <c r="F332" s="2" t="s">
        <v>20</v>
      </c>
      <c r="G332" s="2" t="s">
        <v>386</v>
      </c>
      <c r="H332" s="2" t="s">
        <v>718</v>
      </c>
      <c r="I332" s="2" t="s">
        <v>719</v>
      </c>
      <c r="J332" s="3">
        <v>2</v>
      </c>
      <c r="K332" s="2" t="s">
        <v>82</v>
      </c>
      <c r="L332" s="3">
        <v>2</v>
      </c>
      <c r="M332" s="11">
        <v>849999.99</v>
      </c>
      <c r="N332" s="3">
        <v>0</v>
      </c>
      <c r="O332" s="2" t="s">
        <v>25</v>
      </c>
      <c r="P332" s="2" t="s">
        <v>26</v>
      </c>
      <c r="Q332" s="2" t="s">
        <v>42</v>
      </c>
    </row>
    <row r="333" spans="1:17" x14ac:dyDescent="0.25">
      <c r="A333" s="1">
        <v>46188</v>
      </c>
      <c r="B333" s="1">
        <v>46186</v>
      </c>
      <c r="C333" s="2" t="s">
        <v>734</v>
      </c>
      <c r="D333" s="2" t="s">
        <v>494</v>
      </c>
      <c r="E333" s="2" t="s">
        <v>467</v>
      </c>
      <c r="F333" s="2" t="s">
        <v>20</v>
      </c>
      <c r="G333" s="2" t="s">
        <v>386</v>
      </c>
      <c r="H333" s="2" t="s">
        <v>499</v>
      </c>
      <c r="I333" s="2" t="s">
        <v>500</v>
      </c>
      <c r="J333" s="3">
        <v>2</v>
      </c>
      <c r="K333" s="2" t="s">
        <v>238</v>
      </c>
      <c r="L333" s="3">
        <v>2</v>
      </c>
      <c r="M333" s="11">
        <v>134310</v>
      </c>
      <c r="N333" s="3">
        <v>0</v>
      </c>
      <c r="O333" s="2" t="s">
        <v>25</v>
      </c>
      <c r="P333" s="2" t="s">
        <v>26</v>
      </c>
      <c r="Q333" s="2" t="s">
        <v>42</v>
      </c>
    </row>
    <row r="334" spans="1:17" x14ac:dyDescent="0.25">
      <c r="A334" s="1">
        <v>46188</v>
      </c>
      <c r="B334" s="1">
        <v>46186</v>
      </c>
      <c r="C334" s="2" t="s">
        <v>735</v>
      </c>
      <c r="D334" s="2" t="s">
        <v>494</v>
      </c>
      <c r="E334" s="2" t="s">
        <v>467</v>
      </c>
      <c r="F334" s="2" t="s">
        <v>20</v>
      </c>
      <c r="G334" s="2" t="s">
        <v>386</v>
      </c>
      <c r="H334" s="2" t="s">
        <v>525</v>
      </c>
      <c r="I334" s="2" t="s">
        <v>526</v>
      </c>
      <c r="J334" s="3">
        <v>12</v>
      </c>
      <c r="K334" s="2" t="s">
        <v>51</v>
      </c>
      <c r="L334" s="3">
        <v>9.7798999999999996</v>
      </c>
      <c r="M334" s="11">
        <v>1193160</v>
      </c>
      <c r="N334" s="3">
        <v>-2.2201</v>
      </c>
      <c r="O334" s="2" t="s">
        <v>25</v>
      </c>
      <c r="P334" s="2" t="s">
        <v>26</v>
      </c>
      <c r="Q334" s="2" t="s">
        <v>42</v>
      </c>
    </row>
    <row r="335" spans="1:17" x14ac:dyDescent="0.25">
      <c r="A335" s="1">
        <v>46188</v>
      </c>
      <c r="B335" s="1">
        <v>46186</v>
      </c>
      <c r="C335" s="2" t="s">
        <v>735</v>
      </c>
      <c r="D335" s="2" t="s">
        <v>494</v>
      </c>
      <c r="E335" s="2" t="s">
        <v>467</v>
      </c>
      <c r="F335" s="2" t="s">
        <v>20</v>
      </c>
      <c r="G335" s="2" t="s">
        <v>386</v>
      </c>
      <c r="H335" s="2" t="s">
        <v>695</v>
      </c>
      <c r="I335" s="2" t="s">
        <v>696</v>
      </c>
      <c r="J335" s="3">
        <v>5</v>
      </c>
      <c r="K335" s="2" t="s">
        <v>51</v>
      </c>
      <c r="L335" s="3">
        <v>5</v>
      </c>
      <c r="M335" s="11">
        <v>500000</v>
      </c>
      <c r="N335" s="3">
        <v>0</v>
      </c>
      <c r="O335" s="2" t="s">
        <v>25</v>
      </c>
      <c r="P335" s="2" t="s">
        <v>26</v>
      </c>
      <c r="Q335" s="2" t="s">
        <v>42</v>
      </c>
    </row>
    <row r="336" spans="1:17" x14ac:dyDescent="0.25">
      <c r="A336" s="1">
        <v>46188</v>
      </c>
      <c r="B336" s="1">
        <v>46186</v>
      </c>
      <c r="C336" s="2" t="s">
        <v>735</v>
      </c>
      <c r="D336" s="2" t="s">
        <v>494</v>
      </c>
      <c r="E336" s="2" t="s">
        <v>467</v>
      </c>
      <c r="F336" s="2" t="s">
        <v>20</v>
      </c>
      <c r="G336" s="2" t="s">
        <v>386</v>
      </c>
      <c r="H336" s="2" t="s">
        <v>718</v>
      </c>
      <c r="I336" s="2" t="s">
        <v>719</v>
      </c>
      <c r="J336" s="3">
        <v>2</v>
      </c>
      <c r="K336" s="2" t="s">
        <v>82</v>
      </c>
      <c r="L336" s="3">
        <v>2</v>
      </c>
      <c r="M336" s="11">
        <v>849999.99</v>
      </c>
      <c r="N336" s="3">
        <v>0</v>
      </c>
      <c r="O336" s="2" t="s">
        <v>25</v>
      </c>
      <c r="P336" s="2" t="s">
        <v>26</v>
      </c>
      <c r="Q336" s="2" t="s">
        <v>42</v>
      </c>
    </row>
    <row r="337" spans="1:17" x14ac:dyDescent="0.25">
      <c r="A337" s="1">
        <v>46188</v>
      </c>
      <c r="B337" s="1">
        <v>46186</v>
      </c>
      <c r="C337" s="2" t="s">
        <v>736</v>
      </c>
      <c r="D337" s="2" t="s">
        <v>494</v>
      </c>
      <c r="E337" s="2" t="s">
        <v>737</v>
      </c>
      <c r="F337" s="2" t="s">
        <v>20</v>
      </c>
      <c r="G337" s="2" t="s">
        <v>131</v>
      </c>
      <c r="H337" s="2" t="s">
        <v>738</v>
      </c>
      <c r="I337" s="2" t="s">
        <v>739</v>
      </c>
      <c r="J337" s="3">
        <v>2</v>
      </c>
      <c r="K337" s="2" t="s">
        <v>559</v>
      </c>
      <c r="L337" s="3">
        <v>2</v>
      </c>
      <c r="M337" s="11">
        <v>180000</v>
      </c>
      <c r="N337" s="3">
        <v>0</v>
      </c>
      <c r="O337" s="2" t="s">
        <v>25</v>
      </c>
      <c r="P337" s="2" t="s">
        <v>26</v>
      </c>
      <c r="Q337" s="2" t="s">
        <v>42</v>
      </c>
    </row>
    <row r="338" spans="1:17" x14ac:dyDescent="0.25">
      <c r="A338" s="1">
        <v>46188</v>
      </c>
      <c r="B338" s="1">
        <v>46186</v>
      </c>
      <c r="C338" s="2" t="s">
        <v>736</v>
      </c>
      <c r="D338" s="2" t="s">
        <v>494</v>
      </c>
      <c r="E338" s="2" t="s">
        <v>737</v>
      </c>
      <c r="F338" s="2" t="s">
        <v>20</v>
      </c>
      <c r="G338" s="2" t="s">
        <v>131</v>
      </c>
      <c r="H338" s="2" t="s">
        <v>721</v>
      </c>
      <c r="I338" s="2" t="s">
        <v>722</v>
      </c>
      <c r="J338" s="3">
        <v>1</v>
      </c>
      <c r="K338" s="2" t="s">
        <v>559</v>
      </c>
      <c r="L338" s="3">
        <v>1</v>
      </c>
      <c r="M338" s="11">
        <v>90000</v>
      </c>
      <c r="N338" s="3">
        <v>0</v>
      </c>
      <c r="O338" s="2" t="s">
        <v>25</v>
      </c>
      <c r="P338" s="2" t="s">
        <v>26</v>
      </c>
      <c r="Q338" s="2" t="s">
        <v>42</v>
      </c>
    </row>
    <row r="339" spans="1:17" x14ac:dyDescent="0.25">
      <c r="A339" s="1">
        <v>46188</v>
      </c>
      <c r="B339" s="1">
        <v>46186</v>
      </c>
      <c r="C339" s="2" t="s">
        <v>736</v>
      </c>
      <c r="D339" s="2" t="s">
        <v>494</v>
      </c>
      <c r="E339" s="2" t="s">
        <v>737</v>
      </c>
      <c r="F339" s="2" t="s">
        <v>20</v>
      </c>
      <c r="G339" s="2" t="s">
        <v>131</v>
      </c>
      <c r="H339" s="2" t="s">
        <v>723</v>
      </c>
      <c r="I339" s="2" t="s">
        <v>724</v>
      </c>
      <c r="J339" s="3">
        <v>2</v>
      </c>
      <c r="K339" s="2" t="s">
        <v>559</v>
      </c>
      <c r="L339" s="3">
        <v>2</v>
      </c>
      <c r="M339" s="11">
        <v>180000</v>
      </c>
      <c r="N339" s="3">
        <v>0</v>
      </c>
      <c r="O339" s="2" t="s">
        <v>25</v>
      </c>
      <c r="P339" s="2" t="s">
        <v>26</v>
      </c>
      <c r="Q339" s="2" t="s">
        <v>42</v>
      </c>
    </row>
    <row r="340" spans="1:17" x14ac:dyDescent="0.25">
      <c r="A340" s="1">
        <v>46188</v>
      </c>
      <c r="B340" s="1">
        <v>46186</v>
      </c>
      <c r="C340" s="2" t="s">
        <v>736</v>
      </c>
      <c r="D340" s="2" t="s">
        <v>494</v>
      </c>
      <c r="E340" s="2" t="s">
        <v>737</v>
      </c>
      <c r="F340" s="2" t="s">
        <v>20</v>
      </c>
      <c r="G340" s="2" t="s">
        <v>131</v>
      </c>
      <c r="H340" s="2" t="s">
        <v>725</v>
      </c>
      <c r="I340" s="2" t="s">
        <v>726</v>
      </c>
      <c r="J340" s="3">
        <v>1</v>
      </c>
      <c r="K340" s="2" t="s">
        <v>559</v>
      </c>
      <c r="L340" s="3">
        <v>1</v>
      </c>
      <c r="M340" s="11">
        <v>89999.99</v>
      </c>
      <c r="N340" s="3">
        <v>0</v>
      </c>
      <c r="O340" s="2" t="s">
        <v>25</v>
      </c>
      <c r="P340" s="2" t="s">
        <v>26</v>
      </c>
      <c r="Q340" s="2" t="s">
        <v>42</v>
      </c>
    </row>
    <row r="341" spans="1:17" x14ac:dyDescent="0.25">
      <c r="A341" s="1">
        <v>46188</v>
      </c>
      <c r="B341" s="1">
        <v>46186</v>
      </c>
      <c r="C341" s="2" t="s">
        <v>740</v>
      </c>
      <c r="D341" s="2" t="s">
        <v>494</v>
      </c>
      <c r="E341" s="2" t="s">
        <v>741</v>
      </c>
      <c r="F341" s="2" t="s">
        <v>20</v>
      </c>
      <c r="G341" s="2" t="s">
        <v>386</v>
      </c>
      <c r="H341" s="2" t="s">
        <v>742</v>
      </c>
      <c r="I341" s="2" t="s">
        <v>743</v>
      </c>
      <c r="J341" s="3">
        <v>15</v>
      </c>
      <c r="K341" s="2" t="s">
        <v>82</v>
      </c>
      <c r="L341" s="3">
        <v>15</v>
      </c>
      <c r="M341" s="11">
        <v>6524999.9699999997</v>
      </c>
      <c r="N341" s="3">
        <v>0</v>
      </c>
      <c r="O341" s="2" t="s">
        <v>25</v>
      </c>
      <c r="P341" s="2" t="s">
        <v>26</v>
      </c>
      <c r="Q341" s="2" t="s">
        <v>744</v>
      </c>
    </row>
    <row r="342" spans="1:17" x14ac:dyDescent="0.25">
      <c r="A342" s="1">
        <v>46188</v>
      </c>
      <c r="B342" s="1">
        <v>46186</v>
      </c>
      <c r="C342" s="2" t="s">
        <v>745</v>
      </c>
      <c r="D342" s="2" t="s">
        <v>494</v>
      </c>
      <c r="E342" s="2" t="s">
        <v>741</v>
      </c>
      <c r="F342" s="2" t="s">
        <v>20</v>
      </c>
      <c r="G342" s="2" t="s">
        <v>386</v>
      </c>
      <c r="H342" s="2" t="s">
        <v>746</v>
      </c>
      <c r="I342" s="2" t="s">
        <v>747</v>
      </c>
      <c r="J342" s="3">
        <v>250</v>
      </c>
      <c r="K342" s="2" t="s">
        <v>51</v>
      </c>
      <c r="L342" s="3">
        <v>250</v>
      </c>
      <c r="M342" s="11">
        <v>19425000</v>
      </c>
      <c r="N342" s="3">
        <v>0</v>
      </c>
      <c r="O342" s="2" t="s">
        <v>25</v>
      </c>
      <c r="P342" s="2" t="s">
        <v>26</v>
      </c>
      <c r="Q342" s="2" t="s">
        <v>748</v>
      </c>
    </row>
    <row r="343" spans="1:17" x14ac:dyDescent="0.25">
      <c r="A343" s="1">
        <v>46188</v>
      </c>
      <c r="B343" s="1">
        <v>46186</v>
      </c>
      <c r="C343" s="2" t="s">
        <v>749</v>
      </c>
      <c r="D343" s="2" t="s">
        <v>494</v>
      </c>
      <c r="E343" s="2" t="s">
        <v>741</v>
      </c>
      <c r="F343" s="2" t="s">
        <v>20</v>
      </c>
      <c r="G343" s="2" t="s">
        <v>386</v>
      </c>
      <c r="H343" s="2" t="s">
        <v>750</v>
      </c>
      <c r="I343" s="2" t="s">
        <v>751</v>
      </c>
      <c r="J343" s="3">
        <v>20</v>
      </c>
      <c r="K343" s="2" t="s">
        <v>82</v>
      </c>
      <c r="L343" s="3">
        <v>20</v>
      </c>
      <c r="M343" s="11">
        <v>5200000</v>
      </c>
      <c r="N343" s="3">
        <v>0</v>
      </c>
      <c r="O343" s="2" t="s">
        <v>25</v>
      </c>
      <c r="P343" s="2" t="s">
        <v>26</v>
      </c>
      <c r="Q343" s="2" t="s">
        <v>752</v>
      </c>
    </row>
    <row r="344" spans="1:17" x14ac:dyDescent="0.25">
      <c r="A344" s="1">
        <v>46188</v>
      </c>
      <c r="B344" s="1">
        <v>46186</v>
      </c>
      <c r="C344" s="2" t="s">
        <v>753</v>
      </c>
      <c r="D344" s="2" t="s">
        <v>494</v>
      </c>
      <c r="E344" s="2" t="s">
        <v>536</v>
      </c>
      <c r="F344" s="2" t="s">
        <v>20</v>
      </c>
      <c r="G344" s="2" t="s">
        <v>47</v>
      </c>
      <c r="H344" s="2" t="s">
        <v>537</v>
      </c>
      <c r="I344" s="2" t="s">
        <v>538</v>
      </c>
      <c r="J344" s="3">
        <v>30</v>
      </c>
      <c r="K344" s="2" t="s">
        <v>539</v>
      </c>
      <c r="L344" s="3">
        <v>30</v>
      </c>
      <c r="M344" s="11">
        <v>1649999.98</v>
      </c>
      <c r="N344" s="3">
        <v>0</v>
      </c>
      <c r="O344" s="2" t="s">
        <v>25</v>
      </c>
      <c r="P344" s="2" t="s">
        <v>26</v>
      </c>
      <c r="Q344" s="2" t="s">
        <v>42</v>
      </c>
    </row>
    <row r="345" spans="1:17" x14ac:dyDescent="0.25">
      <c r="A345" s="1">
        <v>46188</v>
      </c>
      <c r="B345" s="1">
        <v>46186</v>
      </c>
      <c r="C345" s="2" t="s">
        <v>754</v>
      </c>
      <c r="D345" s="2" t="s">
        <v>494</v>
      </c>
      <c r="E345" s="2" t="s">
        <v>359</v>
      </c>
      <c r="F345" s="2" t="s">
        <v>20</v>
      </c>
      <c r="G345" s="2" t="s">
        <v>131</v>
      </c>
      <c r="H345" s="2" t="s">
        <v>627</v>
      </c>
      <c r="I345" s="2" t="s">
        <v>628</v>
      </c>
      <c r="J345" s="3">
        <v>12</v>
      </c>
      <c r="K345" s="2" t="s">
        <v>539</v>
      </c>
      <c r="L345" s="3">
        <v>12</v>
      </c>
      <c r="M345" s="11">
        <v>772560</v>
      </c>
      <c r="N345" s="3">
        <v>0</v>
      </c>
      <c r="O345" s="2" t="s">
        <v>25</v>
      </c>
      <c r="P345" s="2" t="s">
        <v>26</v>
      </c>
      <c r="Q345" s="2" t="s">
        <v>755</v>
      </c>
    </row>
    <row r="346" spans="1:17" x14ac:dyDescent="0.25">
      <c r="M346" s="12">
        <f>SUM(M2:M345)</f>
        <v>714695660.35000038</v>
      </c>
    </row>
  </sheetData>
  <autoFilter ref="A1:Q346" xr:uid="{00000000-0009-0000-0000-000000000000}"/>
  <pageMargins left="0.7" right="0.7" top="0.75" bottom="0.75" header="0.3" footer="0.3"/>
  <ignoredErrors>
    <ignoredError sqref="A1:Q7 A203:Q206 A173:Q189 A172:Q172 A161:Q171 A146:Q148 A96:Q111 A27:Q38 A8:Q26 A217:Q222 A215:Q216 A214:Q214 A207:Q213 A197:Q202 A194:Q196 A190:Q193 A160:Q160 A155:Q159 A149:Q154 A138:Q145 A133:Q137 A130:Q132 A129:Q129 A120:Q128 A115:Q119 A112:Q114 A93:Q95 A78:Q92 A75:Q77 A60:Q74 A59:Q59 A56:Q58 A53:Q55 A51:Q52 A46:Q50 A44:Q45 A40:Q43 A39:Q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2026-06-15T00:01:48Z</dcterms:created>
  <dcterms:modified xsi:type="dcterms:W3CDTF">2026-06-15T00:40:31Z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