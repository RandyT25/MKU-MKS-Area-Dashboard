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1293C2E0-207F-4E61-88E4-8F54EB8B4B2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Sheet!$A$1:$Q$139</definedName>
  </definedNames>
  <calcPr calcId="181029"/>
  <pivotCaches>
    <pivotCache cacheId="6" r:id="rId3"/>
  </pivotCaches>
</workbook>
</file>

<file path=xl/calcChain.xml><?xml version="1.0" encoding="utf-8"?>
<calcChain xmlns="http://schemas.openxmlformats.org/spreadsheetml/2006/main">
  <c r="M219" i="1" l="1"/>
</calcChain>
</file>

<file path=xl/sharedStrings.xml><?xml version="1.0" encoding="utf-8"?>
<sst xmlns="http://schemas.openxmlformats.org/spreadsheetml/2006/main" count="2536" uniqueCount="573">
  <si>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</si>
  <si>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</si>
  <si>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</si>
  <si>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</si>
  <si>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</si>
  <si>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</si>
  <si>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</si>
  <si>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</si>
  <si>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</si>
  <si>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</si>
  <si>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</si>
  <si>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</si>
  <si>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</si>
  <si>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</si>
  <si>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</si>
  <si>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</si>
  <si>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</si>
  <si>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SO-KS/2608/070001</t>
  </si>
  <si>
    <t>MKS Bali</t>
  </si>
  <si>
    <t>LA TAHONA BAKERY</t>
  </si>
  <si>
    <t>Credit</t>
  </si>
  <si>
    <t>Taufik</t>
  </si>
  <si>
    <t>SFM007</t>
  </si>
  <si>
    <t>Tepung Double Zero @25Kg/Sack</t>
  </si>
  <si>
    <t>SACK</t>
  </si>
  <si>
    <t>Invoice</t>
  </si>
  <si>
    <t>Sudah Jadi FJ</t>
  </si>
  <si>
    <t>Kirim Sabtu , 8 Agustus 2026 sebelum jam 1 siang</t>
  </si>
  <si>
    <t>Vacant Hotel Kuta Seminyak</t>
  </si>
  <si>
    <t/>
  </si>
  <si>
    <t>SO-KS/2608/070003</t>
  </si>
  <si>
    <t>BO DAN BUN RESTAURANT</t>
  </si>
  <si>
    <t>Sujana</t>
  </si>
  <si>
    <t>SO-KS/2608/070004</t>
  </si>
  <si>
    <t>TOKO SRIASIH</t>
  </si>
  <si>
    <t>Cash</t>
  </si>
  <si>
    <t>Ni Ketut Sriasih (GT)</t>
  </si>
  <si>
    <t>120015</t>
  </si>
  <si>
    <t>Tepung Japanese Tempura 1kg/pack</t>
  </si>
  <si>
    <t>KG</t>
  </si>
  <si>
    <t>SO-KS/2608/070005</t>
  </si>
  <si>
    <t>LACASETTA RESTAURANT</t>
  </si>
  <si>
    <t>Dewi Kristiani</t>
  </si>
  <si>
    <t>SFM009</t>
  </si>
  <si>
    <t>Tepung Hime @25Kg/Sack</t>
  </si>
  <si>
    <t>SFM053</t>
  </si>
  <si>
    <t>Inofa Heat Treated Wheat Flour SF 346 @1kg/pack</t>
  </si>
  <si>
    <t>SO-KS/2608/070006</t>
  </si>
  <si>
    <t>FUCINA ITALIA</t>
  </si>
  <si>
    <t>PSJ0228</t>
  </si>
  <si>
    <t>Premium Minced Beef (2.5kg/pack)</t>
  </si>
  <si>
    <t>SO-KS/2608/070007</t>
  </si>
  <si>
    <t>TOKO SUTARMI</t>
  </si>
  <si>
    <t>120010</t>
  </si>
  <si>
    <t>Tepung Easymix Pancake @1kg/pack</t>
  </si>
  <si>
    <t>SO-KS/2608/070008</t>
  </si>
  <si>
    <t>SAKARA COFFEE</t>
  </si>
  <si>
    <t>I MADE LUIH</t>
  </si>
  <si>
    <t>PLN0005</t>
  </si>
  <si>
    <t>RICH CRÈME ND 08 1000G POUCH</t>
  </si>
  <si>
    <t>POU</t>
  </si>
  <si>
    <t>Juni</t>
  </si>
  <si>
    <t>SO-KS/2608/070016</t>
  </si>
  <si>
    <t>TOKO GADING</t>
  </si>
  <si>
    <t>SFM052</t>
  </si>
  <si>
    <t>Inofa Heat Treated Wheat Flour SF 346 @25kg/sack</t>
  </si>
  <si>
    <t>SO-KS/2608/070018</t>
  </si>
  <si>
    <t>WOODS</t>
  </si>
  <si>
    <t>SO-KS/2608/070024</t>
  </si>
  <si>
    <t>RAJAKLANA</t>
  </si>
  <si>
    <t>SFM018</t>
  </si>
  <si>
    <t>Tepung Ninja @25Kg/Sack</t>
  </si>
  <si>
    <t>SO-KS/2608/070025</t>
  </si>
  <si>
    <t>ZIA TINA BALI</t>
  </si>
  <si>
    <t>SO-KS/2608/070027</t>
  </si>
  <si>
    <t>CHANDI</t>
  </si>
  <si>
    <t>PSJ0046</t>
  </si>
  <si>
    <t>Allana Tenderloin Whole</t>
  </si>
  <si>
    <t>2 LOAF</t>
  </si>
  <si>
    <t>SO-KS/2608/070028</t>
  </si>
  <si>
    <t>BIKU RESTAURANT</t>
  </si>
  <si>
    <t>5 loaf</t>
  </si>
  <si>
    <t>PT. NYIUR MELAMBAI LAMBAI</t>
  </si>
  <si>
    <t>SO-KS/2608/070030</t>
  </si>
  <si>
    <t>YAMMA YAA LEGIAN</t>
  </si>
  <si>
    <t>1 BOX</t>
  </si>
  <si>
    <t>SO-KS/2608/070031</t>
  </si>
  <si>
    <t>TAVERNA TOSCANA</t>
  </si>
  <si>
    <t>SO-KS/2608/070032</t>
  </si>
  <si>
    <t>BAGEL TO GO</t>
  </si>
  <si>
    <t>I Made Luih (Sanur)</t>
  </si>
  <si>
    <t>SO-KS/2608/070033</t>
  </si>
  <si>
    <t>PIPI BAKERY</t>
  </si>
  <si>
    <t>PSF0014</t>
  </si>
  <si>
    <t>Tepung 00 Fusion @25Kg</t>
  </si>
  <si>
    <t>120018</t>
  </si>
  <si>
    <t>Tepung Ninja 1kg/pack</t>
  </si>
  <si>
    <t>SO-KS/2608/070034</t>
  </si>
  <si>
    <t>LE CROISSANT</t>
  </si>
  <si>
    <t>SO-KS/2608/070035</t>
  </si>
  <si>
    <t>SO-KS/2608/070036</t>
  </si>
  <si>
    <t>CENTRAL KITCHEN BALI</t>
  </si>
  <si>
    <t>PSJ0371</t>
  </si>
  <si>
    <t>ECT Tenderloin Import</t>
  </si>
  <si>
    <t>10 loaf</t>
  </si>
  <si>
    <t>SO-KS/2608/070037</t>
  </si>
  <si>
    <t>THE BLUE DOOR</t>
  </si>
  <si>
    <t>Picrom Stalyon</t>
  </si>
  <si>
    <t>SO-KS/2608/070038</t>
  </si>
  <si>
    <t>UNO RESTAURANT NUSA DUA</t>
  </si>
  <si>
    <t>SO-KS/2608/070039</t>
  </si>
  <si>
    <t>TUNAS HARAPAN SUPPLIER</t>
  </si>
  <si>
    <t>SO-KS/2608/070040</t>
  </si>
  <si>
    <t>BALKAN SHAWARMA UNGASAN</t>
  </si>
  <si>
    <t>SO-KS/2608/070042</t>
  </si>
  <si>
    <t>CENTRAL FOOD VILLAGE (BALI ZOO)</t>
  </si>
  <si>
    <t>NP1</t>
  </si>
  <si>
    <t>260004</t>
  </si>
  <si>
    <t>NESTLE Docello Dessert Base @1Kg/Pack</t>
  </si>
  <si>
    <t>PACK</t>
  </si>
  <si>
    <t>SO-KS/2608/070043</t>
  </si>
  <si>
    <t>BALI UNITED CAFE</t>
  </si>
  <si>
    <t>060013</t>
  </si>
  <si>
    <t>Nestea Lemon Tea 1kg/Pack</t>
  </si>
  <si>
    <t>Dikirim sesuai jadwal</t>
  </si>
  <si>
    <t>SO-KS/2608/070044</t>
  </si>
  <si>
    <t>IMADJI DEWI SRI</t>
  </si>
  <si>
    <t>PNS0005</t>
  </si>
  <si>
    <t>Nestle Milo Npro 1.5Kg</t>
  </si>
  <si>
    <t>SO-KS/2608/070045</t>
  </si>
  <si>
    <t>LALAPAN CAK JUL RENON</t>
  </si>
  <si>
    <t>NP3</t>
  </si>
  <si>
    <t>300099</t>
  </si>
  <si>
    <t>Magic Lezat @1kg/pack</t>
  </si>
  <si>
    <t>SO-KS/2608/070046</t>
  </si>
  <si>
    <t>NAUGHTY NURIS SEMINYAK</t>
  </si>
  <si>
    <t>300096</t>
  </si>
  <si>
    <t>MAGGI Chicken Powder @1kg/Pack</t>
  </si>
  <si>
    <t>PENERIMAAN BARANG DARI JAM 09.00-13.00</t>
  </si>
  <si>
    <t>SO-KS/2608/070047</t>
  </si>
  <si>
    <t>BU CANDRA</t>
  </si>
  <si>
    <t>NP2</t>
  </si>
  <si>
    <t>SO-KS/2608/070048</t>
  </si>
  <si>
    <t>THE GARCIA UBUD</t>
  </si>
  <si>
    <t>SO-KS/2608/070051</t>
  </si>
  <si>
    <t>PT. FASTFOOD INDONESIA ( KFC JIMBARAN )</t>
  </si>
  <si>
    <t>NP4</t>
  </si>
  <si>
    <t>080124</t>
  </si>
  <si>
    <t>NESTLE MILO -E Uht Cmbk 110 Ml</t>
  </si>
  <si>
    <t>PCS</t>
  </si>
  <si>
    <t>SO-KS/2608/070053</t>
  </si>
  <si>
    <t>ZANZIBAR REST</t>
  </si>
  <si>
    <t>SO-KS/2608/070055</t>
  </si>
  <si>
    <t>TOKO KOPI ABADI</t>
  </si>
  <si>
    <t>SO-KS/2608/070056</t>
  </si>
  <si>
    <t>REVOLVER OBEROI</t>
  </si>
  <si>
    <t>080239</t>
  </si>
  <si>
    <t>THE ALTERNATIVE Barista Soy Milk 1 Lt</t>
  </si>
  <si>
    <t>080241</t>
  </si>
  <si>
    <t>THE ALTERNATIVE Barista Almond Milk 1 Lt</t>
  </si>
  <si>
    <t>SO-KS/2608/070058</t>
  </si>
  <si>
    <t>REVOLVER CANGGU</t>
  </si>
  <si>
    <t>SO-KS/2608/070061</t>
  </si>
  <si>
    <t>REVOLVER UMALAS</t>
  </si>
  <si>
    <t>SO-KS/2608/070062</t>
  </si>
  <si>
    <t>SO-KS/2608/070064</t>
  </si>
  <si>
    <t>13.COFFEE</t>
  </si>
  <si>
    <t>SO-KS/2608/070067</t>
  </si>
  <si>
    <t>SUMAK TURKISH CUISINE</t>
  </si>
  <si>
    <t>SO-KS/2608/070068</t>
  </si>
  <si>
    <t>PT. SUMBER AGRI SEHAT</t>
  </si>
  <si>
    <t>Ni Ketut Sriasih (MT)</t>
  </si>
  <si>
    <t>PSF0022</t>
  </si>
  <si>
    <t>Tepung Yokozuna Fusion 1Kg</t>
  </si>
  <si>
    <t>SO-KS/2608/070071</t>
  </si>
  <si>
    <t>ZERO 4 KARAOKE</t>
  </si>
  <si>
    <t>PPA0092</t>
  </si>
  <si>
    <t>Emborg Pizza Topping 2.3 Kg</t>
  </si>
  <si>
    <t xml:space="preserve"> 6 loaf (pack) / 13,8kg</t>
  </si>
  <si>
    <t>SO-KS/2608/070072</t>
  </si>
  <si>
    <t>OMDC KIDZ DENTAL BALI</t>
  </si>
  <si>
    <t>020020</t>
  </si>
  <si>
    <t>NESTLE Milo Activ-Go NPro 960Gr/Pack</t>
  </si>
  <si>
    <t>060004</t>
  </si>
  <si>
    <t>Nescafe Cappuccino Caramel Era 500gr/Pack</t>
  </si>
  <si>
    <t>SO-KS/2608/070074</t>
  </si>
  <si>
    <t>BJ'S BAR AND GRILL</t>
  </si>
  <si>
    <t>2 blok</t>
  </si>
  <si>
    <t>PSJ0275</t>
  </si>
  <si>
    <t>Pickled Gherkins (2kg/pack)</t>
  </si>
  <si>
    <t>SO-KS/2608/070075</t>
  </si>
  <si>
    <t>PT. SSP TAURUS GEMILANG INDONESIA</t>
  </si>
  <si>
    <t>Eka</t>
  </si>
  <si>
    <t xml:space="preserve"> INTER</t>
  </si>
  <si>
    <t>SO-KS/2608/070076</t>
  </si>
  <si>
    <t xml:space="preserve"> INTERNASIONAL_x000D_
</t>
  </si>
  <si>
    <t>SO-KS/2608/070077</t>
  </si>
  <si>
    <t>INTERNASIONAL</t>
  </si>
  <si>
    <t>SO-KS/2608/070078</t>
  </si>
  <si>
    <t>FINNS BEACH CLUB</t>
  </si>
  <si>
    <t>kitchen vip</t>
  </si>
  <si>
    <t>SO-KS/2608/070079</t>
  </si>
  <si>
    <t>DOMESTIK</t>
  </si>
  <si>
    <t>SO-KS/2608/070081</t>
  </si>
  <si>
    <t>BARO BAKERY PERERENAN</t>
  </si>
  <si>
    <t>PPK0010</t>
  </si>
  <si>
    <t>Block Red Cheddar Mix Cheese 5x2kg</t>
  </si>
  <si>
    <t>1 blok</t>
  </si>
  <si>
    <t>SO-KS/2608/070082</t>
  </si>
  <si>
    <t xml:space="preserve">INTERNASIONAL_x000D_
</t>
  </si>
  <si>
    <t>SO-KS/2608/070083</t>
  </si>
  <si>
    <t>PLANT BISTRO</t>
  </si>
  <si>
    <t>SO-KS/2608/070086</t>
  </si>
  <si>
    <t>kitchen asian</t>
  </si>
  <si>
    <t>Monica</t>
  </si>
  <si>
    <t>PPA0142</t>
  </si>
  <si>
    <t>EMBORG Brie Cheese 125 Gr</t>
  </si>
  <si>
    <t>SO-KS/2608/070090</t>
  </si>
  <si>
    <t xml:space="preserve"> kitchen fbc</t>
  </si>
  <si>
    <t>SO-KS/2608/070092</t>
  </si>
  <si>
    <t>PAPA LEE'S TAIWAN DUMPLINGS</t>
  </si>
  <si>
    <t>jangan yg alamat seminyak depan ryoshi</t>
  </si>
  <si>
    <t>SO-KS/2608/070093</t>
  </si>
  <si>
    <t>TABU ULUWATU</t>
  </si>
  <si>
    <t>SO-KS/2608/070095</t>
  </si>
  <si>
    <t>AUTOGRILL</t>
  </si>
  <si>
    <t>SO-KS/2608/070096</t>
  </si>
  <si>
    <t>PIE SUSU AJIK</t>
  </si>
  <si>
    <t>FIB</t>
  </si>
  <si>
    <t xml:space="preserve"> Kirim ke Pabrik Baru Tuban</t>
  </si>
  <si>
    <t>SO-KS/2608/070097</t>
  </si>
  <si>
    <t>MAMAKA</t>
  </si>
  <si>
    <t>SO-KS/2608/070098</t>
  </si>
  <si>
    <t>AD SUPPLIER</t>
  </si>
  <si>
    <t>Wira</t>
  </si>
  <si>
    <t>SO-KS/2608/070101</t>
  </si>
  <si>
    <t>PSJ0127</t>
  </si>
  <si>
    <t>Amron Striploin Whole</t>
  </si>
  <si>
    <t>SO-KS/2608/070102</t>
  </si>
  <si>
    <t>FOLD CANGGU</t>
  </si>
  <si>
    <t>SO-KS/2608/070104</t>
  </si>
  <si>
    <t>SENDOK WARUNG</t>
  </si>
  <si>
    <t>SO-KS/2608/070105</t>
  </si>
  <si>
    <t>PISON BALI</t>
  </si>
  <si>
    <t>120009</t>
  </si>
  <si>
    <t>Tepung Easymix Fish n Chips 1kg/pack</t>
  </si>
  <si>
    <t xml:space="preserve"> kirim ke jlan gunung batukaru no. 70 (samping apotek kimia farma)
</t>
  </si>
  <si>
    <t>SO-KS/2608/070106</t>
  </si>
  <si>
    <t>PT. SARI BURGER INDONESIA</t>
  </si>
  <si>
    <t>SO-KS/2608/070107</t>
  </si>
  <si>
    <t>sesetan</t>
  </si>
  <si>
    <t>SO-KS/2608/070108</t>
  </si>
  <si>
    <t>SIKI RESTAURANT</t>
  </si>
  <si>
    <t>SO-KS/2608/070110</t>
  </si>
  <si>
    <t>BAMBU BALI ULUWATU</t>
  </si>
  <si>
    <t>PSJ0007</t>
  </si>
  <si>
    <t>Friboi Brazil Tenderloin Whole</t>
  </si>
  <si>
    <t>cafe</t>
  </si>
  <si>
    <t>SO-KS/2608/070111</t>
  </si>
  <si>
    <t>BALI CATERING COMPANY</t>
  </si>
  <si>
    <t>PSJ0024</t>
  </si>
  <si>
    <t>Halal Minced Beef 1Kg/Pack</t>
  </si>
  <si>
    <t>SO-KS/2608/070112</t>
  </si>
  <si>
    <t xml:space="preserve"> oasis</t>
  </si>
  <si>
    <t>SO-KS/2608/070113</t>
  </si>
  <si>
    <t>SECANA BEACH TOWN</t>
  </si>
  <si>
    <t>SO-KS/2608/070114</t>
  </si>
  <si>
    <t>BOTTEGA ITALIANA BERAWA</t>
  </si>
  <si>
    <t>kirim ke  jalan tegal cupek II no 15</t>
  </si>
  <si>
    <t>SO-KS/2608/070115</t>
  </si>
  <si>
    <t>PT SNAK SNAKS INDONESIA (BALI ZOO)</t>
  </si>
  <si>
    <t>080240</t>
  </si>
  <si>
    <t>THE ALTERNATIVE Barista Oat Milk 1 Lt</t>
  </si>
  <si>
    <t>SO-KS/2608/070117</t>
  </si>
  <si>
    <t>NOURISH UNGASAN</t>
  </si>
  <si>
    <t>SO-KS/2608/070118</t>
  </si>
  <si>
    <t>PAN0004</t>
  </si>
  <si>
    <t>DP Mozzarella 2.5Kg</t>
  </si>
  <si>
    <t>SO-KS/2608/070119</t>
  </si>
  <si>
    <t>NOURISH CAFE</t>
  </si>
  <si>
    <t>SO-KS/2608/070120</t>
  </si>
  <si>
    <t>M&amp;M CATERING</t>
  </si>
  <si>
    <t>SO-KS/2608/070123</t>
  </si>
  <si>
    <t xml:space="preserve"> langsung di kirim ke outlet yg di berawa</t>
  </si>
  <si>
    <t>SO-KS/2608/070124</t>
  </si>
  <si>
    <t>MERUSAKA NUSA DUA</t>
  </si>
  <si>
    <t>PLN0002</t>
  </si>
  <si>
    <t>RICH CREME WHIPING CREAM 800G POUCH</t>
  </si>
  <si>
    <t>SO-KS/2608/070125</t>
  </si>
  <si>
    <t>SO-KS/2608/070127</t>
  </si>
  <si>
    <t>BALI MANDIRA</t>
  </si>
  <si>
    <t>SO-KS/2608/070128</t>
  </si>
  <si>
    <t>CV. KASIH HOKI</t>
  </si>
  <si>
    <t>PSF0018</t>
  </si>
  <si>
    <t>Tepung Hime Fusion 1Kg</t>
  </si>
  <si>
    <t>PSF0024</t>
  </si>
  <si>
    <t>Tepung Ninja Fusion Pao 5Kg</t>
  </si>
  <si>
    <t>BAG</t>
  </si>
  <si>
    <t>SO-KS/2608/070129</t>
  </si>
  <si>
    <t>SAYAN POINT</t>
  </si>
  <si>
    <t>PSJ0187</t>
  </si>
  <si>
    <t>Borello Topside</t>
  </si>
  <si>
    <t>SO-KS/2608/070131</t>
  </si>
  <si>
    <t>PENINSULA BEACH RESORT</t>
  </si>
  <si>
    <t>SO-KS/2608/070132</t>
  </si>
  <si>
    <t>AUTO 2000 SANUR</t>
  </si>
  <si>
    <t>SO-KS/2608/070133</t>
  </si>
  <si>
    <t>BAKMI DEMPO 91</t>
  </si>
  <si>
    <t>SO-KS/2608/070134</t>
  </si>
  <si>
    <t>KAIZEN</t>
  </si>
  <si>
    <t>060007</t>
  </si>
  <si>
    <t>Nescafe Classic Vending 120gr/Pack</t>
  </si>
  <si>
    <t>MAMAS GERMAN REST.</t>
  </si>
  <si>
    <t>Management Bali</t>
  </si>
  <si>
    <t>SO-KS/2608/070140</t>
  </si>
  <si>
    <t>SO-KS/2608/070146</t>
  </si>
  <si>
    <t>DAS BISTRO</t>
  </si>
  <si>
    <t>PSJ0203</t>
  </si>
  <si>
    <t>Borello Rump</t>
  </si>
  <si>
    <t>SO-KS/2608/070148</t>
  </si>
  <si>
    <t>KOMANEKA AT KERAMAS BEACH</t>
  </si>
  <si>
    <t>SO-KS/2608/070149</t>
  </si>
  <si>
    <t>STOK DAPUR</t>
  </si>
  <si>
    <t>2 Loaf</t>
  </si>
  <si>
    <t>PPA0224</t>
  </si>
  <si>
    <t>EMBORG Butter Salted 200 Gr</t>
  </si>
  <si>
    <t>PPA0225</t>
  </si>
  <si>
    <t>EMBORG Butter Unsalted 200 Gr</t>
  </si>
  <si>
    <t>SO-KS/2608/070150</t>
  </si>
  <si>
    <t>THE JUNCTION</t>
  </si>
  <si>
    <t>PAN0024</t>
  </si>
  <si>
    <t>NZMP Mozarella</t>
  </si>
  <si>
    <t>1 loaf</t>
  </si>
  <si>
    <t>SO-KS/2608/070151</t>
  </si>
  <si>
    <t>Damaria</t>
  </si>
  <si>
    <t>SO-KS/2608/070152</t>
  </si>
  <si>
    <t>SO-KS/2608/070153</t>
  </si>
  <si>
    <t>APPITITO PIZZA AND PASTA</t>
  </si>
  <si>
    <t>SO-KS/2608/070154</t>
  </si>
  <si>
    <t>DAENG BURGER UMALAS</t>
  </si>
  <si>
    <t>SO-KS/2608/070155</t>
  </si>
  <si>
    <t>THE MERU BALI</t>
  </si>
  <si>
    <t>SO-KS/2608/070161</t>
  </si>
  <si>
    <t>ART CAFE BUMBU BALI</t>
  </si>
  <si>
    <t>PSJ0011</t>
  </si>
  <si>
    <t>Chuck Tenderloin Whole</t>
  </si>
  <si>
    <t>SO-KS/2608/070164</t>
  </si>
  <si>
    <t>HILTON HOTEL</t>
  </si>
  <si>
    <t>SO-KS/2608/070166</t>
  </si>
  <si>
    <t>THE DUKE</t>
  </si>
  <si>
    <t>SO-KS/2608/070171</t>
  </si>
  <si>
    <t>MAYA UBUD</t>
  </si>
  <si>
    <t>SO-KS/2608/070172</t>
  </si>
  <si>
    <t>TEJAPRANA  RESORT UBUD</t>
  </si>
  <si>
    <t>SO-KS/2608/070175</t>
  </si>
  <si>
    <t>UD RESTU ILAHI</t>
  </si>
  <si>
    <t>POT1009</t>
  </si>
  <si>
    <t>IKPS Dried Shiitake Mushroom 3 Kg/Bag</t>
  </si>
  <si>
    <t>SO-KS/2608/070177</t>
  </si>
  <si>
    <t>CV. FENNY BERSAMA</t>
  </si>
  <si>
    <t>060015</t>
  </si>
  <si>
    <t>Nestea Lychee Tea Npro 560gr/Pack</t>
  </si>
  <si>
    <t>SO-KS/2608/070178</t>
  </si>
  <si>
    <t>INTERCONTINENTAL BALI RESORT</t>
  </si>
  <si>
    <t>Taman Gita</t>
  </si>
  <si>
    <t>SO-KS/2608/070179</t>
  </si>
  <si>
    <t>CORNER HOUSE</t>
  </si>
  <si>
    <t>POT0782</t>
  </si>
  <si>
    <t>Mee Chun Sesame Sauce 2000 Gr</t>
  </si>
  <si>
    <t>CAN</t>
  </si>
  <si>
    <t>po kufu pao</t>
  </si>
  <si>
    <t>VOUK HOTEL</t>
  </si>
  <si>
    <t>PSJ0175</t>
  </si>
  <si>
    <t>Black Gold Topside</t>
  </si>
  <si>
    <t>SO-KS/2608/070187</t>
  </si>
  <si>
    <t>SO-KS/2608/070188</t>
  </si>
  <si>
    <t>FRANKIES BAR AND GRILL</t>
  </si>
  <si>
    <t>3 loaf</t>
  </si>
  <si>
    <t>SO-KS/2608/070189</t>
  </si>
  <si>
    <t>SO-KS/2608/070190</t>
  </si>
  <si>
    <t>tambahan</t>
  </si>
  <si>
    <t>SO-KS/2608/070192</t>
  </si>
  <si>
    <t>CV. JASMINE EKA JAYA</t>
  </si>
  <si>
    <t xml:space="preserve">16 lup tanpa pekingan.Di kirim jalan kargo expedisi acl 
</t>
  </si>
  <si>
    <t>SO-KU/2608/070001</t>
  </si>
  <si>
    <t>MKU Bali</t>
  </si>
  <si>
    <t>MB FROZEN FOOD</t>
  </si>
  <si>
    <t>PSJ0019</t>
  </si>
  <si>
    <t>Pork B Sliced (1kg/pack)</t>
  </si>
  <si>
    <t>SO-KU/2608/070004</t>
  </si>
  <si>
    <t>POT0046</t>
  </si>
  <si>
    <t>Australian Butter Unsalted</t>
  </si>
  <si>
    <t>SO-KU/2608/070005</t>
  </si>
  <si>
    <t>PIZZERIA ITALIA LABUAN SAIT</t>
  </si>
  <si>
    <t>POT0120</t>
  </si>
  <si>
    <t>Bottegaio Umbro Olio Evo Cucina 5Lt</t>
  </si>
  <si>
    <t>GLN</t>
  </si>
  <si>
    <t>SO-KU/2608/070007</t>
  </si>
  <si>
    <t>KEDAI KOPI KOKO</t>
  </si>
  <si>
    <t>PMS0026</t>
  </si>
  <si>
    <t>Masterista Dark Chocolate 800Gr</t>
  </si>
  <si>
    <t>SO-KU/2608/070008</t>
  </si>
  <si>
    <t>ZEEN COFFEE</t>
  </si>
  <si>
    <t>PMS0037</t>
  </si>
  <si>
    <t>Flavorista Red Velvet (1000Gr/Pack)</t>
  </si>
  <si>
    <t>SO-KU/2608/070010</t>
  </si>
  <si>
    <t>BAKERY PETIT PARIS (PT. CIPTA RASA MULTINDO)</t>
  </si>
  <si>
    <t>PAA0001</t>
  </si>
  <si>
    <t>Bergold Mozzarella Block</t>
  </si>
  <si>
    <t>SO-KU/2608/070011</t>
  </si>
  <si>
    <t>BALI CIAMIK SORO</t>
  </si>
  <si>
    <t>CKP1S-164</t>
  </si>
  <si>
    <t>Daebak Soju Lychee @360ml/btl</t>
  </si>
  <si>
    <t>BTL</t>
  </si>
  <si>
    <t>CKP1S-160</t>
  </si>
  <si>
    <t>Daebak Soju Mango @360ml/btl</t>
  </si>
  <si>
    <t>PJS0004</t>
  </si>
  <si>
    <t>Daebak Soju Strawberry @360ml/btl</t>
  </si>
  <si>
    <t>SO-KU/2608/070012</t>
  </si>
  <si>
    <t>GRAND MERCURE SEMINYAK</t>
  </si>
  <si>
    <t>Vacant Hotel Seminyak Kuta</t>
  </si>
  <si>
    <t>POT0038</t>
  </si>
  <si>
    <t>Premium Straight Cut 2Kg</t>
  </si>
  <si>
    <t>SO-KU/2608/070016</t>
  </si>
  <si>
    <t>LIMA BAY RESTAURANT</t>
  </si>
  <si>
    <t>PMS0178</t>
  </si>
  <si>
    <t>Masterista Ceremonial Pure Matcha Powder 500 Gr</t>
  </si>
  <si>
    <t>SO-KU/2608/070017</t>
  </si>
  <si>
    <t>IBU SUSU UBUD</t>
  </si>
  <si>
    <t>PMS0036</t>
  </si>
  <si>
    <t>Artisan Pure Matcha (500Gr/Pack)</t>
  </si>
  <si>
    <t>SO-KU/2608/070018</t>
  </si>
  <si>
    <t>HIDE AWAY BEANS &amp; BOOZE</t>
  </si>
  <si>
    <t>SO-KU/2608/070019</t>
  </si>
  <si>
    <t>ITANA COFFEE AND EATERY</t>
  </si>
  <si>
    <t>PMS0033</t>
  </si>
  <si>
    <t>Masterista Ice Shaken Lemon Tea 1000Gr</t>
  </si>
  <si>
    <t>PMS0034</t>
  </si>
  <si>
    <t>Masterista Ice Shaken Lychee Tea 1000Gr</t>
  </si>
  <si>
    <t>SO-KU/2608/070020</t>
  </si>
  <si>
    <t>SO-KU/2608/070025</t>
  </si>
  <si>
    <t>COPENHAGEN CAFE BERAWA</t>
  </si>
  <si>
    <t>PEA0005</t>
  </si>
  <si>
    <t>Gold Box Melange Butter MP331 5 Kg</t>
  </si>
  <si>
    <t>SO-KU/2608/070026</t>
  </si>
  <si>
    <t>PEA0010</t>
  </si>
  <si>
    <t>Gold Box Extra Butter MP341 1 Kg</t>
  </si>
  <si>
    <t xml:space="preserve"> INTERNASIONAL</t>
  </si>
  <si>
    <t>SO-KU/2608/070027</t>
  </si>
  <si>
    <t xml:space="preserve"> DOMESTIK</t>
  </si>
  <si>
    <t>SO-KU/2608/070028</t>
  </si>
  <si>
    <t>ASS-CH-TB50</t>
  </si>
  <si>
    <t>Chamomile Dream @50Tb/Box</t>
  </si>
  <si>
    <t>BOX</t>
  </si>
  <si>
    <t>ASS-PGT</t>
  </si>
  <si>
    <t>Pure Green Tea @50TB/Box</t>
  </si>
  <si>
    <t>SO-KU/2608/070029</t>
  </si>
  <si>
    <t>SO-KU/2608/070031</t>
  </si>
  <si>
    <t>POS0024</t>
  </si>
  <si>
    <t>O Sole Pomodori Pelati Peeled Tomatoes 2.5Kg</t>
  </si>
  <si>
    <t>SO-KU/2608/070032</t>
  </si>
  <si>
    <t>MRD1318A</t>
  </si>
  <si>
    <t>MAMAS BELLY RIND ON SB OUT (SKIN ON) 3-5KG/PACK</t>
  </si>
  <si>
    <t>150226</t>
  </si>
  <si>
    <t>Belly Skinless Premium (2.5Kg/Pack)</t>
  </si>
  <si>
    <t>SO-KU/2608/070033</t>
  </si>
  <si>
    <t>S.O FROZEN</t>
  </si>
  <si>
    <t>SO-KU/2608/070034</t>
  </si>
  <si>
    <t>THE LAGUNA</t>
  </si>
  <si>
    <t>SO-KU/2608/070036</t>
  </si>
  <si>
    <t>DAPUR SEMBILAN FROZEN FOOD</t>
  </si>
  <si>
    <t>PSJ0020</t>
  </si>
  <si>
    <t>Off Cut 500 Gr</t>
  </si>
  <si>
    <t>SO-KU/2608/070037</t>
  </si>
  <si>
    <t>PENINSULA BAY RESORT</t>
  </si>
  <si>
    <t>PIF0012</t>
  </si>
  <si>
    <t>Pristine Classic Cooking Cream 1 Lt</t>
  </si>
  <si>
    <t>LTR</t>
  </si>
  <si>
    <t>SO-KU/2608/070038</t>
  </si>
  <si>
    <t>SO-KU/2608/070039</t>
  </si>
  <si>
    <t>ROYAL TULIP SPRINGHILL RESORT JIMBARAN</t>
  </si>
  <si>
    <t>PIF0011</t>
  </si>
  <si>
    <t>Pristine Classic Whip Topping 1 Lt</t>
  </si>
  <si>
    <t>SO-KU/2608/070040</t>
  </si>
  <si>
    <t>BLEND CAFE</t>
  </si>
  <si>
    <t>ASS-EGT</t>
  </si>
  <si>
    <t>Earl Grey @50TB/Box</t>
  </si>
  <si>
    <t xml:space="preserve">kirim ke jln. Pungutan no. 48 sanur (blend cafe sanur)
</t>
  </si>
  <si>
    <t>ASS-EBT</t>
  </si>
  <si>
    <t>English Breakfast@50TB/Box</t>
  </si>
  <si>
    <t>ASS-POT</t>
  </si>
  <si>
    <t>Pure Olong Tea @50Tb/box</t>
  </si>
  <si>
    <t>SO-KU/2608/070041</t>
  </si>
  <si>
    <t>PIZZERIA ITALIA UNGASAN</t>
  </si>
  <si>
    <t>SO-KU/2608/070042</t>
  </si>
  <si>
    <t>SO-KU/2608/070043</t>
  </si>
  <si>
    <t>DOM BY DOPPIO</t>
  </si>
  <si>
    <t>PMS0028</t>
  </si>
  <si>
    <t>Masterista Taro Expecta 800Gr</t>
  </si>
  <si>
    <t>PMS0132</t>
  </si>
  <si>
    <t>Masterista Syrup Vanilla Tradition 850ml</t>
  </si>
  <si>
    <t>SO-KU/2608/070044</t>
  </si>
  <si>
    <t>ZIN CAFE CANGGU</t>
  </si>
  <si>
    <t>PMS0027</t>
  </si>
  <si>
    <t>Masterista Red Velvet Expecta 800Gr</t>
  </si>
  <si>
    <t>SO-KU/2608/070045</t>
  </si>
  <si>
    <t>PT. SOEJASCH BALI</t>
  </si>
  <si>
    <t>spc jkt no 842</t>
  </si>
  <si>
    <t>SO-KU/2608/070048</t>
  </si>
  <si>
    <t>POT0110</t>
  </si>
  <si>
    <t>Bergold Shredded Pizza Topping Mozzarella</t>
  </si>
  <si>
    <t>SO-KU/2608/070049</t>
  </si>
  <si>
    <t>SO-KU/2608/070050</t>
  </si>
  <si>
    <t>W HOTEL</t>
  </si>
  <si>
    <t>SO-KU/2608/070051</t>
  </si>
  <si>
    <t>UMANE KEROBOKAN</t>
  </si>
  <si>
    <t>PMS0131</t>
  </si>
  <si>
    <t>Masterista Syrup Tropical Lychee 850 Ml</t>
  </si>
  <si>
    <t>SO-KU/2608/070052</t>
  </si>
  <si>
    <t>RETAIL DAS BISTRO</t>
  </si>
  <si>
    <t>SO-KU/2608/070054</t>
  </si>
  <si>
    <t>NINE MART</t>
  </si>
  <si>
    <t>CKP1S-159</t>
  </si>
  <si>
    <t>Daebak Soju Lemon @360ml/btl</t>
  </si>
  <si>
    <t>12+1</t>
  </si>
  <si>
    <t>CKP1S-163</t>
  </si>
  <si>
    <t>Daebak Soju Peach @360ml/btl</t>
  </si>
  <si>
    <t>CKP1S-165</t>
  </si>
  <si>
    <t>Daebak Soju Original 360ml</t>
  </si>
  <si>
    <t>SO-KU/2608/070055</t>
  </si>
  <si>
    <t>SO-KU/2608/070056</t>
  </si>
  <si>
    <t>SO-KU/2608/070063</t>
  </si>
  <si>
    <t>ANATHERA RESORT KUTA</t>
  </si>
  <si>
    <t>SO-KU/2608/070064</t>
  </si>
  <si>
    <t>SO-KU/2608/070066</t>
  </si>
  <si>
    <t>BELLA ITALIAN GRAND MAS</t>
  </si>
  <si>
    <t>SO-KU/2608/070071</t>
  </si>
  <si>
    <t>SO-KU/2608/070072</t>
  </si>
  <si>
    <t>PMS0093</t>
  </si>
  <si>
    <t>Masterista Syrup Strawberry 850 Ml</t>
  </si>
  <si>
    <t>SO-KU/2608/070073</t>
  </si>
  <si>
    <t>SO-KU/2608/070074</t>
  </si>
  <si>
    <t>COFFEE PHORA</t>
  </si>
  <si>
    <t>PMS0183</t>
  </si>
  <si>
    <t>Masterista Bitter Dark Chocolate (100% Pure Chocolate) 500 Gr</t>
  </si>
  <si>
    <t>SO-KU/2608/070075</t>
  </si>
  <si>
    <t>WASABI RESTAURANT PERERENAN</t>
  </si>
  <si>
    <t>ASS-JVJ</t>
  </si>
  <si>
    <t>Javanese Jasmine Tea @50TB/Box</t>
  </si>
  <si>
    <t>ASS-MO-B</t>
  </si>
  <si>
    <t>Manggo Tea @50TB/Box</t>
  </si>
  <si>
    <t>SO-KU/2608/070079</t>
  </si>
  <si>
    <t>POS0026</t>
  </si>
  <si>
    <t>O Sole Olive Nere Denocciolate 4.1 Kg</t>
  </si>
  <si>
    <t>SO-KU/2608/070080</t>
  </si>
  <si>
    <t>SO-KU/2608/070081</t>
  </si>
  <si>
    <t>GEP'S DELI ( TOKO SURYANTI NUSA )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</si>
  <si>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</si>
  <si>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</si>
  <si>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</si>
  <si>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</si>
  <si>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</si>
  <si>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</si>
  <si>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</si>
  <si>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</si>
  <si>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SO-KU/2608/070082</t>
  </si>
  <si>
    <t>TRIPLE EGG RESTAURANT</t>
  </si>
  <si>
    <t>PMS0144</t>
  </si>
  <si>
    <t>Masterista Syrup Peach 850ml</t>
  </si>
  <si>
    <t>SO-KU/2608/070085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</si>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</sst>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67" fontId="0" fillId="0" borderId="0" xfId="1" applyNumberFormat="1" applyFont="1"/>
    <xf numFmtId="167" fontId="0" fillId="0" borderId="0" xfId="0" applyNumberFormat="1"/>
    <xf numFmtId="167" fontId="0" fillId="2" borderId="0" xfId="0" applyNumberFormat="1" applyFill="1"/>
    <xf numFmtId="167" fontId="0" fillId="0" borderId="1" xfId="1" applyNumberFormat="1" applyFont="1" applyBorder="1" applyAlignment="1">
      <alignment horizontal="right" vertical="center"/>
    </xf>
    <xf numFmtId="167" fontId="0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119"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42.360379976853" createdVersion="8" refreshedVersion="8" minRefreshableVersion="3" recordCount="217" xr:uid="{C6B9A3FD-A6B2-4B0C-B109-3850E85D7CD7}">
  <cacheSource type="worksheet">
    <worksheetSource ref="A1:Q218" sheet="Sheet"/>
  </cacheSource>
  <cacheFields count="17">
    <cacheField name="Tgl Kirim" numFmtId="164">
      <sharedItems containsSemiMixedTypes="0" containsNonDate="0" containsDate="1" containsString="0" minDate="2026-08-08T00:00:00" maxDate="2026-08-09T00:00:00"/>
    </cacheField>
    <cacheField name="Tgl SO" numFmtId="164">
      <sharedItems containsSemiMixedTypes="0" containsNonDate="0" containsDate="1" containsString="0" minDate="2026-08-07T00:00:00" maxDate="2026-08-08T00:00:00"/>
    </cacheField>
    <cacheField name="No SO" numFmtId="0">
      <sharedItems/>
    </cacheField>
    <cacheField name="Nama Divisi" numFmtId="0">
      <sharedItems/>
    </cacheField>
    <cacheField name="Nama Customer" numFmtId="0">
      <sharedItems count="126">
        <s v="LA TAHONA BAKERY"/>
        <s v="BO DAN BUN RESTAURANT"/>
        <s v="TOKO SRIASIH"/>
        <s v="LACASETTA RESTAURANT"/>
        <s v="FUCINA ITALIA"/>
        <s v="TOKO SUTARMI"/>
        <s v="SAKARA COFFEE"/>
        <s v="TOKO GADING"/>
        <s v="WOODS"/>
        <s v="RAJAKLANA"/>
        <s v="ZIA TINA BALI"/>
        <s v="CHANDI"/>
        <s v="BIKU RESTAURANT"/>
        <s v="YAMMA YAA LEGIAN"/>
        <s v="TAVERNA TOSCANA"/>
        <s v="BAGEL TO GO"/>
        <s v="PIPI BAKERY"/>
        <s v="LE CROISSANT"/>
        <s v="CENTRAL KITCHEN BALI"/>
        <s v="THE BLUE DOOR"/>
        <s v="UNO RESTAURANT NUSA DUA"/>
        <s v="TUNAS HARAPAN SUPPLIER"/>
        <s v="BALKAN SHAWARMA UNGASAN"/>
        <s v="CENTRAL FOOD VILLAGE (BALI ZOO)"/>
        <s v="BALI UNITED CAFE"/>
        <s v="IMADJI DEWI SRI"/>
        <s v="LALAPAN CAK JUL RENON"/>
        <s v="NAUGHTY NURIS SEMINYAK"/>
        <s v="BU CANDRA"/>
        <s v="THE GARCIA UBUD"/>
        <s v="PT. FASTFOOD INDONESIA ( KFC JIMBARAN )"/>
        <s v="ZANZIBAR REST"/>
        <s v="TOKO KOPI ABADI"/>
        <s v="REVOLVER OBEROI"/>
        <s v="REVOLVER CANGGU"/>
        <s v="REVOLVER UMALAS"/>
        <s v="13.COFFEE"/>
        <s v="SUMAK TURKISH CUISINE"/>
        <s v="PT. SUMBER AGRI SEHAT"/>
        <s v="ZERO 4 KARAOKE"/>
        <s v="OMDC KIDZ DENTAL BALI"/>
        <s v="BJ'S BAR AND GRILL"/>
        <s v="PT. SSP TAURUS GEMILANG INDONESIA"/>
        <s v="FINNS BEACH CLUB"/>
        <s v="BARO BAKERY PERERENAN"/>
        <s v="PLANT BISTRO"/>
        <s v="PAPA LEE'S TAIWAN DUMPLINGS"/>
        <s v="TABU ULUWATU"/>
        <s v="AUTOGRILL"/>
        <s v="PIE SUSU AJIK"/>
        <s v="MAMAKA"/>
        <s v="AD SUPPLIER"/>
        <s v="FOLD CANGGU"/>
        <s v="SENDOK WARUNG"/>
        <s v="PISON BALI"/>
        <s v="PT. SARI BURGER INDONESIA"/>
        <s v="SIKI RESTAURANT"/>
        <s v="BAMBU BALI ULUWATU"/>
        <s v="BALI CATERING COMPANY"/>
        <s v="SECANA BEACH TOWN"/>
        <s v="BOTTEGA ITALIANA BERAWA"/>
        <s v="PT SNAK SNAKS INDONESIA (BALI ZOO)"/>
        <s v="NOURISH UNGASAN"/>
        <s v="NOURISH CAFE"/>
        <s v="MERUSAKA NUSA DUA"/>
        <s v="BALI MANDIRA"/>
        <s v="CV. KASIH HOKI"/>
        <s v="SAYAN POINT"/>
        <s v="PENINSULA BEACH RESORT"/>
        <s v="AUTO 2000 SANUR"/>
        <s v="BAKMI DEMPO 91"/>
        <s v="KAIZEN"/>
        <s v="MAMAS GERMAN REST."/>
        <s v="DAS BISTRO"/>
        <s v="KOMANEKA AT KERAMAS BEACH"/>
        <s v="STOK DAPUR"/>
        <s v="THE JUNCTION"/>
        <s v="PT. NYIUR MELAMBAI LAMBAI"/>
        <s v="APPITITO PIZZA AND PASTA"/>
        <s v="DAENG BURGER UMALAS"/>
        <s v="THE MERU BALI"/>
        <s v="ART CAFE BUMBU BALI"/>
        <s v="HILTON HOTEL"/>
        <s v="THE DUKE"/>
        <s v="MAYA UBUD"/>
        <s v="TEJAPRANA  RESORT UBUD"/>
        <s v="UD RESTU ILAHI"/>
        <s v="CV. FENNY BERSAMA"/>
        <s v="INTERCONTINENTAL BALI RESORT"/>
        <s v="CORNER HOUSE"/>
        <s v="VOUK HOTEL"/>
        <s v="FRANKIES BAR AND GRILL"/>
        <s v="CV. JASMINE EKA JAYA"/>
        <s v="MB FROZEN FOOD"/>
        <s v="PIZZERIA ITALIA LABUAN SAIT"/>
        <s v="KEDAI KOPI KOKO"/>
        <s v="ZEEN COFFEE"/>
        <s v="BAKERY PETIT PARIS (PT. CIPTA RASA MULTINDO)"/>
        <s v="BALI CIAMIK SORO"/>
        <s v="GRAND MERCURE SEMINYAK"/>
        <s v="LIMA BAY RESTAURANT"/>
        <s v="IBU SUSU UBUD"/>
        <s v="HIDE AWAY BEANS &amp; BOOZE"/>
        <s v="ITANA COFFEE AND EATERY"/>
        <s v="M&amp;M CATERING"/>
        <s v="COPENHAGEN CAFE BERAWA"/>
        <s v="S.O FROZEN"/>
        <s v="THE LAGUNA"/>
        <s v="DAPUR SEMBILAN FROZEN FOOD"/>
        <s v="PENINSULA BAY RESORT"/>
        <s v="ROYAL TULIP SPRINGHILL RESORT JIMBARAN"/>
        <s v="BLEND CAFE"/>
        <s v="PIZZERIA ITALIA UNGASAN"/>
        <s v="DOM BY DOPPIO"/>
        <s v="ZIN CAFE CANGGU"/>
        <s v="PT. SOEJASCH BALI"/>
        <s v="W HOTEL"/>
        <s v="UMANE KEROBOKAN"/>
        <s v="RETAIL DAS BISTRO"/>
        <s v="NINE MART"/>
        <s v="ANATHERA RESORT KUTA"/>
        <s v="BELLA ITALIAN GRAND MAS"/>
        <s v="COFFEE PHORA"/>
        <s v="WASABI RESTAURANT PERERENAN"/>
        <s v="GEP'S DELI ( TOKO SURYANTI NUSA )"/>
        <s v="TRIPLE EGG RESTAURANT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0">
        <s v="Taufik"/>
        <s v="Sujana"/>
        <s v="Ni Ketut Sriasih (GT)"/>
        <s v="Dewi Kristiani"/>
        <s v="I MADE LUIH"/>
        <s v="Juni"/>
        <s v="I Made Luih (Sanur)"/>
        <s v="Picrom Stalyon"/>
        <s v="NP1"/>
        <s v="NP3"/>
        <s v="NP2"/>
        <s v="NP4"/>
        <s v="Ni Ketut Sriasih (MT)"/>
        <s v="Eka"/>
        <s v="FIB"/>
        <s v="Vacant Hotel Kuta Seminyak"/>
        <s v="Wira"/>
        <s v="Monica"/>
        <s v="Management Bali"/>
        <s v="Vacant Hotel Seminyak Kuta"/>
      </sharedItems>
    </cacheField>
    <cacheField name="Kode Brg" numFmtId="0">
      <sharedItems/>
    </cacheField>
    <cacheField name="Nama Brg" numFmtId="0">
      <sharedItems count="93">
        <s v="Tepung Double Zero @25Kg/Sack"/>
        <s v="Tepung Japanese Tempura 1kg/pack"/>
        <s v="Tepung Hime @25Kg/Sack"/>
        <s v="Inofa Heat Treated Wheat Flour SF 346 @1kg/pack"/>
        <s v="Premium Minced Beef (2.5kg/pack)"/>
        <s v="Tepung Easymix Pancake @1kg/pack"/>
        <s v="RICH CRÈME ND 08 1000G POUCH"/>
        <s v="Inofa Heat Treated Wheat Flour SF 346 @25kg/sack"/>
        <s v="Tepung Ninja @25Kg/Sack"/>
        <s v="Allana Tenderloin Whole"/>
        <s v="Tepung 00 Fusion @25Kg"/>
        <s v="Tepung Ninja 1kg/pack"/>
        <s v="ECT Tenderloin Import"/>
        <s v="NESTLE Docello Dessert Base @1Kg/Pack"/>
        <s v="Nestea Lemon Tea 1kg/Pack"/>
        <s v="Nestle Milo Npro 1.5Kg"/>
        <s v="Magic Lezat @1kg/pack"/>
        <s v="MAGGI Chicken Powder @1kg/Pack"/>
        <s v="NESTLE MILO -E Uht Cmbk 110 Ml"/>
        <s v="THE ALTERNATIVE Barista Soy Milk 1 Lt"/>
        <s v="THE ALTERNATIVE Barista Almond Milk 1 Lt"/>
        <s v="Tepung Yokozuna Fusion 1Kg"/>
        <s v="Emborg Pizza Topping 2.3 Kg"/>
        <s v="NESTLE Milo Activ-Go NPro 960Gr/Pack"/>
        <s v="Nescafe Cappuccino Caramel Era 500gr/Pack"/>
        <s v="Pickled Gherkins (2kg/pack)"/>
        <s v="Block Red Cheddar Mix Cheese 5x2kg"/>
        <s v="EMBORG Brie Cheese 125 Gr"/>
        <s v="Amron Striploin Whole"/>
        <s v="Tepung Easymix Fish n Chips 1kg/pack"/>
        <s v="Friboi Brazil Tenderloin Whole"/>
        <s v="Halal Minced Beef 1Kg/Pack"/>
        <s v="THE ALTERNATIVE Barista Oat Milk 1 Lt"/>
        <s v="DP Mozzarella 2.5Kg"/>
        <s v="RICH CREME WHIPING CREAM 800G POUCH"/>
        <s v="Tepung Hime Fusion 1Kg"/>
        <s v="Tepung Ninja Fusion Pao 5Kg"/>
        <s v="Borello Topside"/>
        <s v="Nescafe Classic Vending 120gr/Pack"/>
        <s v="Borello Rump"/>
        <s v="EMBORG Butter Salted 200 Gr"/>
        <s v="EMBORG Butter Unsalted 200 Gr"/>
        <s v="NZMP Mozarella"/>
        <s v="Chuck Tenderloin Whole"/>
        <s v="IKPS Dried Shiitake Mushroom 3 Kg/Bag"/>
        <s v="Nestea Lychee Tea Npro 560gr/Pack"/>
        <s v="Mee Chun Sesame Sauce 2000 Gr"/>
        <s v="Black Gold Topside"/>
        <s v="Pork B Sliced (1kg/pack)"/>
        <s v="Australian Butter Unsalted"/>
        <s v="Bottegaio Umbro Olio Evo Cucina 5Lt"/>
        <s v="Masterista Dark Chocolate 800Gr"/>
        <s v="Flavorista Red Velvet (1000Gr/Pack)"/>
        <s v="Bergold Mozzarella Block"/>
        <s v="Daebak Soju Lychee @360ml/btl"/>
        <s v="Daebak Soju Mango @360ml/btl"/>
        <s v="Daebak Soju Strawberry @360ml/btl"/>
        <s v="Premium Straight Cut 2Kg"/>
        <s v="Masterista Ceremonial Pure Matcha Powder 500 Gr"/>
        <s v="Artisan Pure Matcha (500Gr/Pack)"/>
        <s v="Masterista Ice Shaken Lemon Tea 1000Gr"/>
        <s v="Masterista Ice Shaken Lychee Tea 1000Gr"/>
        <s v="Gold Box Melange Butter MP331 5 Kg"/>
        <s v="Gold Box Extra Butter MP341 1 Kg"/>
        <s v="Chamomile Dream @50Tb/Box"/>
        <s v="Pure Green Tea @50TB/Box"/>
        <s v="O Sole Pomodori Pelati Peeled Tomatoes 2.5Kg"/>
        <s v="MAMAS BELLY RIND ON SB OUT (SKIN ON) 3-5KG/PACK"/>
        <s v="Belly Skinless Premium (2.5Kg/Pack)"/>
        <s v="Off Cut 500 Gr"/>
        <s v="Pristine Classic Cooking Cream 1 Lt"/>
        <s v="Pristine Classic Whip Topping 1 Lt"/>
        <s v="Earl Grey @50TB/Box"/>
        <s v="English Breakfast@50TB/Box"/>
        <s v="Pure Olong Tea @50Tb/box"/>
        <s v="Masterista Taro Expecta 800Gr"/>
        <s v="Masterista Syrup Vanilla Tradition 850ml"/>
        <s v="Masterista Red Velvet Expecta 800Gr"/>
        <s v="Bergold Shredded Pizza Topping Mozzarella"/>
        <s v="Masterista Syrup Tropical Lychee 850 Ml"/>
        <s v="Daebak Soju Lemon @360ml/btl"/>
        <s v="Daebak Soju Peach @360ml/btl"/>
        <s v="Daebak Soju Original 360ml"/>
        <s v="Masterista Syrup Strawberry 850 Ml"/>
        <s v="Masterista Bitter Dark Chocolate (100% Pure Chocolate) 500 Gr"/>
        <s v="Javanese Jasmine Tea @50TB/Box"/>
        <s v="Manggo Tea @50TB/Box"/>
        <s v="O Sole Olive Nere Denocciolate 4.1 Kg"/>
        <s v="ANI Hijau 580 Ml"/>
        <s v="ANI Merah 580 Ml"/>
        <s v="ANI Pink 580 Ml"/>
        <s v="ANI Lychee 580 Ml"/>
        <s v="Masterista Syrup Peach 850ml"/>
      </sharedItems>
    </cacheField>
    <cacheField name="SO (Pcs)" numFmtId="165">
      <sharedItems containsSemiMixedTypes="0" containsString="0" containsNumber="1" minValue="1" maxValue="288"/>
    </cacheField>
    <cacheField name="Satuan" numFmtId="0">
      <sharedItems/>
    </cacheField>
    <cacheField name="FJ (Pcs)" numFmtId="165">
      <sharedItems containsSemiMixedTypes="0" containsString="0" containsNumber="1" minValue="1" maxValue="288"/>
    </cacheField>
    <cacheField name="Sub T.Jual(Rp)" numFmtId="165">
      <sharedItems containsSemiMixedTypes="0" containsString="0" containsNumber="1" minValue="36000" maxValue="18957920"/>
    </cacheField>
    <cacheField name="BS-SO(Pcs)" numFmtId="165">
      <sharedItems containsSemiMixedTypes="0" containsString="0" containsNumber="1" minValue="-60" maxValue="3.3999000000000001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7">
  <r>
    <d v="2026-08-08T00:00:00"/>
    <d v="2026-08-07T00:00:00"/>
    <s v="SO-KS/2608/070001"/>
    <s v="MKS Bali"/>
    <x v="0"/>
    <x v="0"/>
    <x v="0"/>
    <s v="SFM007"/>
    <x v="0"/>
    <n v="10"/>
    <s v="SACK"/>
    <n v="10"/>
    <n v="2749999.99"/>
    <n v="0"/>
    <s v="Invoice"/>
    <s v="Sudah Jadi FJ"/>
    <s v="Kirim Sabtu , 8 Agustus 2026 sebelum jam 1 siang"/>
  </r>
  <r>
    <d v="2026-08-08T00:00:00"/>
    <d v="2026-08-07T00:00:00"/>
    <s v="SO-KS/2608/070003"/>
    <s v="MKS Bali"/>
    <x v="1"/>
    <x v="0"/>
    <x v="1"/>
    <s v="SFM007"/>
    <x v="0"/>
    <n v="4"/>
    <s v="SACK"/>
    <n v="4"/>
    <n v="1139999.99"/>
    <n v="0"/>
    <s v="Invoice"/>
    <s v="Sudah Jadi FJ"/>
    <s v=""/>
  </r>
  <r>
    <d v="2026-08-08T00:00:00"/>
    <d v="2026-08-07T00:00:00"/>
    <s v="SO-KS/2608/070004"/>
    <s v="MKS Bali"/>
    <x v="2"/>
    <x v="1"/>
    <x v="2"/>
    <s v="120015"/>
    <x v="1"/>
    <n v="10"/>
    <s v="KG"/>
    <n v="10"/>
    <n v="362970"/>
    <n v="0"/>
    <s v="Invoice"/>
    <s v="Sudah Jadi FJ"/>
    <s v=""/>
  </r>
  <r>
    <d v="2026-08-08T00:00:00"/>
    <d v="2026-08-07T00:00:00"/>
    <s v="SO-KS/2608/070005"/>
    <s v="MKS Bali"/>
    <x v="3"/>
    <x v="0"/>
    <x v="3"/>
    <s v="SFM009"/>
    <x v="2"/>
    <n v="3"/>
    <s v="SACK"/>
    <n v="3"/>
    <n v="855000.01"/>
    <n v="0"/>
    <s v="Invoice"/>
    <s v="Sudah Jadi FJ"/>
    <s v=""/>
  </r>
  <r>
    <d v="2026-08-08T00:00:00"/>
    <d v="2026-08-07T00:00:00"/>
    <s v="SO-KS/2608/070005"/>
    <s v="MKS Bali"/>
    <x v="3"/>
    <x v="0"/>
    <x v="3"/>
    <s v="SFM053"/>
    <x v="3"/>
    <n v="5"/>
    <s v="KG"/>
    <n v="5"/>
    <n v="135975"/>
    <n v="0"/>
    <s v="Invoice"/>
    <s v="Sudah Jadi FJ"/>
    <s v=""/>
  </r>
  <r>
    <d v="2026-08-08T00:00:00"/>
    <d v="2026-08-07T00:00:00"/>
    <s v="SO-KS/2608/070006"/>
    <s v="MKS Bali"/>
    <x v="4"/>
    <x v="0"/>
    <x v="3"/>
    <s v="PSJ0228"/>
    <x v="4"/>
    <n v="5"/>
    <s v="KG"/>
    <n v="5"/>
    <n v="500000"/>
    <n v="0"/>
    <s v="Invoice"/>
    <s v="Sudah Jadi FJ"/>
    <s v=""/>
  </r>
  <r>
    <d v="2026-08-08T00:00:00"/>
    <d v="2026-08-07T00:00:00"/>
    <s v="SO-KS/2608/070007"/>
    <s v="MKS Bali"/>
    <x v="5"/>
    <x v="1"/>
    <x v="2"/>
    <s v="120010"/>
    <x v="5"/>
    <n v="20"/>
    <s v="KG"/>
    <n v="20"/>
    <n v="854700"/>
    <n v="0"/>
    <s v="Invoice"/>
    <s v="Sudah Jadi FJ"/>
    <s v=""/>
  </r>
  <r>
    <d v="2026-08-08T00:00:00"/>
    <d v="2026-08-07T00:00:00"/>
    <s v="SO-KS/2608/070008"/>
    <s v="MKS Bali"/>
    <x v="6"/>
    <x v="1"/>
    <x v="4"/>
    <s v="PLN0005"/>
    <x v="6"/>
    <n v="12"/>
    <s v="POU"/>
    <n v="12"/>
    <n v="674399.99"/>
    <n v="0"/>
    <s v="Invoice"/>
    <s v="Sudah Jadi FJ"/>
    <s v=""/>
  </r>
  <r>
    <d v="2026-08-08T00:00:00"/>
    <d v="2026-08-07T00:00:00"/>
    <s v="SO-KS/2608/070016"/>
    <s v="MKS Bali"/>
    <x v="7"/>
    <x v="1"/>
    <x v="2"/>
    <s v="SFM052"/>
    <x v="7"/>
    <n v="1"/>
    <s v="SACK"/>
    <n v="1"/>
    <n v="577200"/>
    <n v="0"/>
    <s v="Invoice"/>
    <s v="Sudah Jadi FJ"/>
    <s v=""/>
  </r>
  <r>
    <d v="2026-08-08T00:00:00"/>
    <d v="2026-08-07T00:00:00"/>
    <s v="SO-KS/2608/070018"/>
    <s v="MKS Bali"/>
    <x v="8"/>
    <x v="0"/>
    <x v="0"/>
    <s v="SFM007"/>
    <x v="0"/>
    <n v="1"/>
    <s v="SACK"/>
    <n v="1"/>
    <n v="315000"/>
    <n v="0"/>
    <s v="Invoice"/>
    <s v="Sudah Jadi FJ"/>
    <s v=""/>
  </r>
  <r>
    <d v="2026-08-08T00:00:00"/>
    <d v="2026-08-07T00:00:00"/>
    <s v="SO-KS/2608/070024"/>
    <s v="MKS Bali"/>
    <x v="9"/>
    <x v="1"/>
    <x v="1"/>
    <s v="SFM007"/>
    <x v="0"/>
    <n v="5"/>
    <s v="SACK"/>
    <n v="5"/>
    <n v="1637250"/>
    <n v="0"/>
    <s v="Invoice"/>
    <s v="Sudah Jadi FJ"/>
    <s v=""/>
  </r>
  <r>
    <d v="2026-08-08T00:00:00"/>
    <d v="2026-08-07T00:00:00"/>
    <s v="SO-KS/2608/070024"/>
    <s v="MKS Bali"/>
    <x v="9"/>
    <x v="1"/>
    <x v="1"/>
    <s v="SFM018"/>
    <x v="8"/>
    <n v="5"/>
    <s v="SACK"/>
    <n v="5"/>
    <n v="1581750"/>
    <n v="0"/>
    <s v="Invoice"/>
    <s v="Sudah Jadi FJ"/>
    <s v=""/>
  </r>
  <r>
    <d v="2026-08-08T00:00:00"/>
    <d v="2026-08-07T00:00:00"/>
    <s v="SO-KS/2608/070025"/>
    <s v="MKS Bali"/>
    <x v="10"/>
    <x v="0"/>
    <x v="1"/>
    <s v="SFM007"/>
    <x v="0"/>
    <n v="3"/>
    <s v="SACK"/>
    <n v="3"/>
    <n v="982350"/>
    <n v="0"/>
    <s v="Invoice"/>
    <s v="Sudah Jadi FJ"/>
    <s v=""/>
  </r>
  <r>
    <d v="2026-08-08T00:00:00"/>
    <d v="2026-08-07T00:00:00"/>
    <s v="SO-KS/2608/070027"/>
    <s v="MKS Bali"/>
    <x v="11"/>
    <x v="1"/>
    <x v="1"/>
    <s v="PSJ0046"/>
    <x v="9"/>
    <n v="4"/>
    <s v="KG"/>
    <n v="3.58"/>
    <n v="716000"/>
    <n v="-0.42"/>
    <s v="Invoice"/>
    <s v="Sudah Jadi FJ"/>
    <s v="2 LOAF"/>
  </r>
  <r>
    <d v="2026-08-08T00:00:00"/>
    <d v="2026-08-07T00:00:00"/>
    <s v="SO-KS/2608/070028"/>
    <s v="MKS Bali"/>
    <x v="12"/>
    <x v="0"/>
    <x v="1"/>
    <s v="PSJ0046"/>
    <x v="9"/>
    <n v="10"/>
    <s v="KG"/>
    <n v="8.5"/>
    <n v="1657500"/>
    <n v="-1.5"/>
    <s v="Invoice"/>
    <s v="Sudah Jadi FJ"/>
    <s v="5 loaf"/>
  </r>
  <r>
    <d v="2026-08-08T00:00:00"/>
    <d v="2026-08-07T00:00:00"/>
    <s v="SO-KS/2608/070030"/>
    <s v="MKS Bali"/>
    <x v="13"/>
    <x v="0"/>
    <x v="1"/>
    <s v="PSJ0228"/>
    <x v="4"/>
    <n v="10"/>
    <s v="KG"/>
    <n v="10"/>
    <n v="1000000"/>
    <n v="0"/>
    <s v="Invoice"/>
    <s v="Sudah Jadi FJ"/>
    <s v="1 BOX"/>
  </r>
  <r>
    <d v="2026-08-08T00:00:00"/>
    <d v="2026-08-07T00:00:00"/>
    <s v="SO-KS/2608/070031"/>
    <s v="MKS Bali"/>
    <x v="14"/>
    <x v="1"/>
    <x v="5"/>
    <s v="SFM007"/>
    <x v="0"/>
    <n v="4"/>
    <s v="SACK"/>
    <n v="4"/>
    <n v="1080000"/>
    <n v="0"/>
    <s v="Invoice"/>
    <s v="Sudah Jadi FJ"/>
    <s v=""/>
  </r>
  <r>
    <d v="2026-08-08T00:00:00"/>
    <d v="2026-08-07T00:00:00"/>
    <s v="SO-KS/2608/070032"/>
    <s v="MKS Bali"/>
    <x v="15"/>
    <x v="1"/>
    <x v="6"/>
    <s v="SFM009"/>
    <x v="2"/>
    <n v="15"/>
    <s v="SACK"/>
    <n v="15"/>
    <n v="4424999.99"/>
    <n v="0"/>
    <s v="Invoice"/>
    <s v="Sudah Jadi FJ"/>
    <s v=""/>
  </r>
  <r>
    <d v="2026-08-08T00:00:00"/>
    <d v="2026-08-07T00:00:00"/>
    <s v="SO-KS/2608/070033"/>
    <s v="MKS Bali"/>
    <x v="16"/>
    <x v="1"/>
    <x v="4"/>
    <s v="PSF0014"/>
    <x v="10"/>
    <n v="1"/>
    <s v="SACK"/>
    <n v="1"/>
    <n v="285000"/>
    <n v="0"/>
    <s v="Invoice"/>
    <s v="Sudah Jadi FJ"/>
    <s v=""/>
  </r>
  <r>
    <d v="2026-08-08T00:00:00"/>
    <d v="2026-08-07T00:00:00"/>
    <s v="SO-KS/2608/070033"/>
    <s v="MKS Bali"/>
    <x v="16"/>
    <x v="1"/>
    <x v="4"/>
    <s v="120018"/>
    <x v="11"/>
    <n v="10"/>
    <s v="KG"/>
    <n v="10"/>
    <n v="160950"/>
    <n v="0"/>
    <s v="Invoice"/>
    <s v="Sudah Jadi FJ"/>
    <s v=""/>
  </r>
  <r>
    <d v="2026-08-08T00:00:00"/>
    <d v="2026-08-07T00:00:00"/>
    <s v="SO-KS/2608/070034"/>
    <s v="MKS Bali"/>
    <x v="17"/>
    <x v="1"/>
    <x v="4"/>
    <s v="SFM007"/>
    <x v="0"/>
    <n v="1"/>
    <s v="SACK"/>
    <n v="1"/>
    <n v="285000"/>
    <n v="0"/>
    <s v="Invoice"/>
    <s v="Sudah Jadi FJ"/>
    <s v=""/>
  </r>
  <r>
    <d v="2026-08-08T00:00:00"/>
    <d v="2026-08-07T00:00:00"/>
    <s v="SO-KS/2608/070035"/>
    <s v="MKS Bali"/>
    <x v="1"/>
    <x v="0"/>
    <x v="1"/>
    <s v="PSJ0046"/>
    <x v="9"/>
    <n v="10"/>
    <s v="KG"/>
    <n v="10.19"/>
    <n v="1987050"/>
    <n v="0.19"/>
    <s v="Invoice"/>
    <s v="Sudah Jadi FJ"/>
    <s v=""/>
  </r>
  <r>
    <d v="2026-08-08T00:00:00"/>
    <d v="2026-08-07T00:00:00"/>
    <s v="SO-KS/2608/070036"/>
    <s v="MKS Bali"/>
    <x v="18"/>
    <x v="0"/>
    <x v="1"/>
    <s v="PSJ0371"/>
    <x v="12"/>
    <n v="20"/>
    <s v="KG"/>
    <n v="21.329899999999999"/>
    <n v="8745300"/>
    <n v="1.3299000000000001"/>
    <s v="Invoice"/>
    <s v="Sudah Jadi FJ"/>
    <s v="10 loaf"/>
  </r>
  <r>
    <d v="2026-08-08T00:00:00"/>
    <d v="2026-08-07T00:00:00"/>
    <s v="SO-KS/2608/070037"/>
    <s v="MKS Bali"/>
    <x v="19"/>
    <x v="0"/>
    <x v="7"/>
    <s v="SFM007"/>
    <x v="0"/>
    <n v="1"/>
    <s v="SACK"/>
    <n v="1"/>
    <n v="327450"/>
    <n v="0"/>
    <s v="Invoice"/>
    <s v="Sudah Jadi FJ"/>
    <s v=""/>
  </r>
  <r>
    <d v="2026-08-08T00:00:00"/>
    <d v="2026-08-07T00:00:00"/>
    <s v="SO-KS/2608/070038"/>
    <s v="MKS Bali"/>
    <x v="20"/>
    <x v="1"/>
    <x v="5"/>
    <s v="SFM007"/>
    <x v="0"/>
    <n v="2"/>
    <s v="SACK"/>
    <n v="2"/>
    <n v="570000"/>
    <n v="0"/>
    <s v="Invoice"/>
    <s v="Sudah Jadi FJ"/>
    <s v=""/>
  </r>
  <r>
    <d v="2026-08-08T00:00:00"/>
    <d v="2026-08-07T00:00:00"/>
    <s v="SO-KS/2608/070039"/>
    <s v="MKS Bali"/>
    <x v="21"/>
    <x v="1"/>
    <x v="2"/>
    <s v="120018"/>
    <x v="11"/>
    <n v="50"/>
    <s v="KG"/>
    <n v="50"/>
    <n v="804750"/>
    <n v="0"/>
    <s v="Invoice"/>
    <s v="Sudah Jadi FJ"/>
    <s v=""/>
  </r>
  <r>
    <d v="2026-08-08T00:00:00"/>
    <d v="2026-08-07T00:00:00"/>
    <s v="SO-KS/2608/070040"/>
    <s v="MKS Bali"/>
    <x v="22"/>
    <x v="1"/>
    <x v="5"/>
    <s v="SFM007"/>
    <x v="0"/>
    <n v="2"/>
    <s v="SACK"/>
    <n v="2"/>
    <n v="600000"/>
    <n v="0"/>
    <s v="Invoice"/>
    <s v="Sudah Jadi FJ"/>
    <s v=""/>
  </r>
  <r>
    <d v="2026-08-08T00:00:00"/>
    <d v="2026-08-07T00:00:00"/>
    <s v="SO-KS/2608/070042"/>
    <s v="MKS Bali"/>
    <x v="23"/>
    <x v="0"/>
    <x v="8"/>
    <s v="260004"/>
    <x v="13"/>
    <n v="12"/>
    <s v="PACK"/>
    <n v="12"/>
    <n v="932400"/>
    <n v="0"/>
    <s v="Invoice"/>
    <s v="Sudah Jadi FJ"/>
    <s v=""/>
  </r>
  <r>
    <d v="2026-08-08T00:00:00"/>
    <d v="2026-08-07T00:00:00"/>
    <s v="SO-KS/2608/070043"/>
    <s v="MKS Bali"/>
    <x v="24"/>
    <x v="0"/>
    <x v="8"/>
    <s v="060013"/>
    <x v="14"/>
    <n v="12"/>
    <s v="PACK"/>
    <n v="12"/>
    <n v="770400.03"/>
    <n v="0"/>
    <s v="Invoice"/>
    <s v="Sudah Jadi FJ"/>
    <s v="Dikirim sesuai jadwal"/>
  </r>
  <r>
    <d v="2026-08-08T00:00:00"/>
    <d v="2026-08-07T00:00:00"/>
    <s v="SO-KS/2608/070044"/>
    <s v="MKS Bali"/>
    <x v="25"/>
    <x v="0"/>
    <x v="8"/>
    <s v="PNS0005"/>
    <x v="15"/>
    <n v="8"/>
    <s v="PACK"/>
    <n v="8"/>
    <n v="1065600"/>
    <n v="0"/>
    <s v="Invoice"/>
    <s v="Sudah Jadi FJ"/>
    <s v=""/>
  </r>
  <r>
    <d v="2026-08-08T00:00:00"/>
    <d v="2026-08-07T00:00:00"/>
    <s v="SO-KS/2608/070045"/>
    <s v="MKS Bali"/>
    <x v="26"/>
    <x v="1"/>
    <x v="9"/>
    <s v="300099"/>
    <x v="16"/>
    <n v="12"/>
    <s v="PACK"/>
    <n v="12"/>
    <n v="572760"/>
    <n v="0"/>
    <s v="Invoice"/>
    <s v="Sudah Jadi FJ"/>
    <s v=""/>
  </r>
  <r>
    <d v="2026-08-08T00:00:00"/>
    <d v="2026-08-07T00:00:00"/>
    <s v="SO-KS/2608/070046"/>
    <s v="MKS Bali"/>
    <x v="27"/>
    <x v="0"/>
    <x v="9"/>
    <s v="300096"/>
    <x v="17"/>
    <n v="6"/>
    <s v="PACK"/>
    <n v="6"/>
    <n v="525299.97"/>
    <n v="0"/>
    <s v="Invoice"/>
    <s v="Sudah Jadi FJ"/>
    <s v="PENERIMAAN BARANG DARI JAM 09.00-13.00"/>
  </r>
  <r>
    <d v="2026-08-08T00:00:00"/>
    <d v="2026-08-07T00:00:00"/>
    <s v="SO-KS/2608/070047"/>
    <s v="MKS Bali"/>
    <x v="28"/>
    <x v="1"/>
    <x v="10"/>
    <s v="300099"/>
    <x v="16"/>
    <n v="12"/>
    <s v="PACK"/>
    <n v="12"/>
    <n v="523799.94"/>
    <n v="0"/>
    <s v="Invoice"/>
    <s v="Sudah Jadi FJ"/>
    <s v=""/>
  </r>
  <r>
    <d v="2026-08-08T00:00:00"/>
    <d v="2026-08-07T00:00:00"/>
    <s v="SO-KS/2608/070048"/>
    <s v="MKS Bali"/>
    <x v="29"/>
    <x v="0"/>
    <x v="7"/>
    <s v="120015"/>
    <x v="1"/>
    <n v="10"/>
    <s v="KG"/>
    <n v="10"/>
    <n v="349999.98"/>
    <n v="0"/>
    <s v="Invoice"/>
    <s v="Sudah Jadi FJ"/>
    <s v=""/>
  </r>
  <r>
    <d v="2026-08-08T00:00:00"/>
    <d v="2026-08-07T00:00:00"/>
    <s v="SO-KS/2608/070051"/>
    <s v="MKS Bali"/>
    <x v="30"/>
    <x v="0"/>
    <x v="11"/>
    <s v="080124"/>
    <x v="18"/>
    <n v="288"/>
    <s v="PCS"/>
    <n v="288"/>
    <n v="835199.81"/>
    <n v="0"/>
    <s v="Invoice"/>
    <s v="Sudah Jadi FJ"/>
    <s v=""/>
  </r>
  <r>
    <d v="2026-08-08T00:00:00"/>
    <d v="2026-08-07T00:00:00"/>
    <s v="SO-KS/2608/070053"/>
    <s v="MKS Bali"/>
    <x v="31"/>
    <x v="1"/>
    <x v="1"/>
    <s v="SFM052"/>
    <x v="7"/>
    <n v="1"/>
    <s v="SACK"/>
    <n v="1"/>
    <n v="560000"/>
    <n v="0"/>
    <s v="Invoice"/>
    <s v="Sudah Jadi FJ"/>
    <s v=""/>
  </r>
  <r>
    <d v="2026-08-08T00:00:00"/>
    <d v="2026-08-07T00:00:00"/>
    <s v="SO-KS/2608/070055"/>
    <s v="MKS Bali"/>
    <x v="32"/>
    <x v="1"/>
    <x v="4"/>
    <s v="PLN0005"/>
    <x v="6"/>
    <n v="12"/>
    <s v="POU"/>
    <n v="12"/>
    <n v="719280"/>
    <n v="0"/>
    <s v="Invoice"/>
    <s v="Sudah Jadi FJ"/>
    <s v=""/>
  </r>
  <r>
    <d v="2026-08-08T00:00:00"/>
    <d v="2026-08-07T00:00:00"/>
    <s v="SO-KS/2608/070056"/>
    <s v="MKS Bali"/>
    <x v="33"/>
    <x v="0"/>
    <x v="1"/>
    <s v="080239"/>
    <x v="19"/>
    <n v="12"/>
    <s v="PCS"/>
    <n v="12"/>
    <n v="539460"/>
    <n v="0"/>
    <s v="Invoice"/>
    <s v="Sudah Jadi FJ"/>
    <s v=""/>
  </r>
  <r>
    <d v="2026-08-08T00:00:00"/>
    <d v="2026-08-07T00:00:00"/>
    <s v="SO-KS/2608/070056"/>
    <s v="MKS Bali"/>
    <x v="33"/>
    <x v="0"/>
    <x v="1"/>
    <s v="080241"/>
    <x v="20"/>
    <n v="24"/>
    <s v="PCS"/>
    <n v="24"/>
    <n v="1212120"/>
    <n v="0"/>
    <s v="Invoice"/>
    <s v="Sudah Jadi FJ"/>
    <s v=""/>
  </r>
  <r>
    <d v="2026-08-08T00:00:00"/>
    <d v="2026-08-07T00:00:00"/>
    <s v="SO-KS/2608/070058"/>
    <s v="MKS Bali"/>
    <x v="34"/>
    <x v="0"/>
    <x v="0"/>
    <s v="080239"/>
    <x v="19"/>
    <n v="12"/>
    <s v="PCS"/>
    <n v="12"/>
    <n v="539460"/>
    <n v="0"/>
    <s v="Invoice"/>
    <s v="Sudah Jadi FJ"/>
    <s v=""/>
  </r>
  <r>
    <d v="2026-08-08T00:00:00"/>
    <d v="2026-08-07T00:00:00"/>
    <s v="SO-KS/2608/070058"/>
    <s v="MKS Bali"/>
    <x v="34"/>
    <x v="0"/>
    <x v="0"/>
    <s v="080241"/>
    <x v="20"/>
    <n v="24"/>
    <s v="PCS"/>
    <n v="24"/>
    <n v="1212120"/>
    <n v="0"/>
    <s v="Invoice"/>
    <s v="Sudah Jadi FJ"/>
    <s v=""/>
  </r>
  <r>
    <d v="2026-08-08T00:00:00"/>
    <d v="2026-08-07T00:00:00"/>
    <s v="SO-KS/2608/070061"/>
    <s v="MKS Bali"/>
    <x v="35"/>
    <x v="0"/>
    <x v="3"/>
    <s v="080241"/>
    <x v="20"/>
    <n v="12"/>
    <s v="PCS"/>
    <n v="12"/>
    <n v="606060"/>
    <n v="0"/>
    <s v="Invoice"/>
    <s v="Sudah Jadi FJ"/>
    <s v=""/>
  </r>
  <r>
    <d v="2026-08-08T00:00:00"/>
    <d v="2026-08-07T00:00:00"/>
    <s v="SO-KS/2608/070062"/>
    <s v="MKS Bali"/>
    <x v="34"/>
    <x v="0"/>
    <x v="0"/>
    <s v="080239"/>
    <x v="19"/>
    <n v="12"/>
    <s v="PCS"/>
    <n v="12"/>
    <n v="539460"/>
    <n v="0"/>
    <s v="Invoice"/>
    <s v="Sudah Jadi FJ"/>
    <s v=""/>
  </r>
  <r>
    <d v="2026-08-08T00:00:00"/>
    <d v="2026-08-07T00:00:00"/>
    <s v="SO-KS/2608/070062"/>
    <s v="MKS Bali"/>
    <x v="34"/>
    <x v="0"/>
    <x v="0"/>
    <s v="080241"/>
    <x v="20"/>
    <n v="24"/>
    <s v="PCS"/>
    <n v="24"/>
    <n v="1212120"/>
    <n v="0"/>
    <s v="Invoice"/>
    <s v="Sudah Jadi FJ"/>
    <s v=""/>
  </r>
  <r>
    <d v="2026-08-08T00:00:00"/>
    <d v="2026-08-07T00:00:00"/>
    <s v="SO-KS/2608/070064"/>
    <s v="MKS Bali"/>
    <x v="36"/>
    <x v="1"/>
    <x v="4"/>
    <s v="PLN0005"/>
    <x v="6"/>
    <n v="12"/>
    <s v="POU"/>
    <n v="12"/>
    <n v="719280"/>
    <n v="0"/>
    <s v="Invoice"/>
    <s v="Sudah Jadi FJ"/>
    <s v=""/>
  </r>
  <r>
    <d v="2026-08-08T00:00:00"/>
    <d v="2026-08-07T00:00:00"/>
    <s v="SO-KS/2608/070067"/>
    <s v="MKS Bali"/>
    <x v="37"/>
    <x v="0"/>
    <x v="1"/>
    <s v="SFM007"/>
    <x v="0"/>
    <n v="5"/>
    <s v="SACK"/>
    <n v="5"/>
    <n v="1475000"/>
    <n v="0"/>
    <s v="Invoice"/>
    <s v="Sudah Jadi FJ"/>
    <s v=""/>
  </r>
  <r>
    <d v="2026-08-08T00:00:00"/>
    <d v="2026-08-07T00:00:00"/>
    <s v="SO-KS/2608/070068"/>
    <s v="MKS Bali"/>
    <x v="38"/>
    <x v="0"/>
    <x v="12"/>
    <s v="PSF0022"/>
    <x v="21"/>
    <n v="20"/>
    <s v="KG"/>
    <n v="10"/>
    <n v="255300"/>
    <n v="-10"/>
    <s v="Invoice"/>
    <s v="Sudah Jadi FJ"/>
    <s v=""/>
  </r>
  <r>
    <d v="2026-08-08T00:00:00"/>
    <d v="2026-08-07T00:00:00"/>
    <s v="SO-KS/2608/070071"/>
    <s v="MKS Bali"/>
    <x v="39"/>
    <x v="0"/>
    <x v="1"/>
    <s v="PPA0092"/>
    <x v="22"/>
    <n v="13.8"/>
    <s v="KG"/>
    <n v="13.8"/>
    <n v="1593899.94"/>
    <n v="0"/>
    <s v="Invoice"/>
    <s v="Sudah Jadi FJ"/>
    <s v=" 6 loaf (pack) / 13,8kg"/>
  </r>
  <r>
    <d v="2026-08-08T00:00:00"/>
    <d v="2026-08-07T00:00:00"/>
    <s v="SO-KS/2608/070072"/>
    <s v="MKS Bali"/>
    <x v="40"/>
    <x v="0"/>
    <x v="8"/>
    <s v="020020"/>
    <x v="23"/>
    <n v="6"/>
    <s v="PACK"/>
    <n v="6"/>
    <n v="629999.99"/>
    <n v="0"/>
    <s v="Invoice"/>
    <s v="Sudah Jadi FJ"/>
    <s v=""/>
  </r>
  <r>
    <d v="2026-08-08T00:00:00"/>
    <d v="2026-08-07T00:00:00"/>
    <s v="SO-KS/2608/070072"/>
    <s v="MKS Bali"/>
    <x v="40"/>
    <x v="0"/>
    <x v="8"/>
    <s v="060004"/>
    <x v="24"/>
    <n v="6"/>
    <s v="PACK"/>
    <n v="6"/>
    <n v="378600"/>
    <n v="0"/>
    <s v="Invoice"/>
    <s v="Sudah Jadi FJ"/>
    <s v=""/>
  </r>
  <r>
    <d v="2026-08-08T00:00:00"/>
    <d v="2026-08-07T00:00:00"/>
    <s v="SO-KS/2608/070074"/>
    <s v="MKS Bali"/>
    <x v="41"/>
    <x v="1"/>
    <x v="6"/>
    <s v="PPA0092"/>
    <x v="22"/>
    <n v="4.5999999999999996"/>
    <s v="KG"/>
    <n v="4.5999999999999996"/>
    <n v="536130"/>
    <n v="0"/>
    <s v="Invoice"/>
    <s v="Sudah Jadi FJ"/>
    <s v="2 blok"/>
  </r>
  <r>
    <d v="2026-08-08T00:00:00"/>
    <d v="2026-08-07T00:00:00"/>
    <s v="SO-KS/2608/070074"/>
    <s v="MKS Bali"/>
    <x v="41"/>
    <x v="1"/>
    <x v="6"/>
    <s v="PSJ0275"/>
    <x v="25"/>
    <n v="1"/>
    <s v="PACK"/>
    <n v="1"/>
    <n v="130000"/>
    <n v="0"/>
    <s v="Invoice"/>
    <s v="Sudah Jadi FJ"/>
    <s v="2 blok"/>
  </r>
  <r>
    <d v="2026-08-08T00:00:00"/>
    <d v="2026-08-07T00:00:00"/>
    <s v="SO-KS/2608/070075"/>
    <s v="MKS Bali"/>
    <x v="42"/>
    <x v="0"/>
    <x v="13"/>
    <s v="080239"/>
    <x v="19"/>
    <n v="2"/>
    <s v="PCS"/>
    <n v="2"/>
    <n v="86000"/>
    <n v="0"/>
    <s v="Invoice"/>
    <s v="Sudah Jadi FJ"/>
    <s v=" INTER"/>
  </r>
  <r>
    <d v="2026-08-08T00:00:00"/>
    <d v="2026-08-07T00:00:00"/>
    <s v="SO-KS/2608/070076"/>
    <s v="MKS Bali"/>
    <x v="42"/>
    <x v="0"/>
    <x v="13"/>
    <s v="PPA0092"/>
    <x v="22"/>
    <n v="23"/>
    <s v="KG"/>
    <n v="25.3"/>
    <n v="2656499.87"/>
    <n v="2.2999999999999998"/>
    <s v="Invoice"/>
    <s v="Sudah Jadi FJ"/>
    <s v=" INTERNASIONAL_x000d__x000a_"/>
  </r>
  <r>
    <d v="2026-08-08T00:00:00"/>
    <d v="2026-08-07T00:00:00"/>
    <s v="SO-KS/2608/070077"/>
    <s v="MKS Bali"/>
    <x v="42"/>
    <x v="0"/>
    <x v="13"/>
    <s v="PPA0092"/>
    <x v="22"/>
    <n v="5"/>
    <s v="KG"/>
    <n v="4.5999999999999996"/>
    <n v="482999.97"/>
    <n v="-0.4"/>
    <s v="Invoice"/>
    <s v="Sudah Jadi FJ"/>
    <s v="INTERNASIONAL"/>
  </r>
  <r>
    <d v="2026-08-08T00:00:00"/>
    <d v="2026-08-07T00:00:00"/>
    <s v="SO-KS/2608/070078"/>
    <s v="MKS Bali"/>
    <x v="43"/>
    <x v="0"/>
    <x v="0"/>
    <s v="PPA0092"/>
    <x v="22"/>
    <n v="50"/>
    <s v="KG"/>
    <n v="50.6"/>
    <n v="5059999.99"/>
    <n v="0.6"/>
    <s v="Invoice"/>
    <s v="Sudah Jadi FJ"/>
    <s v="kitchen vip"/>
  </r>
  <r>
    <d v="2026-08-08T00:00:00"/>
    <d v="2026-08-07T00:00:00"/>
    <s v="SO-KS/2608/070079"/>
    <s v="MKS Bali"/>
    <x v="42"/>
    <x v="0"/>
    <x v="13"/>
    <s v="120015"/>
    <x v="1"/>
    <n v="1"/>
    <s v="KG"/>
    <n v="1"/>
    <n v="36000"/>
    <n v="0"/>
    <s v="Invoice"/>
    <s v="Sudah Jadi FJ"/>
    <s v="DOMESTIK"/>
  </r>
  <r>
    <d v="2026-08-08T00:00:00"/>
    <d v="2026-08-07T00:00:00"/>
    <s v="SO-KS/2608/070081"/>
    <s v="MKS Bali"/>
    <x v="44"/>
    <x v="0"/>
    <x v="0"/>
    <s v="PPK0010"/>
    <x v="26"/>
    <n v="2"/>
    <s v="KG"/>
    <n v="2.0299999999999998"/>
    <n v="314650"/>
    <n v="0.03"/>
    <s v="Invoice"/>
    <s v="Sudah Jadi FJ"/>
    <s v="1 blok"/>
  </r>
  <r>
    <d v="2026-08-08T00:00:00"/>
    <d v="2026-08-07T00:00:00"/>
    <s v="SO-KS/2608/070082"/>
    <s v="MKS Bali"/>
    <x v="42"/>
    <x v="0"/>
    <x v="13"/>
    <s v="PPA0092"/>
    <x v="22"/>
    <n v="5"/>
    <s v="KG"/>
    <n v="4.5999999999999996"/>
    <n v="482999.97"/>
    <n v="-0.4"/>
    <s v="Invoice"/>
    <s v="Sudah Jadi FJ"/>
    <s v="INTERNASIONAL_x000d__x000a_"/>
  </r>
  <r>
    <d v="2026-08-08T00:00:00"/>
    <d v="2026-08-07T00:00:00"/>
    <s v="SO-KS/2608/070083"/>
    <s v="MKS Bali"/>
    <x v="45"/>
    <x v="0"/>
    <x v="7"/>
    <s v="SFM007"/>
    <x v="0"/>
    <n v="2"/>
    <s v="SACK"/>
    <n v="2"/>
    <n v="630000"/>
    <n v="0"/>
    <s v="Invoice"/>
    <s v="Sudah Jadi FJ"/>
    <s v=""/>
  </r>
  <r>
    <d v="2026-08-08T00:00:00"/>
    <d v="2026-08-07T00:00:00"/>
    <s v="SO-KS/2608/070086"/>
    <s v="MKS Bali"/>
    <x v="43"/>
    <x v="0"/>
    <x v="0"/>
    <s v="PPA0092"/>
    <x v="22"/>
    <n v="40"/>
    <s v="KG"/>
    <n v="41.399900000000002"/>
    <n v="4140000"/>
    <n v="1.3998999999999999"/>
    <s v="Invoice"/>
    <s v="Sudah Jadi FJ"/>
    <s v="kitchen asian"/>
  </r>
  <r>
    <d v="2026-08-08T00:00:00"/>
    <d v="2026-08-07T00:00:00"/>
    <s v="SO-KS/2608/070090"/>
    <s v="MKS Bali"/>
    <x v="43"/>
    <x v="0"/>
    <x v="0"/>
    <s v="PSJ0275"/>
    <x v="25"/>
    <n v="1"/>
    <s v="PACK"/>
    <n v="1"/>
    <n v="115000"/>
    <n v="0"/>
    <s v="Invoice"/>
    <s v="Sudah Jadi FJ"/>
    <s v=" kitchen fbc"/>
  </r>
  <r>
    <d v="2026-08-08T00:00:00"/>
    <d v="2026-08-07T00:00:00"/>
    <s v="SO-KS/2608/070090"/>
    <s v="MKS Bali"/>
    <x v="43"/>
    <x v="0"/>
    <x v="0"/>
    <s v="PPA0092"/>
    <x v="22"/>
    <n v="10"/>
    <s v="KG"/>
    <n v="9.1998999999999995"/>
    <n v="920000"/>
    <n v="-0.80010000000000003"/>
    <s v="Invoice"/>
    <s v="Sudah Jadi FJ"/>
    <s v=" kitchen fbc"/>
  </r>
  <r>
    <d v="2026-08-08T00:00:00"/>
    <d v="2026-08-07T00:00:00"/>
    <s v="SO-KS/2608/070092"/>
    <s v="MKS Bali"/>
    <x v="46"/>
    <x v="0"/>
    <x v="1"/>
    <s v="SFM009"/>
    <x v="2"/>
    <n v="7"/>
    <s v="SACK"/>
    <n v="7"/>
    <n v="1994999.99"/>
    <n v="0"/>
    <s v="Invoice"/>
    <s v="Sudah Jadi FJ"/>
    <s v="jangan yg alamat seminyak depan ryoshi"/>
  </r>
  <r>
    <d v="2026-08-08T00:00:00"/>
    <d v="2026-08-07T00:00:00"/>
    <s v="SO-KS/2608/070093"/>
    <s v="MKS Bali"/>
    <x v="47"/>
    <x v="0"/>
    <x v="5"/>
    <s v="PSJ0046"/>
    <x v="9"/>
    <n v="100"/>
    <s v="KG"/>
    <n v="100.84"/>
    <n v="18957920"/>
    <n v="0.84"/>
    <s v="Invoice"/>
    <s v="Sudah Jadi FJ"/>
    <s v=""/>
  </r>
  <r>
    <d v="2026-08-08T00:00:00"/>
    <d v="2026-08-07T00:00:00"/>
    <s v="SO-KS/2608/070095"/>
    <s v="MKS Bali"/>
    <x v="48"/>
    <x v="0"/>
    <x v="9"/>
    <s v="PNS0005"/>
    <x v="15"/>
    <n v="3"/>
    <s v="PACK"/>
    <n v="3"/>
    <n v="399600"/>
    <n v="0"/>
    <s v="Invoice"/>
    <s v="Sudah Jadi FJ"/>
    <s v=""/>
  </r>
  <r>
    <d v="2026-08-08T00:00:00"/>
    <d v="2026-08-07T00:00:00"/>
    <s v="SO-KS/2608/070096"/>
    <s v="MKS Bali"/>
    <x v="49"/>
    <x v="0"/>
    <x v="14"/>
    <s v="SFM018"/>
    <x v="8"/>
    <n v="50"/>
    <s v="SACK"/>
    <n v="50"/>
    <n v="13250000.07"/>
    <n v="0"/>
    <s v="Invoice"/>
    <s v="Sudah Jadi FJ"/>
    <s v=" Kirim ke Pabrik Baru Tuban"/>
  </r>
  <r>
    <d v="2026-08-08T00:00:00"/>
    <d v="2026-08-07T00:00:00"/>
    <s v="SO-KS/2608/070097"/>
    <s v="MKS Bali"/>
    <x v="50"/>
    <x v="0"/>
    <x v="15"/>
    <s v="080241"/>
    <x v="20"/>
    <n v="6"/>
    <s v="PCS"/>
    <n v="6"/>
    <n v="303030"/>
    <n v="0"/>
    <s v="Invoice"/>
    <s v="Sudah Jadi FJ"/>
    <s v=""/>
  </r>
  <r>
    <d v="2026-08-08T00:00:00"/>
    <d v="2026-08-07T00:00:00"/>
    <s v="SO-KS/2608/070098"/>
    <s v="MKS Bali"/>
    <x v="51"/>
    <x v="1"/>
    <x v="16"/>
    <s v="PPA0142"/>
    <x v="27"/>
    <n v="36"/>
    <s v="PCS"/>
    <n v="36"/>
    <n v="2548800.25"/>
    <n v="0"/>
    <s v="Invoice"/>
    <s v="Sudah Jadi FJ"/>
    <s v=""/>
  </r>
  <r>
    <d v="2026-08-08T00:00:00"/>
    <d v="2026-08-07T00:00:00"/>
    <s v="SO-KS/2608/070101"/>
    <s v="MKS Bali"/>
    <x v="48"/>
    <x v="0"/>
    <x v="13"/>
    <s v="PSJ0127"/>
    <x v="28"/>
    <n v="8"/>
    <s v="KG"/>
    <n v="6.7"/>
    <n v="904500"/>
    <n v="-1.3"/>
    <s v="Invoice"/>
    <s v="Sudah Jadi FJ"/>
    <s v=""/>
  </r>
  <r>
    <d v="2026-08-08T00:00:00"/>
    <d v="2026-08-07T00:00:00"/>
    <s v="SO-KS/2608/070102"/>
    <s v="MKS Bali"/>
    <x v="52"/>
    <x v="0"/>
    <x v="0"/>
    <s v="PSF0014"/>
    <x v="10"/>
    <n v="15"/>
    <s v="SACK"/>
    <n v="15"/>
    <n v="4050000.11"/>
    <n v="0"/>
    <s v="Invoice"/>
    <s v="Sudah Jadi FJ"/>
    <s v=""/>
  </r>
  <r>
    <d v="2026-08-08T00:00:00"/>
    <d v="2026-08-07T00:00:00"/>
    <s v="SO-KS/2608/070104"/>
    <s v="MKS Bali"/>
    <x v="53"/>
    <x v="0"/>
    <x v="3"/>
    <s v="SFM007"/>
    <x v="0"/>
    <n v="20"/>
    <s v="SACK"/>
    <n v="20"/>
    <n v="5559999.9900000002"/>
    <n v="0"/>
    <s v="Invoice"/>
    <s v="Sudah Jadi FJ"/>
    <s v=""/>
  </r>
  <r>
    <d v="2026-08-08T00:00:00"/>
    <d v="2026-08-07T00:00:00"/>
    <s v="SO-KS/2608/070105"/>
    <s v="MKS Bali"/>
    <x v="54"/>
    <x v="0"/>
    <x v="7"/>
    <s v="120009"/>
    <x v="29"/>
    <n v="20"/>
    <s v="KG"/>
    <n v="20"/>
    <n v="745920"/>
    <n v="0"/>
    <s v="Invoice"/>
    <s v="Sudah Jadi FJ"/>
    <s v=" kirim ke jlan gunung batukaru no. 70 (samping apotek kimia farma)_x000a_"/>
  </r>
  <r>
    <d v="2026-08-08T00:00:00"/>
    <d v="2026-08-07T00:00:00"/>
    <s v="SO-KS/2608/070106"/>
    <s v="MKS Bali"/>
    <x v="55"/>
    <x v="0"/>
    <x v="11"/>
    <s v="020020"/>
    <x v="23"/>
    <n v="16"/>
    <s v="PACK"/>
    <n v="16"/>
    <n v="1679999.99"/>
    <n v="0"/>
    <s v="Invoice"/>
    <s v="Sudah Jadi FJ"/>
    <s v=""/>
  </r>
  <r>
    <d v="2026-08-08T00:00:00"/>
    <d v="2026-08-07T00:00:00"/>
    <s v="SO-KS/2608/070107"/>
    <s v="MKS Bali"/>
    <x v="55"/>
    <x v="0"/>
    <x v="11"/>
    <s v="020020"/>
    <x v="23"/>
    <n v="48"/>
    <s v="PACK"/>
    <n v="48"/>
    <n v="5039999.97"/>
    <n v="0"/>
    <s v="Invoice"/>
    <s v="Sudah Jadi FJ"/>
    <s v="sesetan"/>
  </r>
  <r>
    <d v="2026-08-08T00:00:00"/>
    <d v="2026-08-07T00:00:00"/>
    <s v="SO-KS/2608/070108"/>
    <s v="MKS Bali"/>
    <x v="56"/>
    <x v="1"/>
    <x v="5"/>
    <s v="SFM009"/>
    <x v="2"/>
    <n v="1"/>
    <s v="SACK"/>
    <n v="1"/>
    <n v="355200"/>
    <n v="0"/>
    <s v="Invoice"/>
    <s v="Sudah Jadi FJ"/>
    <s v=""/>
  </r>
  <r>
    <d v="2026-08-08T00:00:00"/>
    <d v="2026-08-07T00:00:00"/>
    <s v="SO-KS/2608/070110"/>
    <s v="MKS Bali"/>
    <x v="57"/>
    <x v="0"/>
    <x v="5"/>
    <s v="PSJ0007"/>
    <x v="30"/>
    <n v="30"/>
    <s v="KG"/>
    <n v="30.42"/>
    <n v="10647000"/>
    <n v="0.42"/>
    <s v="Invoice"/>
    <s v="Sudah Jadi FJ"/>
    <s v="cafe"/>
  </r>
  <r>
    <d v="2026-08-08T00:00:00"/>
    <d v="2026-08-07T00:00:00"/>
    <s v="SO-KS/2608/070110"/>
    <s v="MKS Bali"/>
    <x v="57"/>
    <x v="0"/>
    <x v="5"/>
    <s v="PSJ0228"/>
    <x v="4"/>
    <n v="5"/>
    <s v="KG"/>
    <n v="5"/>
    <n v="500000"/>
    <n v="0"/>
    <s v="Invoice"/>
    <s v="Sudah Jadi FJ"/>
    <s v="cafe"/>
  </r>
  <r>
    <d v="2026-08-08T00:00:00"/>
    <d v="2026-08-07T00:00:00"/>
    <s v="SO-KS/2608/070111"/>
    <s v="MKS Bali"/>
    <x v="58"/>
    <x v="0"/>
    <x v="1"/>
    <s v="PSJ0024"/>
    <x v="31"/>
    <n v="2"/>
    <s v="KG"/>
    <n v="2"/>
    <n v="250000"/>
    <n v="0"/>
    <s v="Invoice"/>
    <s v="Sudah Jadi FJ"/>
    <s v=""/>
  </r>
  <r>
    <d v="2026-08-08T00:00:00"/>
    <d v="2026-08-07T00:00:00"/>
    <s v="SO-KS/2608/070112"/>
    <s v="MKS Bali"/>
    <x v="57"/>
    <x v="0"/>
    <x v="5"/>
    <s v="PSJ0007"/>
    <x v="30"/>
    <n v="30"/>
    <s v="KG"/>
    <n v="33.399900000000002"/>
    <n v="11690000"/>
    <n v="3.3999000000000001"/>
    <s v="Invoice"/>
    <s v="Sudah Jadi FJ"/>
    <s v=" oasis"/>
  </r>
  <r>
    <d v="2026-08-08T00:00:00"/>
    <d v="2026-08-07T00:00:00"/>
    <s v="SO-KS/2608/070112"/>
    <s v="MKS Bali"/>
    <x v="57"/>
    <x v="0"/>
    <x v="5"/>
    <s v="PSJ0228"/>
    <x v="4"/>
    <n v="5"/>
    <s v="KG"/>
    <n v="5"/>
    <n v="500000"/>
    <n v="0"/>
    <s v="Invoice"/>
    <s v="Sudah Jadi FJ"/>
    <s v=" oasis"/>
  </r>
  <r>
    <d v="2026-08-08T00:00:00"/>
    <d v="2026-08-07T00:00:00"/>
    <s v="SO-KS/2608/070113"/>
    <s v="MKS Bali"/>
    <x v="59"/>
    <x v="0"/>
    <x v="0"/>
    <s v="080239"/>
    <x v="19"/>
    <n v="48"/>
    <s v="PCS"/>
    <n v="48"/>
    <n v="2157840"/>
    <n v="0"/>
    <s v="Invoice"/>
    <s v="Sudah Jadi FJ"/>
    <s v=""/>
  </r>
  <r>
    <d v="2026-08-08T00:00:00"/>
    <d v="2026-08-07T00:00:00"/>
    <s v="SO-KS/2608/070114"/>
    <s v="MKS Bali"/>
    <x v="60"/>
    <x v="0"/>
    <x v="3"/>
    <s v="SFM007"/>
    <x v="0"/>
    <n v="1"/>
    <s v="SACK"/>
    <n v="1"/>
    <n v="290000"/>
    <n v="0"/>
    <s v="Invoice"/>
    <s v="Sudah Jadi FJ"/>
    <s v="kirim ke  jalan tegal cupek II no 15"/>
  </r>
  <r>
    <d v="2026-08-08T00:00:00"/>
    <d v="2026-08-07T00:00:00"/>
    <s v="SO-KS/2608/070114"/>
    <s v="MKS Bali"/>
    <x v="60"/>
    <x v="0"/>
    <x v="3"/>
    <s v="SFM009"/>
    <x v="2"/>
    <n v="1"/>
    <s v="SACK"/>
    <n v="1"/>
    <n v="310000"/>
    <n v="0"/>
    <s v="Invoice"/>
    <s v="Sudah Jadi FJ"/>
    <s v="kirim ke  jalan tegal cupek II no 15"/>
  </r>
  <r>
    <d v="2026-08-08T00:00:00"/>
    <d v="2026-08-07T00:00:00"/>
    <s v="SO-KS/2608/070115"/>
    <s v="MKS Bali"/>
    <x v="61"/>
    <x v="0"/>
    <x v="7"/>
    <s v="080240"/>
    <x v="32"/>
    <n v="6"/>
    <s v="PCS"/>
    <n v="6"/>
    <n v="303030"/>
    <n v="0"/>
    <s v="Invoice"/>
    <s v="Sudah Jadi FJ"/>
    <s v=""/>
  </r>
  <r>
    <d v="2026-08-08T00:00:00"/>
    <d v="2026-08-07T00:00:00"/>
    <s v="SO-KS/2608/070115"/>
    <s v="MKS Bali"/>
    <x v="61"/>
    <x v="0"/>
    <x v="7"/>
    <s v="080241"/>
    <x v="20"/>
    <n v="6"/>
    <s v="PCS"/>
    <n v="6"/>
    <n v="303030"/>
    <n v="0"/>
    <s v="Invoice"/>
    <s v="Sudah Jadi FJ"/>
    <s v=""/>
  </r>
  <r>
    <d v="2026-08-08T00:00:00"/>
    <d v="2026-08-07T00:00:00"/>
    <s v="SO-KS/2608/070117"/>
    <s v="MKS Bali"/>
    <x v="62"/>
    <x v="0"/>
    <x v="5"/>
    <s v="SFM007"/>
    <x v="0"/>
    <n v="3"/>
    <s v="SACK"/>
    <n v="3"/>
    <n v="960000.01"/>
    <n v="0"/>
    <s v="Invoice"/>
    <s v="Sudah Jadi FJ"/>
    <s v=""/>
  </r>
  <r>
    <d v="2026-08-08T00:00:00"/>
    <d v="2026-08-07T00:00:00"/>
    <s v="SO-KS/2608/070118"/>
    <s v="MKS Bali"/>
    <x v="62"/>
    <x v="0"/>
    <x v="5"/>
    <s v="PAN0004"/>
    <x v="33"/>
    <n v="40"/>
    <s v="KG"/>
    <n v="40"/>
    <n v="5079999.8"/>
    <n v="0"/>
    <s v="Invoice"/>
    <s v="Sudah Jadi FJ"/>
    <s v=""/>
  </r>
  <r>
    <d v="2026-08-08T00:00:00"/>
    <d v="2026-08-07T00:00:00"/>
    <s v="SO-KS/2608/070119"/>
    <s v="MKS Bali"/>
    <x v="63"/>
    <x v="0"/>
    <x v="5"/>
    <s v="SFM009"/>
    <x v="2"/>
    <n v="8"/>
    <s v="SACK"/>
    <n v="8"/>
    <n v="2322120"/>
    <n v="0"/>
    <s v="Invoice"/>
    <s v="Sudah Jadi FJ"/>
    <s v=""/>
  </r>
  <r>
    <d v="2026-08-08T00:00:00"/>
    <d v="2026-08-07T00:00:00"/>
    <s v="SO-KS/2608/070120"/>
    <s v="MKS Bali"/>
    <x v="63"/>
    <x v="0"/>
    <x v="5"/>
    <s v="PAN0004"/>
    <x v="33"/>
    <n v="5"/>
    <s v="KG"/>
    <n v="5"/>
    <n v="634999.98"/>
    <n v="0"/>
    <s v="Invoice"/>
    <s v="Sudah Jadi FJ"/>
    <s v=""/>
  </r>
  <r>
    <d v="2026-08-08T00:00:00"/>
    <d v="2026-08-07T00:00:00"/>
    <s v="SO-KS/2608/070123"/>
    <s v="MKS Bali"/>
    <x v="60"/>
    <x v="0"/>
    <x v="3"/>
    <s v="SFM007"/>
    <x v="0"/>
    <n v="1"/>
    <s v="SACK"/>
    <n v="1"/>
    <n v="290000"/>
    <n v="0"/>
    <s v="Invoice"/>
    <s v="Sudah Jadi FJ"/>
    <s v=" langsung di kirim ke outlet yg di berawa"/>
  </r>
  <r>
    <d v="2026-08-08T00:00:00"/>
    <d v="2026-08-07T00:00:00"/>
    <s v="SO-KS/2608/070124"/>
    <s v="MKS Bali"/>
    <x v="64"/>
    <x v="0"/>
    <x v="17"/>
    <s v="PLN0002"/>
    <x v="34"/>
    <n v="2"/>
    <s v="POU"/>
    <n v="2"/>
    <n v="190920"/>
    <n v="0"/>
    <s v="Invoice"/>
    <s v="Sudah Jadi FJ"/>
    <s v=""/>
  </r>
  <r>
    <d v="2026-08-08T00:00:00"/>
    <d v="2026-08-07T00:00:00"/>
    <s v="SO-KS/2608/070125"/>
    <s v="MKS Bali"/>
    <x v="64"/>
    <x v="0"/>
    <x v="17"/>
    <s v="PPA0092"/>
    <x v="22"/>
    <n v="2.5"/>
    <s v="KG"/>
    <n v="2.2999999999999998"/>
    <n v="230000"/>
    <n v="-0.2"/>
    <s v="Invoice"/>
    <s v="Sudah Jadi FJ"/>
    <s v=""/>
  </r>
  <r>
    <d v="2026-08-08T00:00:00"/>
    <d v="2026-08-07T00:00:00"/>
    <s v="SO-KS/2608/070127"/>
    <s v="MKS Bali"/>
    <x v="65"/>
    <x v="0"/>
    <x v="15"/>
    <s v="SFM007"/>
    <x v="0"/>
    <n v="1"/>
    <s v="SACK"/>
    <n v="1"/>
    <n v="280000"/>
    <n v="0"/>
    <s v="Invoice"/>
    <s v="Sudah Jadi FJ"/>
    <s v=""/>
  </r>
  <r>
    <d v="2026-08-08T00:00:00"/>
    <d v="2026-08-07T00:00:00"/>
    <s v="SO-KS/2608/070128"/>
    <s v="MKS Bali"/>
    <x v="66"/>
    <x v="0"/>
    <x v="2"/>
    <s v="PSF0018"/>
    <x v="35"/>
    <n v="3"/>
    <s v="KG"/>
    <n v="3"/>
    <n v="69000"/>
    <n v="0"/>
    <s v="Invoice"/>
    <s v="Sudah Jadi FJ"/>
    <s v=""/>
  </r>
  <r>
    <d v="2026-08-08T00:00:00"/>
    <d v="2026-08-07T00:00:00"/>
    <s v="SO-KS/2608/070128"/>
    <s v="MKS Bali"/>
    <x v="66"/>
    <x v="0"/>
    <x v="2"/>
    <s v="PSF0024"/>
    <x v="36"/>
    <n v="2"/>
    <s v="BAG"/>
    <n v="2"/>
    <n v="180000"/>
    <n v="0"/>
    <s v="Invoice"/>
    <s v="Sudah Jadi FJ"/>
    <s v=""/>
  </r>
  <r>
    <d v="2026-08-08T00:00:00"/>
    <d v="2026-08-07T00:00:00"/>
    <s v="SO-KS/2608/070129"/>
    <s v="MKS Bali"/>
    <x v="67"/>
    <x v="1"/>
    <x v="7"/>
    <s v="PSJ0187"/>
    <x v="37"/>
    <n v="8"/>
    <s v="KG"/>
    <n v="6.6"/>
    <n v="1155000"/>
    <n v="-1.4"/>
    <s v="Invoice"/>
    <s v="Sudah Jadi FJ"/>
    <s v=""/>
  </r>
  <r>
    <d v="2026-08-08T00:00:00"/>
    <d v="2026-08-07T00:00:00"/>
    <s v="SO-KS/2608/070131"/>
    <s v="MKS Bali"/>
    <x v="68"/>
    <x v="0"/>
    <x v="17"/>
    <s v="PSJ0046"/>
    <x v="9"/>
    <n v="3"/>
    <s v="KG"/>
    <n v="3.28"/>
    <n v="639600"/>
    <n v="0.28000000000000003"/>
    <s v="Invoice"/>
    <s v="Sudah Jadi FJ"/>
    <s v=""/>
  </r>
  <r>
    <d v="2026-08-08T00:00:00"/>
    <d v="2026-08-07T00:00:00"/>
    <s v="SO-KS/2608/070132"/>
    <s v="MKS Bali"/>
    <x v="69"/>
    <x v="0"/>
    <x v="8"/>
    <s v="020020"/>
    <x v="23"/>
    <n v="8"/>
    <s v="PACK"/>
    <n v="8"/>
    <n v="923520"/>
    <n v="0"/>
    <s v="Invoice"/>
    <s v="Sudah Jadi FJ"/>
    <s v=""/>
  </r>
  <r>
    <d v="2026-08-08T00:00:00"/>
    <d v="2026-08-07T00:00:00"/>
    <s v="SO-KS/2608/070132"/>
    <s v="MKS Bali"/>
    <x v="69"/>
    <x v="0"/>
    <x v="8"/>
    <s v="060004"/>
    <x v="24"/>
    <n v="30"/>
    <s v="PACK"/>
    <n v="30"/>
    <n v="2064600"/>
    <n v="0"/>
    <s v="Invoice"/>
    <s v="Sudah Jadi FJ"/>
    <s v=""/>
  </r>
  <r>
    <d v="2026-08-08T00:00:00"/>
    <d v="2026-08-07T00:00:00"/>
    <s v="SO-KS/2608/070133"/>
    <s v="MKS Bali"/>
    <x v="70"/>
    <x v="1"/>
    <x v="9"/>
    <s v="060013"/>
    <x v="14"/>
    <n v="2"/>
    <s v="PACK"/>
    <n v="2"/>
    <n v="128400.01"/>
    <n v="0"/>
    <s v="Invoice"/>
    <s v="Sudah Jadi FJ"/>
    <s v=""/>
  </r>
  <r>
    <d v="2026-08-08T00:00:00"/>
    <d v="2026-08-07T00:00:00"/>
    <s v="SO-KS/2608/070133"/>
    <s v="MKS Bali"/>
    <x v="70"/>
    <x v="1"/>
    <x v="9"/>
    <s v="020020"/>
    <x v="23"/>
    <n v="2"/>
    <s v="PACK"/>
    <n v="2"/>
    <n v="210000"/>
    <n v="0"/>
    <s v="Invoice"/>
    <s v="Sudah Jadi FJ"/>
    <s v=""/>
  </r>
  <r>
    <d v="2026-08-08T00:00:00"/>
    <d v="2026-08-07T00:00:00"/>
    <s v="SO-KS/2608/070134"/>
    <s v="MKS Bali"/>
    <x v="71"/>
    <x v="0"/>
    <x v="9"/>
    <s v="060004"/>
    <x v="24"/>
    <n v="5"/>
    <s v="PACK"/>
    <n v="5"/>
    <n v="299725.02"/>
    <n v="0"/>
    <s v="Invoice"/>
    <s v="Sudah Jadi FJ"/>
    <s v=""/>
  </r>
  <r>
    <d v="2026-08-08T00:00:00"/>
    <d v="2026-08-07T00:00:00"/>
    <s v="SO-KS/2608/070134"/>
    <s v="MKS Bali"/>
    <x v="71"/>
    <x v="0"/>
    <x v="9"/>
    <s v="060007"/>
    <x v="38"/>
    <n v="2"/>
    <s v="PACK"/>
    <n v="2"/>
    <n v="102600"/>
    <n v="0"/>
    <s v="Invoice"/>
    <s v="Sudah Jadi FJ"/>
    <s v=""/>
  </r>
  <r>
    <d v="2026-08-08T00:00:00"/>
    <d v="2026-08-07T00:00:00"/>
    <s v="SO-KS/2608/070140"/>
    <s v="MKS Bali"/>
    <x v="72"/>
    <x v="0"/>
    <x v="18"/>
    <s v="PAN0004"/>
    <x v="33"/>
    <n v="5"/>
    <s v="KG"/>
    <n v="5"/>
    <n v="612000"/>
    <n v="0"/>
    <s v="Invoice"/>
    <s v="Sudah Jadi FJ"/>
    <s v=""/>
  </r>
  <r>
    <d v="2026-08-08T00:00:00"/>
    <d v="2026-08-07T00:00:00"/>
    <s v="SO-KS/2608/070146"/>
    <s v="MKS Bali"/>
    <x v="73"/>
    <x v="0"/>
    <x v="18"/>
    <s v="PAN0004"/>
    <x v="33"/>
    <n v="10"/>
    <s v="KG"/>
    <n v="10"/>
    <n v="1224000"/>
    <n v="0"/>
    <s v="Invoice"/>
    <s v="Sudah Jadi FJ"/>
    <s v=""/>
  </r>
  <r>
    <d v="2026-08-08T00:00:00"/>
    <d v="2026-08-07T00:00:00"/>
    <s v="SO-KS/2608/070146"/>
    <s v="MKS Bali"/>
    <x v="73"/>
    <x v="0"/>
    <x v="18"/>
    <s v="PSJ0203"/>
    <x v="39"/>
    <n v="5"/>
    <s v="KG"/>
    <n v="7.38"/>
    <n v="1099620"/>
    <n v="2.38"/>
    <s v="Invoice"/>
    <s v="Sudah Jadi FJ"/>
    <s v=""/>
  </r>
  <r>
    <d v="2026-08-08T00:00:00"/>
    <d v="2026-08-07T00:00:00"/>
    <s v="SO-KS/2608/070148"/>
    <s v="MKS Bali"/>
    <x v="74"/>
    <x v="0"/>
    <x v="7"/>
    <s v="120015"/>
    <x v="1"/>
    <n v="20"/>
    <s v="KG"/>
    <n v="20"/>
    <n v="725940"/>
    <n v="0"/>
    <s v="Invoice"/>
    <s v="Sudah Jadi FJ"/>
    <s v=""/>
  </r>
  <r>
    <d v="2026-08-08T00:00:00"/>
    <d v="2026-08-07T00:00:00"/>
    <s v="SO-KS/2608/070149"/>
    <s v="MKS Bali"/>
    <x v="75"/>
    <x v="0"/>
    <x v="2"/>
    <s v="PPA0092"/>
    <x v="22"/>
    <n v="4.5999999999999996"/>
    <s v="KG"/>
    <n v="4.5999999999999996"/>
    <n v="483000.03"/>
    <n v="0"/>
    <s v="Invoice"/>
    <s v="Sudah Jadi FJ"/>
    <s v="2 LOAF"/>
  </r>
  <r>
    <d v="2026-08-08T00:00:00"/>
    <d v="2026-08-07T00:00:00"/>
    <s v="SO-KS/2608/070149"/>
    <s v="MKS Bali"/>
    <x v="75"/>
    <x v="0"/>
    <x v="2"/>
    <s v="PPA0224"/>
    <x v="40"/>
    <n v="2"/>
    <s v="PCS"/>
    <n v="2"/>
    <n v="100000.01"/>
    <n v="0"/>
    <s v="Invoice"/>
    <s v="Sudah Jadi FJ"/>
    <s v="2 LOAF"/>
  </r>
  <r>
    <d v="2026-08-08T00:00:00"/>
    <d v="2026-08-07T00:00:00"/>
    <s v="SO-KS/2608/070149"/>
    <s v="MKS Bali"/>
    <x v="75"/>
    <x v="0"/>
    <x v="2"/>
    <s v="PPA0225"/>
    <x v="41"/>
    <n v="2"/>
    <s v="PCS"/>
    <n v="2"/>
    <n v="100000.01"/>
    <n v="0"/>
    <s v="Invoice"/>
    <s v="Sudah Jadi FJ"/>
    <s v="2 LOAF"/>
  </r>
  <r>
    <d v="2026-08-08T00:00:00"/>
    <d v="2026-08-07T00:00:00"/>
    <s v="SO-KS/2608/070150"/>
    <s v="MKS Bali"/>
    <x v="76"/>
    <x v="1"/>
    <x v="1"/>
    <s v="PAN0024"/>
    <x v="42"/>
    <n v="2"/>
    <s v="KG"/>
    <n v="2.5"/>
    <n v="300000.01"/>
    <n v="0.5"/>
    <s v="Invoice"/>
    <s v="Sudah Jadi FJ"/>
    <s v="1 loaf"/>
  </r>
  <r>
    <d v="2026-08-08T00:00:00"/>
    <d v="2026-08-07T00:00:00"/>
    <s v="SO-KS/2608/070151"/>
    <s v="MKS Bali"/>
    <x v="77"/>
    <x v="0"/>
    <x v="1"/>
    <s v="SFM007"/>
    <x v="0"/>
    <n v="1"/>
    <s v="SACK"/>
    <n v="1"/>
    <n v="300000"/>
    <n v="0"/>
    <s v="Invoice"/>
    <s v="Sudah Jadi FJ"/>
    <s v="Damaria"/>
  </r>
  <r>
    <d v="2026-08-08T00:00:00"/>
    <d v="2026-08-07T00:00:00"/>
    <s v="SO-KS/2608/070151"/>
    <s v="MKS Bali"/>
    <x v="77"/>
    <x v="0"/>
    <x v="1"/>
    <s v="SFM009"/>
    <x v="2"/>
    <n v="1"/>
    <s v="SACK"/>
    <n v="1"/>
    <n v="304999.99"/>
    <n v="0"/>
    <s v="Invoice"/>
    <s v="Sudah Jadi FJ"/>
    <s v="Damaria"/>
  </r>
  <r>
    <d v="2026-08-08T00:00:00"/>
    <d v="2026-08-07T00:00:00"/>
    <s v="SO-KS/2608/070152"/>
    <s v="MKS Bali"/>
    <x v="39"/>
    <x v="0"/>
    <x v="1"/>
    <s v="PSJ0228"/>
    <x v="4"/>
    <n v="2.5"/>
    <s v="KG"/>
    <n v="2.5"/>
    <n v="262500"/>
    <n v="0"/>
    <s v="Invoice"/>
    <s v="Sudah Jadi FJ"/>
    <s v=""/>
  </r>
  <r>
    <d v="2026-08-08T00:00:00"/>
    <d v="2026-08-07T00:00:00"/>
    <s v="SO-KS/2608/070153"/>
    <s v="MKS Bali"/>
    <x v="78"/>
    <x v="0"/>
    <x v="4"/>
    <s v="SFM007"/>
    <x v="0"/>
    <n v="2"/>
    <s v="SACK"/>
    <n v="2"/>
    <n v="612000"/>
    <n v="0"/>
    <s v="Invoice"/>
    <s v="Sudah Jadi FJ"/>
    <s v=""/>
  </r>
  <r>
    <d v="2026-08-08T00:00:00"/>
    <d v="2026-08-07T00:00:00"/>
    <s v="SO-KS/2608/070154"/>
    <s v="MKS Bali"/>
    <x v="79"/>
    <x v="0"/>
    <x v="3"/>
    <s v="SFM009"/>
    <x v="2"/>
    <n v="4"/>
    <s v="SACK"/>
    <n v="4"/>
    <n v="1240000"/>
    <n v="0"/>
    <s v="Invoice"/>
    <s v="Sudah Jadi FJ"/>
    <s v=""/>
  </r>
  <r>
    <d v="2026-08-08T00:00:00"/>
    <d v="2026-08-07T00:00:00"/>
    <s v="SO-KS/2608/070154"/>
    <s v="MKS Bali"/>
    <x v="79"/>
    <x v="0"/>
    <x v="3"/>
    <s v="SFM018"/>
    <x v="8"/>
    <n v="2"/>
    <s v="SACK"/>
    <n v="2"/>
    <n v="570000"/>
    <n v="0"/>
    <s v="Invoice"/>
    <s v="Sudah Jadi FJ"/>
    <s v=""/>
  </r>
  <r>
    <d v="2026-08-08T00:00:00"/>
    <d v="2026-08-07T00:00:00"/>
    <s v="SO-KS/2608/070155"/>
    <s v="MKS Bali"/>
    <x v="80"/>
    <x v="0"/>
    <x v="4"/>
    <s v="SFM007"/>
    <x v="0"/>
    <n v="1"/>
    <s v="SACK"/>
    <n v="1"/>
    <n v="327450"/>
    <n v="0"/>
    <s v="Invoice"/>
    <s v="Sudah Jadi FJ"/>
    <s v=""/>
  </r>
  <r>
    <d v="2026-08-08T00:00:00"/>
    <d v="2026-08-07T00:00:00"/>
    <s v="SO-KS/2608/070161"/>
    <s v="MKS Bali"/>
    <x v="81"/>
    <x v="1"/>
    <x v="5"/>
    <s v="PSJ0011"/>
    <x v="43"/>
    <n v="15"/>
    <s v="KG"/>
    <n v="15.6099"/>
    <n v="2263450"/>
    <n v="0.6099"/>
    <s v="Invoice"/>
    <s v="Sudah Jadi FJ"/>
    <s v=""/>
  </r>
  <r>
    <d v="2026-08-08T00:00:00"/>
    <d v="2026-08-07T00:00:00"/>
    <s v="SO-KS/2608/070164"/>
    <s v="MKS Bali"/>
    <x v="82"/>
    <x v="0"/>
    <x v="17"/>
    <s v="PSJ0203"/>
    <x v="39"/>
    <n v="6"/>
    <s v="KG"/>
    <n v="4"/>
    <n v="648000"/>
    <n v="-2"/>
    <s v="Invoice"/>
    <s v="Sudah Jadi FJ"/>
    <s v=""/>
  </r>
  <r>
    <d v="2026-08-08T00:00:00"/>
    <d v="2026-08-07T00:00:00"/>
    <s v="SO-KS/2608/070166"/>
    <s v="MKS Bali"/>
    <x v="83"/>
    <x v="1"/>
    <x v="13"/>
    <s v="080239"/>
    <x v="19"/>
    <n v="2"/>
    <s v="PCS"/>
    <n v="2"/>
    <n v="89910"/>
    <n v="0"/>
    <s v="Invoice"/>
    <s v="Sudah Jadi FJ"/>
    <s v=""/>
  </r>
  <r>
    <d v="2026-08-08T00:00:00"/>
    <d v="2026-08-07T00:00:00"/>
    <s v="SO-KS/2608/070166"/>
    <s v="MKS Bali"/>
    <x v="83"/>
    <x v="1"/>
    <x v="13"/>
    <s v="080240"/>
    <x v="32"/>
    <n v="3"/>
    <s v="PCS"/>
    <n v="3"/>
    <n v="151515"/>
    <n v="0"/>
    <s v="Invoice"/>
    <s v="Sudah Jadi FJ"/>
    <s v=""/>
  </r>
  <r>
    <d v="2026-08-08T00:00:00"/>
    <d v="2026-08-07T00:00:00"/>
    <s v="SO-KS/2608/070166"/>
    <s v="MKS Bali"/>
    <x v="83"/>
    <x v="1"/>
    <x v="13"/>
    <s v="080241"/>
    <x v="20"/>
    <n v="3"/>
    <s v="PCS"/>
    <n v="3"/>
    <n v="151515"/>
    <n v="0"/>
    <s v="Invoice"/>
    <s v="Sudah Jadi FJ"/>
    <s v=""/>
  </r>
  <r>
    <d v="2026-08-08T00:00:00"/>
    <d v="2026-08-07T00:00:00"/>
    <s v="SO-KS/2608/070171"/>
    <s v="MKS Bali"/>
    <x v="84"/>
    <x v="0"/>
    <x v="7"/>
    <s v="PSJ0203"/>
    <x v="39"/>
    <n v="4"/>
    <s v="KG"/>
    <n v="4.96"/>
    <n v="783680"/>
    <n v="0.96"/>
    <s v="Invoice"/>
    <s v="Sudah Jadi FJ"/>
    <s v=""/>
  </r>
  <r>
    <d v="2026-08-08T00:00:00"/>
    <d v="2026-08-07T00:00:00"/>
    <s v="SO-KS/2608/070171"/>
    <s v="MKS Bali"/>
    <x v="84"/>
    <x v="0"/>
    <x v="7"/>
    <s v="PSJ0371"/>
    <x v="12"/>
    <n v="6"/>
    <s v="KG"/>
    <n v="6.37"/>
    <n v="2739100"/>
    <n v="0.37"/>
    <s v="Invoice"/>
    <s v="Sudah Jadi FJ"/>
    <s v=""/>
  </r>
  <r>
    <d v="2026-08-08T00:00:00"/>
    <d v="2026-08-07T00:00:00"/>
    <s v="SO-KS/2608/070172"/>
    <s v="MKS Bali"/>
    <x v="85"/>
    <x v="0"/>
    <x v="7"/>
    <s v="PSJ0371"/>
    <x v="12"/>
    <n v="2"/>
    <s v="KG"/>
    <n v="2.16"/>
    <n v="734400"/>
    <n v="0.16"/>
    <s v="Invoice"/>
    <s v="Sudah Jadi FJ"/>
    <s v="1 loaf"/>
  </r>
  <r>
    <d v="2026-08-08T00:00:00"/>
    <d v="2026-08-07T00:00:00"/>
    <s v="SO-KS/2608/070175"/>
    <s v="MKS Bali"/>
    <x v="86"/>
    <x v="0"/>
    <x v="16"/>
    <s v="POT1009"/>
    <x v="44"/>
    <n v="3"/>
    <s v="BAG"/>
    <n v="2"/>
    <n v="1340000"/>
    <n v="-1"/>
    <s v="Invoice"/>
    <s v="Sudah Jadi FJ"/>
    <s v=""/>
  </r>
  <r>
    <d v="2026-08-08T00:00:00"/>
    <d v="2026-08-07T00:00:00"/>
    <s v="SO-KS/2608/070177"/>
    <s v="MKS Bali"/>
    <x v="87"/>
    <x v="0"/>
    <x v="10"/>
    <s v="300099"/>
    <x v="16"/>
    <n v="18"/>
    <s v="PACK"/>
    <n v="18"/>
    <n v="785699.92"/>
    <n v="0"/>
    <s v="Invoice"/>
    <s v="Sudah Jadi FJ"/>
    <s v=""/>
  </r>
  <r>
    <d v="2026-08-08T00:00:00"/>
    <d v="2026-08-07T00:00:00"/>
    <s v="SO-KS/2608/070177"/>
    <s v="MKS Bali"/>
    <x v="87"/>
    <x v="0"/>
    <x v="10"/>
    <s v="060007"/>
    <x v="38"/>
    <n v="240"/>
    <s v="PACK"/>
    <n v="240"/>
    <n v="12959999.82"/>
    <n v="0"/>
    <s v="Invoice"/>
    <s v="Sudah Jadi FJ"/>
    <s v=""/>
  </r>
  <r>
    <d v="2026-08-08T00:00:00"/>
    <d v="2026-08-07T00:00:00"/>
    <s v="SO-KS/2608/070177"/>
    <s v="MKS Bali"/>
    <x v="87"/>
    <x v="0"/>
    <x v="10"/>
    <s v="060015"/>
    <x v="45"/>
    <n v="12"/>
    <s v="PACK"/>
    <n v="12"/>
    <n v="613200.05000000005"/>
    <n v="0"/>
    <s v="Invoice"/>
    <s v="Sudah Jadi FJ"/>
    <s v=""/>
  </r>
  <r>
    <d v="2026-08-08T00:00:00"/>
    <d v="2026-08-07T00:00:00"/>
    <s v="SO-KS/2608/070178"/>
    <s v="MKS Bali"/>
    <x v="88"/>
    <x v="0"/>
    <x v="17"/>
    <s v="080239"/>
    <x v="19"/>
    <n v="8"/>
    <s v="PCS"/>
    <n v="8"/>
    <n v="359640"/>
    <n v="0"/>
    <s v="Invoice"/>
    <s v="Sudah Jadi FJ"/>
    <s v="Taman Gita"/>
  </r>
  <r>
    <d v="2026-08-08T00:00:00"/>
    <d v="2026-08-07T00:00:00"/>
    <s v="SO-KS/2608/070179"/>
    <s v="MKS Bali"/>
    <x v="89"/>
    <x v="1"/>
    <x v="1"/>
    <s v="POT0782"/>
    <x v="46"/>
    <n v="6"/>
    <s v="CAN"/>
    <n v="4"/>
    <n v="1966920"/>
    <n v="-2"/>
    <s v="Invoice"/>
    <s v="Sudah Jadi FJ"/>
    <s v="po kufu pao"/>
  </r>
  <r>
    <d v="2026-08-08T00:00:00"/>
    <d v="2026-08-07T00:00:00"/>
    <s v="SO-KS/2608/070187"/>
    <s v="MKS Bali"/>
    <x v="90"/>
    <x v="0"/>
    <x v="17"/>
    <s v="PSJ0175"/>
    <x v="47"/>
    <n v="3"/>
    <s v="KG"/>
    <n v="5.33"/>
    <n v="719550"/>
    <n v="2.33"/>
    <s v="Invoice"/>
    <s v="Sudah Jadi FJ"/>
    <s v=""/>
  </r>
  <r>
    <d v="2026-08-08T00:00:00"/>
    <d v="2026-08-07T00:00:00"/>
    <s v="SO-KS/2608/070188"/>
    <s v="MKS Bali"/>
    <x v="91"/>
    <x v="1"/>
    <x v="1"/>
    <s v="SFM007"/>
    <x v="0"/>
    <n v="1"/>
    <s v="SACK"/>
    <n v="1"/>
    <n v="327450"/>
    <n v="0"/>
    <s v="Invoice"/>
    <s v="Sudah Jadi FJ"/>
    <s v="3 loaf"/>
  </r>
  <r>
    <d v="2026-08-08T00:00:00"/>
    <d v="2026-08-07T00:00:00"/>
    <s v="SO-KS/2608/070189"/>
    <s v="MKS Bali"/>
    <x v="91"/>
    <x v="1"/>
    <x v="1"/>
    <s v="PPA0092"/>
    <x v="22"/>
    <n v="6.9"/>
    <s v="KG"/>
    <n v="6.9"/>
    <n v="759000.01"/>
    <n v="0"/>
    <s v="Invoice"/>
    <s v="Sudah Jadi FJ"/>
    <s v="3 loaf"/>
  </r>
  <r>
    <d v="2026-08-08T00:00:00"/>
    <d v="2026-08-07T00:00:00"/>
    <s v="SO-KS/2608/070190"/>
    <s v="MKS Bali"/>
    <x v="41"/>
    <x v="1"/>
    <x v="6"/>
    <s v="PSJ0275"/>
    <x v="25"/>
    <n v="1"/>
    <s v="PACK"/>
    <n v="1"/>
    <n v="130000"/>
    <n v="0"/>
    <s v="Invoice"/>
    <s v="Sudah Jadi FJ"/>
    <s v="tambahan"/>
  </r>
  <r>
    <d v="2026-08-08T00:00:00"/>
    <d v="2026-08-07T00:00:00"/>
    <s v="SO-KS/2608/070192"/>
    <s v="MKS Bali"/>
    <x v="92"/>
    <x v="0"/>
    <x v="16"/>
    <s v="PPK0010"/>
    <x v="26"/>
    <n v="32"/>
    <s v="KG"/>
    <n v="32.78"/>
    <n v="4982560.1100000003"/>
    <n v="0.78"/>
    <s v="Invoice"/>
    <s v="Sudah Jadi FJ"/>
    <s v="16 lup tanpa pekingan.Di kirim jalan kargo expedisi acl _x000a_"/>
  </r>
  <r>
    <d v="2026-08-08T00:00:00"/>
    <d v="2026-08-07T00:00:00"/>
    <s v="SO-KU/2608/070001"/>
    <s v="MKU Bali"/>
    <x v="93"/>
    <x v="1"/>
    <x v="2"/>
    <s v="PSJ0019"/>
    <x v="48"/>
    <n v="20"/>
    <s v="KG"/>
    <n v="20"/>
    <n v="2000000"/>
    <n v="0"/>
    <s v="Invoice"/>
    <s v="Sudah Jadi FJ"/>
    <s v=""/>
  </r>
  <r>
    <d v="2026-08-08T00:00:00"/>
    <d v="2026-08-07T00:00:00"/>
    <s v="SO-KU/2608/070004"/>
    <s v="MKU Bali"/>
    <x v="10"/>
    <x v="0"/>
    <x v="1"/>
    <s v="POT0046"/>
    <x v="49"/>
    <n v="25"/>
    <s v="KG"/>
    <n v="25"/>
    <n v="4125000.04"/>
    <n v="0"/>
    <s v="Invoice"/>
    <s v="Sudah Jadi FJ"/>
    <s v=""/>
  </r>
  <r>
    <d v="2026-08-08T00:00:00"/>
    <d v="2026-08-07T00:00:00"/>
    <s v="SO-KU/2608/070005"/>
    <s v="MKU Bali"/>
    <x v="94"/>
    <x v="1"/>
    <x v="5"/>
    <s v="POT0120"/>
    <x v="50"/>
    <n v="1"/>
    <s v="GLN"/>
    <n v="1"/>
    <n v="640000"/>
    <n v="0"/>
    <s v="Invoice"/>
    <s v="Sudah Jadi FJ"/>
    <s v=""/>
  </r>
  <r>
    <d v="2026-08-08T00:00:00"/>
    <d v="2026-08-07T00:00:00"/>
    <s v="SO-KU/2608/070007"/>
    <s v="MKU Bali"/>
    <x v="95"/>
    <x v="1"/>
    <x v="4"/>
    <s v="PMS0026"/>
    <x v="51"/>
    <n v="4"/>
    <s v="POU"/>
    <n v="4"/>
    <n v="659340"/>
    <n v="0"/>
    <s v="Invoice"/>
    <s v="Sudah Jadi FJ"/>
    <s v=""/>
  </r>
  <r>
    <d v="2026-08-08T00:00:00"/>
    <d v="2026-08-07T00:00:00"/>
    <s v="SO-KU/2608/070008"/>
    <s v="MKU Bali"/>
    <x v="96"/>
    <x v="1"/>
    <x v="1"/>
    <s v="PMS0037"/>
    <x v="52"/>
    <n v="5"/>
    <s v="PACK"/>
    <n v="5"/>
    <n v="430125"/>
    <n v="0"/>
    <s v="Invoice"/>
    <s v="Sudah Jadi FJ"/>
    <s v=""/>
  </r>
  <r>
    <d v="2026-08-08T00:00:00"/>
    <d v="2026-08-07T00:00:00"/>
    <s v="SO-KU/2608/070010"/>
    <s v="MKU Bali"/>
    <x v="97"/>
    <x v="0"/>
    <x v="6"/>
    <s v="PAA0001"/>
    <x v="53"/>
    <n v="26"/>
    <s v="KG"/>
    <n v="26.079899999999999"/>
    <n v="2477600.13"/>
    <n v="7.9899999999999999E-2"/>
    <s v="Invoice"/>
    <s v="Sudah Jadi FJ"/>
    <s v=""/>
  </r>
  <r>
    <d v="2026-08-08T00:00:00"/>
    <d v="2026-08-07T00:00:00"/>
    <s v="SO-KU/2608/070011"/>
    <s v="MKU Bali"/>
    <x v="98"/>
    <x v="0"/>
    <x v="16"/>
    <s v="CKP1S-164"/>
    <x v="54"/>
    <n v="100"/>
    <s v="BTL"/>
    <n v="40"/>
    <n v="2699999.96"/>
    <n v="-60"/>
    <s v="Invoice"/>
    <s v="Sudah Jadi FJ"/>
    <s v=""/>
  </r>
  <r>
    <d v="2026-08-08T00:00:00"/>
    <d v="2026-08-07T00:00:00"/>
    <s v="SO-KU/2608/070011"/>
    <s v="MKU Bali"/>
    <x v="98"/>
    <x v="0"/>
    <x v="16"/>
    <s v="CKP1S-160"/>
    <x v="55"/>
    <n v="100"/>
    <s v="BTL"/>
    <n v="100"/>
    <n v="6749999.9100000001"/>
    <n v="0"/>
    <s v="Invoice"/>
    <s v="Sudah Jadi FJ"/>
    <s v=""/>
  </r>
  <r>
    <d v="2026-08-08T00:00:00"/>
    <d v="2026-08-07T00:00:00"/>
    <s v="SO-KU/2608/070011"/>
    <s v="MKU Bali"/>
    <x v="98"/>
    <x v="0"/>
    <x v="16"/>
    <s v="PJS0004"/>
    <x v="56"/>
    <n v="100"/>
    <s v="BTL"/>
    <n v="100"/>
    <n v="6749999.9100000001"/>
    <n v="0"/>
    <s v="Invoice"/>
    <s v="Sudah Jadi FJ"/>
    <s v=""/>
  </r>
  <r>
    <d v="2026-08-08T00:00:00"/>
    <d v="2026-08-07T00:00:00"/>
    <s v="SO-KU/2608/070012"/>
    <s v="MKU Bali"/>
    <x v="99"/>
    <x v="0"/>
    <x v="19"/>
    <s v="POT0038"/>
    <x v="57"/>
    <n v="8"/>
    <s v="PACK"/>
    <n v="8"/>
    <n v="480000"/>
    <n v="0"/>
    <s v="Invoice"/>
    <s v="Sudah Jadi FJ"/>
    <s v=""/>
  </r>
  <r>
    <d v="2026-08-08T00:00:00"/>
    <d v="2026-08-07T00:00:00"/>
    <s v="SO-KU/2608/070016"/>
    <s v="MKU Bali"/>
    <x v="100"/>
    <x v="0"/>
    <x v="0"/>
    <s v="PMS0178"/>
    <x v="58"/>
    <n v="2"/>
    <s v="PACK"/>
    <n v="2"/>
    <n v="2297700"/>
    <n v="0"/>
    <s v="Invoice"/>
    <s v="Sudah Jadi FJ"/>
    <s v=""/>
  </r>
  <r>
    <d v="2026-08-08T00:00:00"/>
    <d v="2026-08-07T00:00:00"/>
    <s v="SO-KU/2608/070017"/>
    <s v="MKU Bali"/>
    <x v="101"/>
    <x v="1"/>
    <x v="7"/>
    <s v="PMS0036"/>
    <x v="59"/>
    <n v="2"/>
    <s v="PACK"/>
    <n v="2"/>
    <n v="412000"/>
    <n v="0"/>
    <s v="Invoice"/>
    <s v="Sudah Jadi FJ"/>
    <s v=""/>
  </r>
  <r>
    <d v="2026-08-08T00:00:00"/>
    <d v="2026-08-07T00:00:00"/>
    <s v="SO-KU/2608/070018"/>
    <s v="MKU Bali"/>
    <x v="102"/>
    <x v="1"/>
    <x v="5"/>
    <s v="CKP1S-164"/>
    <x v="54"/>
    <n v="10"/>
    <s v="BTL"/>
    <n v="10"/>
    <n v="674999.99"/>
    <n v="0"/>
    <s v="Invoice"/>
    <s v="Sudah Jadi FJ"/>
    <s v=""/>
  </r>
  <r>
    <d v="2026-08-08T00:00:00"/>
    <d v="2026-08-07T00:00:00"/>
    <s v="SO-KU/2608/070019"/>
    <s v="MKU Bali"/>
    <x v="103"/>
    <x v="1"/>
    <x v="4"/>
    <s v="PMS0033"/>
    <x v="60"/>
    <n v="1"/>
    <s v="PACK"/>
    <n v="1"/>
    <n v="66600"/>
    <n v="0"/>
    <s v="Invoice"/>
    <s v="Sudah Jadi FJ"/>
    <s v=""/>
  </r>
  <r>
    <d v="2026-08-08T00:00:00"/>
    <d v="2026-08-07T00:00:00"/>
    <s v="SO-KU/2608/070019"/>
    <s v="MKU Bali"/>
    <x v="103"/>
    <x v="1"/>
    <x v="4"/>
    <s v="PMS0034"/>
    <x v="61"/>
    <n v="1"/>
    <s v="PACK"/>
    <n v="1"/>
    <n v="73815"/>
    <n v="0"/>
    <s v="Invoice"/>
    <s v="Sudah Jadi FJ"/>
    <s v=""/>
  </r>
  <r>
    <d v="2026-08-08T00:00:00"/>
    <d v="2026-08-07T00:00:00"/>
    <s v="SO-KU/2608/070020"/>
    <s v="MKU Bali"/>
    <x v="104"/>
    <x v="0"/>
    <x v="13"/>
    <s v="PMS0178"/>
    <x v="58"/>
    <n v="4"/>
    <s v="PACK"/>
    <n v="4"/>
    <n v="4365630"/>
    <n v="0"/>
    <s v="Invoice"/>
    <s v="Sudah Jadi FJ"/>
    <s v=""/>
  </r>
  <r>
    <d v="2026-08-08T00:00:00"/>
    <d v="2026-08-07T00:00:00"/>
    <s v="SO-KU/2608/070025"/>
    <s v="MKU Bali"/>
    <x v="105"/>
    <x v="0"/>
    <x v="3"/>
    <s v="PEA0005"/>
    <x v="62"/>
    <n v="5"/>
    <s v="KG"/>
    <n v="5.76"/>
    <n v="662400.04"/>
    <n v="0.76"/>
    <s v="Invoice"/>
    <s v="Sudah Jadi FJ"/>
    <s v=""/>
  </r>
  <r>
    <d v="2026-08-08T00:00:00"/>
    <d v="2026-08-07T00:00:00"/>
    <s v="SO-KU/2608/070026"/>
    <s v="MKU Bali"/>
    <x v="42"/>
    <x v="0"/>
    <x v="13"/>
    <s v="PEA0010"/>
    <x v="63"/>
    <n v="12"/>
    <s v="KG"/>
    <n v="11.57"/>
    <n v="1261130.02"/>
    <n v="-0.43"/>
    <s v="Invoice"/>
    <s v="Sudah Jadi FJ"/>
    <s v=" INTERNASIONAL"/>
  </r>
  <r>
    <d v="2026-08-08T00:00:00"/>
    <d v="2026-08-07T00:00:00"/>
    <s v="SO-KU/2608/070027"/>
    <s v="MKU Bali"/>
    <x v="42"/>
    <x v="0"/>
    <x v="13"/>
    <s v="PEA0010"/>
    <x v="63"/>
    <n v="4"/>
    <s v="KG"/>
    <n v="3.8"/>
    <n v="414200.01"/>
    <n v="-0.2"/>
    <s v="Invoice"/>
    <s v="Sudah Jadi FJ"/>
    <s v=" DOMESTIK"/>
  </r>
  <r>
    <d v="2026-08-08T00:00:00"/>
    <d v="2026-08-07T00:00:00"/>
    <s v="SO-KU/2608/070028"/>
    <s v="MKU Bali"/>
    <x v="42"/>
    <x v="0"/>
    <x v="13"/>
    <s v="ASS-CH-TB50"/>
    <x v="64"/>
    <n v="1"/>
    <s v="BOX"/>
    <n v="1"/>
    <n v="95000.01"/>
    <n v="0"/>
    <s v="Invoice"/>
    <s v="Sudah Jadi FJ"/>
    <s v=" DOMESTIK"/>
  </r>
  <r>
    <d v="2026-08-08T00:00:00"/>
    <d v="2026-08-07T00:00:00"/>
    <s v="SO-KU/2608/070028"/>
    <s v="MKU Bali"/>
    <x v="42"/>
    <x v="0"/>
    <x v="13"/>
    <s v="ASS-PGT"/>
    <x v="65"/>
    <n v="1"/>
    <s v="BOX"/>
    <n v="1"/>
    <n v="87500"/>
    <n v="0"/>
    <s v="Invoice"/>
    <s v="Sudah Jadi FJ"/>
    <s v=" DOMESTIK"/>
  </r>
  <r>
    <d v="2026-08-08T00:00:00"/>
    <d v="2026-08-07T00:00:00"/>
    <s v="SO-KU/2608/070029"/>
    <s v="MKU Bali"/>
    <x v="42"/>
    <x v="0"/>
    <x v="13"/>
    <s v="PEA0010"/>
    <x v="63"/>
    <n v="5"/>
    <s v="KG"/>
    <n v="5.16"/>
    <n v="562440.01"/>
    <n v="0.16"/>
    <s v="Invoice"/>
    <s v="Sudah Jadi FJ"/>
    <s v="DOMESTIK"/>
  </r>
  <r>
    <d v="2026-08-08T00:00:00"/>
    <d v="2026-08-07T00:00:00"/>
    <s v="SO-KU/2608/070031"/>
    <s v="MKU Bali"/>
    <x v="43"/>
    <x v="0"/>
    <x v="0"/>
    <s v="POS0024"/>
    <x v="66"/>
    <n v="36"/>
    <s v="CAN"/>
    <n v="36"/>
    <n v="2880000.32"/>
    <n v="0"/>
    <s v="Invoice"/>
    <s v="Sudah Jadi FJ"/>
    <s v=" kitchen fbc"/>
  </r>
  <r>
    <d v="2026-08-08T00:00:00"/>
    <d v="2026-08-07T00:00:00"/>
    <s v="SO-KU/2608/070032"/>
    <s v="MKU Bali"/>
    <x v="43"/>
    <x v="0"/>
    <x v="0"/>
    <s v="MRD1318A"/>
    <x v="67"/>
    <n v="10"/>
    <s v="KG"/>
    <n v="11.8"/>
    <n v="1498600"/>
    <n v="1.8"/>
    <s v="Invoice"/>
    <s v="Sudah Jadi FJ"/>
    <s v=" kitchen fbc"/>
  </r>
  <r>
    <d v="2026-08-08T00:00:00"/>
    <d v="2026-08-07T00:00:00"/>
    <s v="SO-KU/2608/070032"/>
    <s v="MKU Bali"/>
    <x v="43"/>
    <x v="0"/>
    <x v="0"/>
    <s v="150226"/>
    <x v="68"/>
    <n v="30"/>
    <s v="KG"/>
    <n v="32.03"/>
    <n v="3843600"/>
    <n v="2.0299999999999998"/>
    <s v="Invoice"/>
    <s v="Sudah Jadi FJ"/>
    <s v=" kitchen fbc"/>
  </r>
  <r>
    <d v="2026-08-08T00:00:00"/>
    <d v="2026-08-07T00:00:00"/>
    <s v="SO-KU/2608/070033"/>
    <s v="MKU Bali"/>
    <x v="106"/>
    <x v="1"/>
    <x v="16"/>
    <s v="PSJ0019"/>
    <x v="48"/>
    <n v="4"/>
    <s v="KG"/>
    <n v="4"/>
    <n v="400000"/>
    <n v="0"/>
    <s v="Invoice"/>
    <s v="Sudah Jadi FJ"/>
    <s v=""/>
  </r>
  <r>
    <d v="2026-08-08T00:00:00"/>
    <d v="2026-08-07T00:00:00"/>
    <s v="SO-KU/2608/070034"/>
    <s v="MKU Bali"/>
    <x v="107"/>
    <x v="0"/>
    <x v="17"/>
    <s v="POT0038"/>
    <x v="57"/>
    <n v="10"/>
    <s v="PACK"/>
    <n v="10"/>
    <n v="660000"/>
    <n v="0"/>
    <s v="Invoice"/>
    <s v="Sudah Jadi FJ"/>
    <s v=""/>
  </r>
  <r>
    <d v="2026-08-08T00:00:00"/>
    <d v="2026-08-07T00:00:00"/>
    <s v="SO-KU/2608/070036"/>
    <s v="MKU Bali"/>
    <x v="108"/>
    <x v="1"/>
    <x v="16"/>
    <s v="PSJ0019"/>
    <x v="48"/>
    <n v="10"/>
    <s v="KG"/>
    <n v="10"/>
    <n v="1000000"/>
    <n v="0"/>
    <s v="Invoice"/>
    <s v="Sudah Jadi FJ"/>
    <s v=""/>
  </r>
  <r>
    <d v="2026-08-08T00:00:00"/>
    <d v="2026-08-07T00:00:00"/>
    <s v="SO-KU/2608/070036"/>
    <s v="MKU Bali"/>
    <x v="108"/>
    <x v="1"/>
    <x v="16"/>
    <s v="PSJ0020"/>
    <x v="69"/>
    <n v="30"/>
    <s v="PACK"/>
    <n v="30"/>
    <n v="1125000"/>
    <n v="0"/>
    <s v="Invoice"/>
    <s v="Sudah Jadi FJ"/>
    <s v=""/>
  </r>
  <r>
    <d v="2026-08-08T00:00:00"/>
    <d v="2026-08-07T00:00:00"/>
    <s v="SO-KU/2608/070037"/>
    <s v="MKU Bali"/>
    <x v="109"/>
    <x v="0"/>
    <x v="17"/>
    <s v="PIF0012"/>
    <x v="70"/>
    <n v="12"/>
    <s v="LTR"/>
    <n v="12"/>
    <n v="840000"/>
    <n v="0"/>
    <s v="Invoice"/>
    <s v="Sudah Jadi FJ"/>
    <s v=""/>
  </r>
  <r>
    <d v="2026-08-08T00:00:00"/>
    <d v="2026-08-07T00:00:00"/>
    <s v="SO-KU/2608/070038"/>
    <s v="MKU Bali"/>
    <x v="109"/>
    <x v="0"/>
    <x v="17"/>
    <s v="PAA0001"/>
    <x v="53"/>
    <n v="7.56"/>
    <s v="KG"/>
    <n v="6.54"/>
    <n v="719400"/>
    <n v="-1.02"/>
    <s v="Invoice"/>
    <s v="Sudah Jadi FJ"/>
    <s v=""/>
  </r>
  <r>
    <d v="2026-08-08T00:00:00"/>
    <d v="2026-08-07T00:00:00"/>
    <s v="SO-KU/2608/070039"/>
    <s v="MKU Bali"/>
    <x v="110"/>
    <x v="0"/>
    <x v="17"/>
    <s v="PIF0011"/>
    <x v="71"/>
    <n v="6"/>
    <s v="LTR"/>
    <n v="6"/>
    <n v="360000"/>
    <n v="0"/>
    <s v="Invoice"/>
    <s v="Sudah Jadi FJ"/>
    <s v=""/>
  </r>
  <r>
    <d v="2026-08-08T00:00:00"/>
    <d v="2026-08-07T00:00:00"/>
    <s v="SO-KU/2608/070040"/>
    <s v="MKU Bali"/>
    <x v="111"/>
    <x v="1"/>
    <x v="7"/>
    <s v="ASS-EGT"/>
    <x v="72"/>
    <n v="1"/>
    <s v="BOX"/>
    <n v="1"/>
    <n v="112200"/>
    <n v="0"/>
    <s v="Invoice"/>
    <s v="Sudah Jadi FJ"/>
    <s v="kirim ke jln. Pungutan no. 48 sanur (blend cafe sanur)_x000a_"/>
  </r>
  <r>
    <d v="2026-08-08T00:00:00"/>
    <d v="2026-08-07T00:00:00"/>
    <s v="SO-KU/2608/070040"/>
    <s v="MKU Bali"/>
    <x v="111"/>
    <x v="1"/>
    <x v="7"/>
    <s v="ASS-EBT"/>
    <x v="73"/>
    <n v="1"/>
    <s v="BOX"/>
    <n v="1"/>
    <n v="106590"/>
    <n v="0"/>
    <s v="Invoice"/>
    <s v="Sudah Jadi FJ"/>
    <s v="kirim ke jln. Pungutan no. 48 sanur (blend cafe sanur)_x000a_"/>
  </r>
  <r>
    <d v="2026-08-08T00:00:00"/>
    <d v="2026-08-07T00:00:00"/>
    <s v="SO-KU/2608/070040"/>
    <s v="MKU Bali"/>
    <x v="111"/>
    <x v="1"/>
    <x v="7"/>
    <s v="ASS-POT"/>
    <x v="74"/>
    <n v="1"/>
    <s v="BOX"/>
    <n v="1"/>
    <n v="106590.01"/>
    <n v="0"/>
    <s v="Invoice"/>
    <s v="Sudah Jadi FJ"/>
    <s v="kirim ke jln. Pungutan no. 48 sanur (blend cafe sanur)_x000a_"/>
  </r>
  <r>
    <d v="2026-08-08T00:00:00"/>
    <d v="2026-08-07T00:00:00"/>
    <s v="SO-KU/2608/070041"/>
    <s v="MKU Bali"/>
    <x v="112"/>
    <x v="1"/>
    <x v="5"/>
    <s v="POT0120"/>
    <x v="50"/>
    <n v="2"/>
    <s v="GLN"/>
    <n v="2"/>
    <n v="1280000.01"/>
    <n v="0"/>
    <s v="Invoice"/>
    <s v="Sudah Jadi FJ"/>
    <s v=""/>
  </r>
  <r>
    <d v="2026-08-08T00:00:00"/>
    <d v="2026-08-07T00:00:00"/>
    <s v="SO-KU/2608/070042"/>
    <s v="MKU Bali"/>
    <x v="112"/>
    <x v="1"/>
    <x v="5"/>
    <s v="PAA0001"/>
    <x v="53"/>
    <n v="30"/>
    <s v="KG"/>
    <n v="30.39"/>
    <n v="3646800.06"/>
    <n v="0.39"/>
    <s v="Invoice"/>
    <s v="Sudah Jadi FJ"/>
    <s v=""/>
  </r>
  <r>
    <d v="2026-08-08T00:00:00"/>
    <d v="2026-08-07T00:00:00"/>
    <s v="SO-KU/2608/070043"/>
    <s v="MKU Bali"/>
    <x v="113"/>
    <x v="1"/>
    <x v="3"/>
    <s v="PMS0028"/>
    <x v="75"/>
    <n v="1"/>
    <s v="POU"/>
    <n v="1"/>
    <n v="156510"/>
    <n v="0"/>
    <s v="Invoice"/>
    <s v="Sudah Jadi FJ"/>
    <s v=""/>
  </r>
  <r>
    <d v="2026-08-08T00:00:00"/>
    <d v="2026-08-07T00:00:00"/>
    <s v="SO-KU/2608/070043"/>
    <s v="MKU Bali"/>
    <x v="113"/>
    <x v="1"/>
    <x v="3"/>
    <s v="PMS0132"/>
    <x v="76"/>
    <n v="1"/>
    <s v="BTL"/>
    <n v="1"/>
    <n v="110000"/>
    <n v="0"/>
    <s v="Invoice"/>
    <s v="Sudah Jadi FJ"/>
    <s v=""/>
  </r>
  <r>
    <d v="2026-08-08T00:00:00"/>
    <d v="2026-08-07T00:00:00"/>
    <s v="SO-KU/2608/070044"/>
    <s v="MKU Bali"/>
    <x v="114"/>
    <x v="0"/>
    <x v="0"/>
    <s v="PMS0027"/>
    <x v="77"/>
    <n v="2"/>
    <s v="POU"/>
    <n v="2"/>
    <n v="313020"/>
    <n v="0"/>
    <s v="Invoice"/>
    <s v="Sudah Jadi FJ"/>
    <s v=""/>
  </r>
  <r>
    <d v="2026-08-08T00:00:00"/>
    <d v="2026-08-07T00:00:00"/>
    <s v="SO-KU/2608/070045"/>
    <s v="MKU Bali"/>
    <x v="115"/>
    <x v="0"/>
    <x v="18"/>
    <s v="POT0120"/>
    <x v="50"/>
    <n v="20"/>
    <s v="GLN"/>
    <n v="20"/>
    <n v="16716600"/>
    <n v="0"/>
    <s v="Invoice"/>
    <s v="Sudah Jadi FJ"/>
    <s v="spc jkt no 842"/>
  </r>
  <r>
    <d v="2026-08-08T00:00:00"/>
    <d v="2026-08-07T00:00:00"/>
    <s v="SO-KU/2608/070048"/>
    <s v="MKU Bali"/>
    <x v="50"/>
    <x v="0"/>
    <x v="19"/>
    <s v="POT0110"/>
    <x v="78"/>
    <n v="1.5"/>
    <s v="KG"/>
    <n v="1.5"/>
    <n v="165000"/>
    <n v="0"/>
    <s v="Invoice"/>
    <s v="Sudah Jadi FJ"/>
    <s v=""/>
  </r>
  <r>
    <d v="2026-08-08T00:00:00"/>
    <d v="2026-08-07T00:00:00"/>
    <s v="SO-KU/2608/070049"/>
    <s v="MKU Bali"/>
    <x v="50"/>
    <x v="0"/>
    <x v="19"/>
    <s v="POT0110"/>
    <x v="78"/>
    <n v="4.5"/>
    <s v="KG"/>
    <n v="4.5"/>
    <n v="495000"/>
    <n v="0"/>
    <s v="Invoice"/>
    <s v="Sudah Jadi FJ"/>
    <s v=""/>
  </r>
  <r>
    <d v="2026-08-08T00:00:00"/>
    <d v="2026-08-07T00:00:00"/>
    <s v="SO-KU/2608/070050"/>
    <s v="MKU Bali"/>
    <x v="116"/>
    <x v="0"/>
    <x v="19"/>
    <s v="POT0046"/>
    <x v="49"/>
    <n v="25"/>
    <s v="KG"/>
    <n v="25"/>
    <n v="4124995.6"/>
    <n v="0"/>
    <s v="Invoice"/>
    <s v="Sudah Jadi FJ"/>
    <s v=""/>
  </r>
  <r>
    <d v="2026-08-08T00:00:00"/>
    <d v="2026-08-07T00:00:00"/>
    <s v="SO-KU/2608/070051"/>
    <s v="MKU Bali"/>
    <x v="117"/>
    <x v="1"/>
    <x v="3"/>
    <s v="PMS0131"/>
    <x v="79"/>
    <n v="4"/>
    <s v="BTL"/>
    <n v="4"/>
    <n v="440000"/>
    <n v="0"/>
    <s v="Invoice"/>
    <s v="Sudah Jadi FJ"/>
    <s v=""/>
  </r>
  <r>
    <d v="2026-08-08T00:00:00"/>
    <d v="2026-08-07T00:00:00"/>
    <s v="SO-KU/2608/070052"/>
    <s v="MKU Bali"/>
    <x v="118"/>
    <x v="0"/>
    <x v="18"/>
    <s v="POS0024"/>
    <x v="66"/>
    <n v="6"/>
    <s v="CAN"/>
    <n v="6"/>
    <n v="420000"/>
    <n v="0"/>
    <s v="Invoice"/>
    <s v="Sudah Jadi FJ"/>
    <s v=""/>
  </r>
  <r>
    <d v="2026-08-08T00:00:00"/>
    <d v="2026-08-07T00:00:00"/>
    <s v="SO-KU/2608/070054"/>
    <s v="MKU Bali"/>
    <x v="119"/>
    <x v="1"/>
    <x v="12"/>
    <s v="CKP1S-159"/>
    <x v="80"/>
    <n v="6"/>
    <s v="BTL"/>
    <n v="3"/>
    <n v="202500"/>
    <n v="-3"/>
    <s v="Invoice"/>
    <s v="Sudah Jadi FJ"/>
    <s v="12+1"/>
  </r>
  <r>
    <d v="2026-08-08T00:00:00"/>
    <d v="2026-08-07T00:00:00"/>
    <s v="SO-KU/2608/070054"/>
    <s v="MKU Bali"/>
    <x v="119"/>
    <x v="1"/>
    <x v="12"/>
    <s v="CKP1S-164"/>
    <x v="54"/>
    <n v="6"/>
    <s v="BTL"/>
    <n v="1"/>
    <n v="67500"/>
    <n v="-5"/>
    <s v="Invoice"/>
    <s v="Sudah Jadi FJ"/>
    <s v="12+1"/>
  </r>
  <r>
    <d v="2026-08-08T00:00:00"/>
    <d v="2026-08-07T00:00:00"/>
    <s v="SO-KU/2608/070054"/>
    <s v="MKU Bali"/>
    <x v="119"/>
    <x v="1"/>
    <x v="12"/>
    <s v="CKP1S-160"/>
    <x v="55"/>
    <n v="6"/>
    <s v="BTL"/>
    <n v="6"/>
    <n v="404999.99"/>
    <n v="0"/>
    <s v="Invoice"/>
    <s v="Sudah Jadi FJ"/>
    <s v="12+1"/>
  </r>
  <r>
    <d v="2026-08-08T00:00:00"/>
    <d v="2026-08-07T00:00:00"/>
    <s v="SO-KU/2608/070054"/>
    <s v="MKU Bali"/>
    <x v="119"/>
    <x v="1"/>
    <x v="12"/>
    <s v="CKP1S-163"/>
    <x v="81"/>
    <n v="6"/>
    <s v="BTL"/>
    <n v="6"/>
    <n v="404999.99"/>
    <n v="0"/>
    <s v="Invoice"/>
    <s v="Sudah Jadi FJ"/>
    <s v="12+1"/>
  </r>
  <r>
    <d v="2026-08-08T00:00:00"/>
    <d v="2026-08-07T00:00:00"/>
    <s v="SO-KU/2608/070054"/>
    <s v="MKU Bali"/>
    <x v="119"/>
    <x v="1"/>
    <x v="12"/>
    <s v="CKP1S-165"/>
    <x v="82"/>
    <n v="6"/>
    <s v="BTL"/>
    <n v="6"/>
    <n v="404999.99"/>
    <n v="0"/>
    <s v="Invoice"/>
    <s v="Sudah Jadi FJ"/>
    <s v="12+1"/>
  </r>
  <r>
    <d v="2026-08-08T00:00:00"/>
    <d v="2026-08-07T00:00:00"/>
    <s v="SO-KU/2608/070054"/>
    <s v="MKU Bali"/>
    <x v="119"/>
    <x v="1"/>
    <x v="12"/>
    <s v="PJS0004"/>
    <x v="56"/>
    <n v="6"/>
    <s v="BTL"/>
    <n v="6"/>
    <n v="405000"/>
    <n v="0"/>
    <s v="Invoice"/>
    <s v="Sudah Jadi FJ"/>
    <s v="12+1"/>
  </r>
  <r>
    <d v="2026-08-08T00:00:00"/>
    <d v="2026-08-07T00:00:00"/>
    <s v="SO-KU/2608/070055"/>
    <s v="MKU Bali"/>
    <x v="72"/>
    <x v="0"/>
    <x v="18"/>
    <s v="PIF0012"/>
    <x v="70"/>
    <n v="6"/>
    <s v="LTR"/>
    <n v="6"/>
    <n v="326340"/>
    <n v="0"/>
    <s v="Invoice"/>
    <s v="Sudah Jadi FJ"/>
    <s v=""/>
  </r>
  <r>
    <d v="2026-08-08T00:00:00"/>
    <d v="2026-08-07T00:00:00"/>
    <s v="SO-KU/2608/070055"/>
    <s v="MKU Bali"/>
    <x v="72"/>
    <x v="0"/>
    <x v="18"/>
    <s v="POS0024"/>
    <x v="66"/>
    <n v="2"/>
    <s v="CAN"/>
    <n v="2"/>
    <n v="134310"/>
    <n v="0"/>
    <s v="Invoice"/>
    <s v="Sudah Jadi FJ"/>
    <s v=""/>
  </r>
  <r>
    <d v="2026-08-08T00:00:00"/>
    <d v="2026-08-07T00:00:00"/>
    <s v="SO-KU/2608/070056"/>
    <s v="MKU Bali"/>
    <x v="72"/>
    <x v="0"/>
    <x v="18"/>
    <s v="MRD1318A"/>
    <x v="67"/>
    <n v="7"/>
    <s v="KG"/>
    <n v="6.83"/>
    <n v="833260"/>
    <n v="-0.17"/>
    <s v="Invoice"/>
    <s v="Sudah Jadi FJ"/>
    <s v=""/>
  </r>
  <r>
    <d v="2026-08-08T00:00:00"/>
    <d v="2026-08-07T00:00:00"/>
    <s v="SO-KU/2608/070063"/>
    <s v="MKU Bali"/>
    <x v="120"/>
    <x v="0"/>
    <x v="19"/>
    <s v="POT0038"/>
    <x v="57"/>
    <n v="5"/>
    <s v="PACK"/>
    <n v="5"/>
    <n v="300000"/>
    <n v="0"/>
    <s v="Invoice"/>
    <s v="Sudah Jadi FJ"/>
    <s v=""/>
  </r>
  <r>
    <d v="2026-08-08T00:00:00"/>
    <d v="2026-08-07T00:00:00"/>
    <s v="SO-KU/2608/070063"/>
    <s v="MKU Bali"/>
    <x v="120"/>
    <x v="0"/>
    <x v="19"/>
    <s v="PAA0001"/>
    <x v="53"/>
    <n v="2.2999999999999998"/>
    <s v="KG"/>
    <n v="2.1800000000000002"/>
    <n v="218000"/>
    <n v="-0.12"/>
    <s v="Invoice"/>
    <s v="Sudah Jadi FJ"/>
    <s v=""/>
  </r>
  <r>
    <d v="2026-08-08T00:00:00"/>
    <d v="2026-08-07T00:00:00"/>
    <s v="SO-KU/2608/070064"/>
    <s v="MKU Bali"/>
    <x v="120"/>
    <x v="0"/>
    <x v="19"/>
    <s v="PAA0001"/>
    <x v="53"/>
    <n v="2.2999999999999998"/>
    <s v="KG"/>
    <n v="2.16"/>
    <n v="215999.99"/>
    <n v="-0.14000000000000001"/>
    <s v="Invoice"/>
    <s v="Sudah Jadi FJ"/>
    <s v=""/>
  </r>
  <r>
    <d v="2026-08-08T00:00:00"/>
    <d v="2026-08-07T00:00:00"/>
    <s v="SO-KU/2608/070066"/>
    <s v="MKU Bali"/>
    <x v="121"/>
    <x v="1"/>
    <x v="13"/>
    <s v="PSJ0019"/>
    <x v="48"/>
    <n v="5"/>
    <s v="KG"/>
    <n v="5"/>
    <n v="500000"/>
    <n v="0"/>
    <s v="Invoice"/>
    <s v="Sudah Jadi FJ"/>
    <s v=""/>
  </r>
  <r>
    <d v="2026-08-08T00:00:00"/>
    <d v="2026-08-07T00:00:00"/>
    <s v="SO-KU/2608/070071"/>
    <s v="MKU Bali"/>
    <x v="82"/>
    <x v="0"/>
    <x v="17"/>
    <s v="MRD1318A"/>
    <x v="67"/>
    <n v="10"/>
    <s v="KG"/>
    <n v="6.66"/>
    <n v="845820"/>
    <n v="-3.34"/>
    <s v="Invoice"/>
    <s v="Sudah Jadi FJ"/>
    <s v=""/>
  </r>
  <r>
    <d v="2026-08-08T00:00:00"/>
    <d v="2026-08-07T00:00:00"/>
    <s v="SO-KU/2608/070072"/>
    <s v="MKU Bali"/>
    <x v="90"/>
    <x v="0"/>
    <x v="17"/>
    <s v="PMS0093"/>
    <x v="83"/>
    <n v="1"/>
    <s v="BTL"/>
    <n v="1"/>
    <n v="105000"/>
    <n v="0"/>
    <s v="Invoice"/>
    <s v="Sudah Jadi FJ"/>
    <s v=""/>
  </r>
  <r>
    <d v="2026-08-08T00:00:00"/>
    <d v="2026-08-07T00:00:00"/>
    <s v="SO-KU/2608/070072"/>
    <s v="MKU Bali"/>
    <x v="90"/>
    <x v="0"/>
    <x v="17"/>
    <s v="PMS0131"/>
    <x v="79"/>
    <n v="1"/>
    <s v="BTL"/>
    <n v="1"/>
    <n v="104999.99"/>
    <n v="0"/>
    <s v="Invoice"/>
    <s v="Sudah Jadi FJ"/>
    <s v=""/>
  </r>
  <r>
    <d v="2026-08-08T00:00:00"/>
    <d v="2026-08-07T00:00:00"/>
    <s v="SO-KU/2608/070073"/>
    <s v="MKU Bali"/>
    <x v="83"/>
    <x v="1"/>
    <x v="13"/>
    <s v="PMS0132"/>
    <x v="76"/>
    <n v="2"/>
    <s v="BTL"/>
    <n v="2"/>
    <n v="220000"/>
    <n v="0"/>
    <s v="Invoice"/>
    <s v="Sudah Jadi FJ"/>
    <s v=""/>
  </r>
  <r>
    <d v="2026-08-08T00:00:00"/>
    <d v="2026-08-07T00:00:00"/>
    <s v="SO-KU/2608/070074"/>
    <s v="MKU Bali"/>
    <x v="122"/>
    <x v="1"/>
    <x v="1"/>
    <s v="PMS0183"/>
    <x v="84"/>
    <n v="3"/>
    <s v="PACK"/>
    <n v="3"/>
    <n v="390000"/>
    <n v="0"/>
    <s v="Invoice"/>
    <s v="Sudah Jadi FJ"/>
    <s v=""/>
  </r>
  <r>
    <d v="2026-08-08T00:00:00"/>
    <d v="2026-08-07T00:00:00"/>
    <s v="SO-KU/2608/070075"/>
    <s v="MKU Bali"/>
    <x v="123"/>
    <x v="1"/>
    <x v="0"/>
    <s v="ASS-EGT"/>
    <x v="72"/>
    <n v="1"/>
    <s v="BOX"/>
    <n v="1"/>
    <n v="104999.99"/>
    <n v="0"/>
    <s v="Invoice"/>
    <s v="Sudah Jadi FJ"/>
    <s v=""/>
  </r>
  <r>
    <d v="2026-08-08T00:00:00"/>
    <d v="2026-08-07T00:00:00"/>
    <s v="SO-KU/2608/070075"/>
    <s v="MKU Bali"/>
    <x v="123"/>
    <x v="1"/>
    <x v="0"/>
    <s v="ASS-JVJ"/>
    <x v="85"/>
    <n v="1"/>
    <s v="BOX"/>
    <n v="1"/>
    <n v="104999.99"/>
    <n v="0"/>
    <s v="Invoice"/>
    <s v="Sudah Jadi FJ"/>
    <s v=""/>
  </r>
  <r>
    <d v="2026-08-08T00:00:00"/>
    <d v="2026-08-07T00:00:00"/>
    <s v="SO-KU/2608/070075"/>
    <s v="MKU Bali"/>
    <x v="123"/>
    <x v="1"/>
    <x v="0"/>
    <s v="ASS-MO-B"/>
    <x v="86"/>
    <n v="1"/>
    <s v="BOX"/>
    <n v="1"/>
    <n v="105000"/>
    <n v="0"/>
    <s v="Invoice"/>
    <s v="Sudah Jadi FJ"/>
    <s v=""/>
  </r>
  <r>
    <d v="2026-08-08T00:00:00"/>
    <d v="2026-08-07T00:00:00"/>
    <s v="SO-KU/2608/070079"/>
    <s v="MKU Bali"/>
    <x v="19"/>
    <x v="0"/>
    <x v="7"/>
    <s v="POS0026"/>
    <x v="87"/>
    <n v="1"/>
    <s v="CAN"/>
    <n v="1"/>
    <n v="265000"/>
    <n v="0"/>
    <s v="Invoice"/>
    <s v="Sudah Jadi FJ"/>
    <s v=""/>
  </r>
  <r>
    <d v="2026-08-08T00:00:00"/>
    <d v="2026-08-07T00:00:00"/>
    <s v="SO-KU/2608/070080"/>
    <s v="MKU Bali"/>
    <x v="52"/>
    <x v="0"/>
    <x v="0"/>
    <s v="PMS0028"/>
    <x v="75"/>
    <n v="1"/>
    <s v="POU"/>
    <n v="1"/>
    <n v="156510"/>
    <n v="0"/>
    <s v="Invoice"/>
    <s v="Sudah Jadi FJ"/>
    <s v=""/>
  </r>
  <r>
    <d v="2026-08-08T00:00:00"/>
    <d v="2026-08-07T00:00:00"/>
    <s v="SO-KU/2608/070081"/>
    <s v="MKU Bali"/>
    <x v="124"/>
    <x v="0"/>
    <x v="16"/>
    <s v="CKP1S-160"/>
    <x v="55"/>
    <n v="20"/>
    <s v="BTL"/>
    <n v="20"/>
    <n v="1239999.98"/>
    <n v="0"/>
    <s v="Invoice"/>
    <s v="Sudah Jadi FJ"/>
    <s v=""/>
  </r>
  <r>
    <d v="2026-08-08T00:00:00"/>
    <d v="2026-08-07T00:00:00"/>
    <s v="SO-KU/2608/070081"/>
    <s v="MKU Bali"/>
    <x v="124"/>
    <x v="0"/>
    <x v="16"/>
    <s v="CKP1S-163"/>
    <x v="81"/>
    <n v="20"/>
    <s v="BTL"/>
    <n v="20"/>
    <n v="1239999.98"/>
    <n v="0"/>
    <s v="Invoice"/>
    <s v="Sudah Jadi FJ"/>
    <s v=""/>
  </r>
  <r>
    <d v="2026-08-08T00:00:00"/>
    <d v="2026-08-07T00:00:00"/>
    <s v="SO-KU/2608/070081"/>
    <s v="MKU Bali"/>
    <x v="124"/>
    <x v="0"/>
    <x v="16"/>
    <s v="CKP1S-165"/>
    <x v="82"/>
    <n v="20"/>
    <s v="BTL"/>
    <n v="20"/>
    <n v="1239999.98"/>
    <n v="0"/>
    <s v="Invoice"/>
    <s v="Sudah Jadi FJ"/>
    <s v=""/>
  </r>
  <r>
    <d v="2026-08-08T00:00:00"/>
    <d v="2026-08-07T00:00:00"/>
    <s v="SO-KU/2608/070081"/>
    <s v="MKU Bali"/>
    <x v="124"/>
    <x v="0"/>
    <x v="16"/>
    <s v="PJS0004"/>
    <x v="56"/>
    <n v="20"/>
    <s v="BTL"/>
    <n v="20"/>
    <n v="1239999.98"/>
    <n v="0"/>
    <s v="Invoice"/>
    <s v="Sudah Jadi FJ"/>
    <s v=""/>
  </r>
  <r>
    <d v="2026-08-08T00:00:00"/>
    <d v="2026-08-07T00:00:00"/>
    <s v="SO-KU/2608/070081"/>
    <s v="MKU Bali"/>
    <x v="124"/>
    <x v="0"/>
    <x v="16"/>
    <s v="PJS0008"/>
    <x v="88"/>
    <n v="12"/>
    <s v="BTL"/>
    <n v="12"/>
    <n v="767999.99"/>
    <n v="0"/>
    <s v="Invoice"/>
    <s v="Sudah Jadi FJ"/>
    <s v=""/>
  </r>
  <r>
    <d v="2026-08-08T00:00:00"/>
    <d v="2026-08-07T00:00:00"/>
    <s v="SO-KU/2608/070081"/>
    <s v="MKU Bali"/>
    <x v="124"/>
    <x v="0"/>
    <x v="16"/>
    <s v="PJS0009"/>
    <x v="89"/>
    <n v="12"/>
    <s v="BTL"/>
    <n v="12"/>
    <n v="683999.99"/>
    <n v="0"/>
    <s v="Invoice"/>
    <s v="Sudah Jadi FJ"/>
    <s v=""/>
  </r>
  <r>
    <d v="2026-08-08T00:00:00"/>
    <d v="2026-08-07T00:00:00"/>
    <s v="SO-KU/2608/070081"/>
    <s v="MKU Bali"/>
    <x v="124"/>
    <x v="0"/>
    <x v="16"/>
    <s v="PJS0010"/>
    <x v="90"/>
    <n v="12"/>
    <s v="BTL"/>
    <n v="10"/>
    <n v="600000"/>
    <n v="-2"/>
    <s v="Invoice"/>
    <s v="Sudah Jadi FJ"/>
    <s v=""/>
  </r>
  <r>
    <d v="2026-08-08T00:00:00"/>
    <d v="2026-08-07T00:00:00"/>
    <s v="SO-KU/2608/070081"/>
    <s v="MKU Bali"/>
    <x v="124"/>
    <x v="0"/>
    <x v="16"/>
    <s v="PJS0011"/>
    <x v="91"/>
    <n v="12"/>
    <s v="BTL"/>
    <n v="12"/>
    <n v="750000"/>
    <n v="0"/>
    <s v="Invoice"/>
    <s v="Sudah Jadi FJ"/>
    <s v=""/>
  </r>
  <r>
    <d v="2026-08-08T00:00:00"/>
    <d v="2026-08-07T00:00:00"/>
    <s v="SO-KU/2608/070082"/>
    <s v="MKU Bali"/>
    <x v="125"/>
    <x v="1"/>
    <x v="0"/>
    <s v="PMS0144"/>
    <x v="92"/>
    <n v="2"/>
    <s v="BTL"/>
    <n v="2"/>
    <n v="220000"/>
    <n v="0"/>
    <s v="Invoice"/>
    <s v="Sudah Jadi FJ"/>
    <s v=""/>
  </r>
  <r>
    <d v="2026-08-08T00:00:00"/>
    <d v="2026-08-07T00:00:00"/>
    <s v="SO-KU/2608/070085"/>
    <s v="MKU Bali"/>
    <x v="91"/>
    <x v="1"/>
    <x v="1"/>
    <s v="PEA0005"/>
    <x v="62"/>
    <n v="5"/>
    <s v="KG"/>
    <n v="5"/>
    <n v="674999.99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EA5903-3CC1-4631-A2E2-55A3F867176C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1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27">
        <item x="36"/>
        <item x="51"/>
        <item x="120"/>
        <item x="78"/>
        <item x="81"/>
        <item x="69"/>
        <item x="48"/>
        <item x="15"/>
        <item x="97"/>
        <item x="70"/>
        <item x="58"/>
        <item x="98"/>
        <item x="65"/>
        <item x="24"/>
        <item x="22"/>
        <item x="57"/>
        <item x="44"/>
        <item x="121"/>
        <item x="12"/>
        <item x="41"/>
        <item x="111"/>
        <item x="1"/>
        <item x="60"/>
        <item x="28"/>
        <item x="23"/>
        <item x="18"/>
        <item x="11"/>
        <item x="122"/>
        <item x="105"/>
        <item x="89"/>
        <item x="87"/>
        <item x="92"/>
        <item x="66"/>
        <item x="79"/>
        <item x="108"/>
        <item x="73"/>
        <item x="113"/>
        <item x="43"/>
        <item x="52"/>
        <item x="91"/>
        <item x="4"/>
        <item x="124"/>
        <item x="99"/>
        <item x="102"/>
        <item x="82"/>
        <item x="101"/>
        <item x="25"/>
        <item x="88"/>
        <item x="103"/>
        <item x="71"/>
        <item x="95"/>
        <item x="74"/>
        <item x="0"/>
        <item x="3"/>
        <item x="26"/>
        <item x="17"/>
        <item x="100"/>
        <item x="104"/>
        <item x="50"/>
        <item x="72"/>
        <item x="84"/>
        <item x="93"/>
        <item x="64"/>
        <item x="27"/>
        <item x="119"/>
        <item x="63"/>
        <item x="62"/>
        <item x="40"/>
        <item x="46"/>
        <item x="109"/>
        <item x="68"/>
        <item x="49"/>
        <item x="16"/>
        <item x="54"/>
        <item x="94"/>
        <item x="112"/>
        <item x="45"/>
        <item x="61"/>
        <item x="30"/>
        <item x="77"/>
        <item x="55"/>
        <item x="115"/>
        <item x="42"/>
        <item x="38"/>
        <item x="9"/>
        <item x="118"/>
        <item x="34"/>
        <item x="33"/>
        <item x="35"/>
        <item x="110"/>
        <item x="106"/>
        <item x="6"/>
        <item x="67"/>
        <item x="59"/>
        <item x="53"/>
        <item x="56"/>
        <item x="75"/>
        <item x="37"/>
        <item x="47"/>
        <item x="14"/>
        <item x="85"/>
        <item x="19"/>
        <item x="83"/>
        <item x="29"/>
        <item x="76"/>
        <item x="107"/>
        <item x="80"/>
        <item x="7"/>
        <item x="32"/>
        <item x="2"/>
        <item x="5"/>
        <item x="125"/>
        <item x="21"/>
        <item x="86"/>
        <item x="117"/>
        <item x="20"/>
        <item x="90"/>
        <item x="116"/>
        <item x="123"/>
        <item x="8"/>
        <item x="13"/>
        <item x="31"/>
        <item x="96"/>
        <item x="39"/>
        <item x="10"/>
        <item x="114"/>
        <item t="default"/>
      </items>
    </pivotField>
    <pivotField axis="axisPage" multipleItemSelectionAllowed="1" showAll="0">
      <items count="3">
        <item x="1"/>
        <item h="1" x="0"/>
        <item t="default"/>
      </items>
    </pivotField>
    <pivotField axis="axisRow" showAll="0">
      <items count="21">
        <item x="3"/>
        <item x="13"/>
        <item x="14"/>
        <item x="4"/>
        <item x="6"/>
        <item x="5"/>
        <item x="18"/>
        <item x="17"/>
        <item x="2"/>
        <item x="12"/>
        <item x="8"/>
        <item x="10"/>
        <item x="9"/>
        <item x="11"/>
        <item x="7"/>
        <item x="1"/>
        <item x="0"/>
        <item x="15"/>
        <item x="19"/>
        <item x="16"/>
        <item t="default"/>
      </items>
    </pivotField>
    <pivotField showAll="0"/>
    <pivotField axis="axisRow" showAll="0">
      <items count="94">
        <item x="9"/>
        <item x="28"/>
        <item x="88"/>
        <item x="91"/>
        <item x="89"/>
        <item x="90"/>
        <item x="59"/>
        <item x="49"/>
        <item x="68"/>
        <item x="53"/>
        <item x="78"/>
        <item x="47"/>
        <item x="26"/>
        <item x="39"/>
        <item x="37"/>
        <item x="50"/>
        <item x="64"/>
        <item x="43"/>
        <item x="80"/>
        <item x="54"/>
        <item x="55"/>
        <item x="82"/>
        <item x="81"/>
        <item x="56"/>
        <item x="33"/>
        <item x="72"/>
        <item x="12"/>
        <item x="27"/>
        <item x="40"/>
        <item x="41"/>
        <item x="22"/>
        <item x="73"/>
        <item x="52"/>
        <item x="30"/>
        <item x="63"/>
        <item x="62"/>
        <item x="31"/>
        <item x="44"/>
        <item x="3"/>
        <item x="7"/>
        <item x="85"/>
        <item x="17"/>
        <item x="16"/>
        <item x="67"/>
        <item x="86"/>
        <item x="84"/>
        <item x="58"/>
        <item x="51"/>
        <item x="60"/>
        <item x="61"/>
        <item x="77"/>
        <item x="92"/>
        <item x="83"/>
        <item x="79"/>
        <item x="76"/>
        <item x="75"/>
        <item x="46"/>
        <item x="24"/>
        <item x="38"/>
        <item x="14"/>
        <item x="45"/>
        <item x="13"/>
        <item x="23"/>
        <item x="18"/>
        <item x="15"/>
        <item x="42"/>
        <item x="87"/>
        <item x="66"/>
        <item x="69"/>
        <item x="25"/>
        <item x="48"/>
        <item x="4"/>
        <item x="57"/>
        <item x="70"/>
        <item x="71"/>
        <item x="65"/>
        <item x="74"/>
        <item x="6"/>
        <item x="34"/>
        <item x="10"/>
        <item x="0"/>
        <item x="29"/>
        <item x="5"/>
        <item x="2"/>
        <item x="35"/>
        <item x="1"/>
        <item x="8"/>
        <item x="11"/>
        <item x="36"/>
        <item x="21"/>
        <item x="20"/>
        <item x="32"/>
        <item x="19"/>
        <item t="default"/>
      </items>
    </pivotField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3">
    <field x="6"/>
    <field x="4"/>
    <field x="8"/>
  </rowFields>
  <rowItems count="128">
    <i>
      <x/>
    </i>
    <i r="1">
      <x v="36"/>
    </i>
    <i r="2">
      <x v="54"/>
    </i>
    <i r="2">
      <x v="55"/>
    </i>
    <i r="1">
      <x v="114"/>
    </i>
    <i r="2">
      <x v="53"/>
    </i>
    <i>
      <x v="1"/>
    </i>
    <i r="1">
      <x v="17"/>
    </i>
    <i r="2">
      <x v="70"/>
    </i>
    <i r="1">
      <x v="102"/>
    </i>
    <i r="2">
      <x v="54"/>
    </i>
    <i r="2">
      <x v="90"/>
    </i>
    <i r="2">
      <x v="91"/>
    </i>
    <i r="2">
      <x v="92"/>
    </i>
    <i>
      <x v="3"/>
    </i>
    <i r="1">
      <x/>
    </i>
    <i r="2">
      <x v="77"/>
    </i>
    <i r="1">
      <x v="48"/>
    </i>
    <i r="2">
      <x v="48"/>
    </i>
    <i r="2">
      <x v="49"/>
    </i>
    <i r="1">
      <x v="50"/>
    </i>
    <i r="2">
      <x v="47"/>
    </i>
    <i r="1">
      <x v="55"/>
    </i>
    <i r="2">
      <x v="80"/>
    </i>
    <i r="1">
      <x v="72"/>
    </i>
    <i r="2">
      <x v="79"/>
    </i>
    <i r="2">
      <x v="87"/>
    </i>
    <i r="1">
      <x v="91"/>
    </i>
    <i r="2">
      <x v="77"/>
    </i>
    <i r="1">
      <x v="108"/>
    </i>
    <i r="2">
      <x v="77"/>
    </i>
    <i>
      <x v="4"/>
    </i>
    <i r="1">
      <x v="7"/>
    </i>
    <i r="2">
      <x v="83"/>
    </i>
    <i r="1">
      <x v="19"/>
    </i>
    <i r="2">
      <x v="30"/>
    </i>
    <i r="2">
      <x v="69"/>
    </i>
    <i>
      <x v="5"/>
    </i>
    <i r="1">
      <x v="4"/>
    </i>
    <i r="2">
      <x v="17"/>
    </i>
    <i r="1">
      <x v="14"/>
    </i>
    <i r="2">
      <x v="80"/>
    </i>
    <i r="1">
      <x v="43"/>
    </i>
    <i r="2">
      <x v="19"/>
    </i>
    <i r="1">
      <x v="74"/>
    </i>
    <i r="2">
      <x v="15"/>
    </i>
    <i r="1">
      <x v="75"/>
    </i>
    <i r="2">
      <x v="9"/>
    </i>
    <i r="2">
      <x v="15"/>
    </i>
    <i r="1">
      <x v="95"/>
    </i>
    <i r="2">
      <x v="83"/>
    </i>
    <i r="1">
      <x v="99"/>
    </i>
    <i r="2">
      <x v="80"/>
    </i>
    <i r="1">
      <x v="115"/>
    </i>
    <i r="2">
      <x v="80"/>
    </i>
    <i>
      <x v="8"/>
    </i>
    <i r="1">
      <x v="61"/>
    </i>
    <i r="2">
      <x v="70"/>
    </i>
    <i r="1">
      <x v="107"/>
    </i>
    <i r="2">
      <x v="39"/>
    </i>
    <i r="1">
      <x v="109"/>
    </i>
    <i r="2">
      <x v="85"/>
    </i>
    <i r="1">
      <x v="110"/>
    </i>
    <i r="2">
      <x v="82"/>
    </i>
    <i r="1">
      <x v="112"/>
    </i>
    <i r="2">
      <x v="87"/>
    </i>
    <i>
      <x v="9"/>
    </i>
    <i r="1">
      <x v="64"/>
    </i>
    <i r="2">
      <x v="18"/>
    </i>
    <i r="2">
      <x v="19"/>
    </i>
    <i r="2">
      <x v="20"/>
    </i>
    <i r="2">
      <x v="21"/>
    </i>
    <i r="2">
      <x v="22"/>
    </i>
    <i r="2">
      <x v="23"/>
    </i>
    <i>
      <x v="11"/>
    </i>
    <i r="1">
      <x v="23"/>
    </i>
    <i r="2">
      <x v="42"/>
    </i>
    <i>
      <x v="12"/>
    </i>
    <i r="1">
      <x v="9"/>
    </i>
    <i r="2">
      <x v="59"/>
    </i>
    <i r="2">
      <x v="62"/>
    </i>
    <i r="1">
      <x v="54"/>
    </i>
    <i r="2">
      <x v="42"/>
    </i>
    <i>
      <x v="14"/>
    </i>
    <i r="1">
      <x v="20"/>
    </i>
    <i r="2">
      <x v="25"/>
    </i>
    <i r="2">
      <x v="31"/>
    </i>
    <i r="2">
      <x v="76"/>
    </i>
    <i r="1">
      <x v="45"/>
    </i>
    <i r="2">
      <x v="6"/>
    </i>
    <i r="1">
      <x v="92"/>
    </i>
    <i r="2">
      <x v="14"/>
    </i>
    <i>
      <x v="15"/>
    </i>
    <i r="1">
      <x v="26"/>
    </i>
    <i r="2">
      <x/>
    </i>
    <i r="1">
      <x v="27"/>
    </i>
    <i r="2">
      <x v="45"/>
    </i>
    <i r="1">
      <x v="29"/>
    </i>
    <i r="2">
      <x v="56"/>
    </i>
    <i r="1">
      <x v="39"/>
    </i>
    <i r="2">
      <x v="30"/>
    </i>
    <i r="2">
      <x v="35"/>
    </i>
    <i r="2">
      <x v="80"/>
    </i>
    <i r="1">
      <x v="84"/>
    </i>
    <i r="2">
      <x v="80"/>
    </i>
    <i r="2">
      <x v="86"/>
    </i>
    <i r="1">
      <x v="104"/>
    </i>
    <i r="2">
      <x v="65"/>
    </i>
    <i r="1">
      <x v="121"/>
    </i>
    <i r="2">
      <x v="39"/>
    </i>
    <i r="1">
      <x v="122"/>
    </i>
    <i r="2">
      <x v="32"/>
    </i>
    <i>
      <x v="16"/>
    </i>
    <i r="1">
      <x v="111"/>
    </i>
    <i r="2">
      <x v="51"/>
    </i>
    <i r="1">
      <x v="118"/>
    </i>
    <i r="2">
      <x v="25"/>
    </i>
    <i r="2">
      <x v="40"/>
    </i>
    <i r="2">
      <x v="44"/>
    </i>
    <i>
      <x v="19"/>
    </i>
    <i r="1">
      <x v="1"/>
    </i>
    <i r="2">
      <x v="27"/>
    </i>
    <i r="1">
      <x v="34"/>
    </i>
    <i r="2">
      <x v="68"/>
    </i>
    <i r="2">
      <x v="70"/>
    </i>
    <i r="1">
      <x v="90"/>
    </i>
    <i r="2">
      <x v="70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37">
    <format dxfId="114">
      <pivotArea outline="0" collapsedLevelsAreSubtotals="1" fieldPosition="0"/>
    </format>
    <format dxfId="112">
      <pivotArea dataOnly="0" labelOnly="1" outline="0" fieldPosition="0">
        <references count="1">
          <reference field="5" count="0"/>
        </references>
      </pivotArea>
    </format>
    <format dxfId="109">
      <pivotArea dataOnly="0" labelOnly="1" outline="0" axis="axisValues" fieldPosition="0"/>
    </format>
    <format dxfId="107">
      <pivotArea collapsedLevelsAreSubtotals="1" fieldPosition="0">
        <references count="2">
          <reference field="4" count="1">
            <x v="36"/>
          </reference>
          <reference field="6" count="1" selected="0">
            <x v="0"/>
          </reference>
        </references>
      </pivotArea>
    </format>
    <format dxfId="106">
      <pivotArea collapsedLevelsAreSubtotals="1" fieldPosition="0">
        <references count="3">
          <reference field="4" count="1" selected="0">
            <x v="36"/>
          </reference>
          <reference field="6" count="1" selected="0">
            <x v="0"/>
          </reference>
          <reference field="8" count="2">
            <x v="54"/>
            <x v="55"/>
          </reference>
        </references>
      </pivotArea>
    </format>
    <format dxfId="105">
      <pivotArea collapsedLevelsAreSubtotals="1" fieldPosition="0">
        <references count="3">
          <reference field="4" count="1" selected="0">
            <x v="53"/>
          </reference>
          <reference field="6" count="1" selected="0">
            <x v="0"/>
          </reference>
          <reference field="8" count="1">
            <x v="38"/>
          </reference>
        </references>
      </pivotArea>
    </format>
    <format dxfId="104">
      <pivotArea collapsedLevelsAreSubtotals="1" fieldPosition="0">
        <references count="3">
          <reference field="4" count="1" selected="0">
            <x v="82"/>
          </reference>
          <reference field="6" count="1" selected="0">
            <x v="1"/>
          </reference>
          <reference field="8" count="1">
            <x v="16"/>
          </reference>
        </references>
      </pivotArea>
    </format>
    <format dxfId="103">
      <pivotArea collapsedLevelsAreSubtotals="1" fieldPosition="0">
        <references count="3">
          <reference field="4" count="1" selected="0">
            <x v="82"/>
          </reference>
          <reference field="6" count="1" selected="0">
            <x v="1"/>
          </reference>
          <reference field="8" count="3">
            <x v="75"/>
            <x v="85"/>
            <x v="92"/>
          </reference>
        </references>
      </pivotArea>
    </format>
    <format dxfId="102">
      <pivotArea collapsedLevelsAreSubtotals="1" fieldPosition="0">
        <references count="3">
          <reference field="4" count="1" selected="0">
            <x v="102"/>
          </reference>
          <reference field="6" count="1" selected="0">
            <x v="1"/>
          </reference>
          <reference field="8" count="4">
            <x v="54"/>
            <x v="90"/>
            <x v="91"/>
            <x v="92"/>
          </reference>
        </references>
      </pivotArea>
    </format>
    <format dxfId="101">
      <pivotArea collapsedLevelsAreSubtotals="1" fieldPosition="0">
        <references count="2">
          <reference field="4" count="1">
            <x v="48"/>
          </reference>
          <reference field="6" count="1" selected="0">
            <x v="3"/>
          </reference>
        </references>
      </pivotArea>
    </format>
    <format dxfId="100">
      <pivotArea collapsedLevelsAreSubtotals="1" fieldPosition="0">
        <references count="3">
          <reference field="4" count="1" selected="0">
            <x v="48"/>
          </reference>
          <reference field="6" count="1" selected="0">
            <x v="3"/>
          </reference>
          <reference field="8" count="2">
            <x v="48"/>
            <x v="49"/>
          </reference>
        </references>
      </pivotArea>
    </format>
    <format dxfId="99">
      <pivotArea collapsedLevelsAreSubtotals="1" fieldPosition="0">
        <references count="2">
          <reference field="4" count="1">
            <x v="55"/>
          </reference>
          <reference field="6" count="1" selected="0">
            <x v="3"/>
          </reference>
        </references>
      </pivotArea>
    </format>
    <format dxfId="98">
      <pivotArea collapsedLevelsAreSubtotals="1" fieldPosition="0">
        <references count="3">
          <reference field="4" count="1" selected="0">
            <x v="55"/>
          </reference>
          <reference field="6" count="1" selected="0">
            <x v="3"/>
          </reference>
          <reference field="8" count="1">
            <x v="80"/>
          </reference>
        </references>
      </pivotArea>
    </format>
    <format dxfId="97">
      <pivotArea collapsedLevelsAreSubtotals="1" fieldPosition="0">
        <references count="3">
          <reference field="4" count="1" selected="0">
            <x v="72"/>
          </reference>
          <reference field="6" count="1" selected="0">
            <x v="3"/>
          </reference>
          <reference field="8" count="2">
            <x v="79"/>
            <x v="87"/>
          </reference>
        </references>
      </pivotArea>
    </format>
    <format dxfId="96">
      <pivotArea collapsedLevelsAreSubtotals="1" fieldPosition="0">
        <references count="3">
          <reference field="4" count="1" selected="0">
            <x v="19"/>
          </reference>
          <reference field="6" count="1" selected="0">
            <x v="4"/>
          </reference>
          <reference field="8" count="1">
            <x v="69"/>
          </reference>
        </references>
      </pivotArea>
    </format>
    <format dxfId="95">
      <pivotArea collapsedLevelsAreSubtotals="1" fieldPosition="0">
        <references count="3">
          <reference field="4" count="1" selected="0">
            <x v="59"/>
          </reference>
          <reference field="6" count="1" selected="0">
            <x v="6"/>
          </reference>
          <reference field="8" count="1">
            <x v="67"/>
          </reference>
        </references>
      </pivotArea>
    </format>
    <format dxfId="94">
      <pivotArea collapsedLevelsAreSubtotals="1" fieldPosition="0">
        <references count="3">
          <reference field="4" count="1" selected="0">
            <x v="62"/>
          </reference>
          <reference field="6" count="1" selected="0">
            <x v="7"/>
          </reference>
          <reference field="8" count="2">
            <x v="30"/>
            <x v="78"/>
          </reference>
        </references>
      </pivotArea>
    </format>
    <format dxfId="93">
      <pivotArea collapsedLevelsAreSubtotals="1" fieldPosition="0">
        <references count="3">
          <reference field="4" count="1" selected="0">
            <x v="116"/>
          </reference>
          <reference field="6" count="1" selected="0">
            <x v="7"/>
          </reference>
          <reference field="8" count="2">
            <x v="52"/>
            <x v="53"/>
          </reference>
        </references>
      </pivotArea>
    </format>
    <format dxfId="92">
      <pivotArea collapsedLevelsAreSubtotals="1" fieldPosition="0">
        <references count="3">
          <reference field="4" count="1" selected="0">
            <x v="32"/>
          </reference>
          <reference field="6" count="1" selected="0">
            <x v="8"/>
          </reference>
          <reference field="8" count="2">
            <x v="84"/>
            <x v="88"/>
          </reference>
        </references>
      </pivotArea>
    </format>
    <format dxfId="91">
      <pivotArea collapsedLevelsAreSubtotals="1" fieldPosition="0">
        <references count="3">
          <reference field="4" count="1" selected="0">
            <x v="96"/>
          </reference>
          <reference field="6" count="1" selected="0">
            <x v="8"/>
          </reference>
          <reference field="8" count="2">
            <x v="28"/>
            <x v="29"/>
          </reference>
        </references>
      </pivotArea>
    </format>
    <format dxfId="90">
      <pivotArea collapsedLevelsAreSubtotals="1" fieldPosition="0">
        <references count="3">
          <reference field="4" count="1" selected="0">
            <x v="64"/>
          </reference>
          <reference field="6" count="1" selected="0">
            <x v="9"/>
          </reference>
          <reference field="8" count="2">
            <x v="18"/>
            <x v="19"/>
          </reference>
        </references>
      </pivotArea>
    </format>
    <format dxfId="89">
      <pivotArea collapsedLevelsAreSubtotals="1" fieldPosition="0">
        <references count="2">
          <reference field="4" count="1">
            <x v="83"/>
          </reference>
          <reference field="6" count="1" selected="0">
            <x v="9"/>
          </reference>
        </references>
      </pivotArea>
    </format>
    <format dxfId="88">
      <pivotArea collapsedLevelsAreSubtotals="1" fieldPosition="0">
        <references count="3">
          <reference field="4" count="1" selected="0">
            <x v="83"/>
          </reference>
          <reference field="6" count="1" selected="0">
            <x v="9"/>
          </reference>
          <reference field="8" count="1">
            <x v="89"/>
          </reference>
        </references>
      </pivotArea>
    </format>
    <format dxfId="87">
      <pivotArea collapsedLevelsAreSubtotals="1" fieldPosition="0">
        <references count="3">
          <reference field="4" count="1" selected="0">
            <x v="9"/>
          </reference>
          <reference field="6" count="1" selected="0">
            <x v="12"/>
          </reference>
          <reference field="8" count="2">
            <x v="59"/>
            <x v="62"/>
          </reference>
        </references>
      </pivotArea>
    </format>
    <format dxfId="86">
      <pivotArea collapsedLevelsAreSubtotals="1" fieldPosition="0">
        <references count="3">
          <reference field="4" count="1" selected="0">
            <x v="49"/>
          </reference>
          <reference field="6" count="1" selected="0">
            <x v="12"/>
          </reference>
          <reference field="8" count="2">
            <x v="57"/>
            <x v="58"/>
          </reference>
        </references>
      </pivotArea>
    </format>
    <format dxfId="85">
      <pivotArea collapsedLevelsAreSubtotals="1" fieldPosition="0">
        <references count="3">
          <reference field="4" count="1" selected="0">
            <x v="20"/>
          </reference>
          <reference field="6" count="1" selected="0">
            <x v="14"/>
          </reference>
          <reference field="8" count="3">
            <x v="25"/>
            <x v="31"/>
            <x v="76"/>
          </reference>
        </references>
      </pivotArea>
    </format>
    <format dxfId="84">
      <pivotArea collapsedLevelsAreSubtotals="1" fieldPosition="0">
        <references count="3">
          <reference field="4" count="1" selected="0">
            <x v="101"/>
          </reference>
          <reference field="6" count="1" selected="0">
            <x v="14"/>
          </reference>
          <reference field="8" count="1">
            <x v="66"/>
          </reference>
        </references>
      </pivotArea>
    </format>
    <format dxfId="83">
      <pivotArea collapsedLevelsAreSubtotals="1" fieldPosition="0">
        <references count="2">
          <reference field="4" count="1">
            <x v="10"/>
          </reference>
          <reference field="6" count="1" selected="0">
            <x v="15"/>
          </reference>
        </references>
      </pivotArea>
    </format>
    <format dxfId="82">
      <pivotArea collapsedLevelsAreSubtotals="1" fieldPosition="0">
        <references count="3">
          <reference field="4" count="1" selected="0">
            <x v="10"/>
          </reference>
          <reference field="6" count="1" selected="0">
            <x v="15"/>
          </reference>
          <reference field="8" count="1">
            <x v="36"/>
          </reference>
        </references>
      </pivotArea>
    </format>
    <format dxfId="81">
      <pivotArea collapsedLevelsAreSubtotals="1" fieldPosition="0">
        <references count="3">
          <reference field="4" count="1" selected="0">
            <x v="123"/>
          </reference>
          <reference field="6" count="1" selected="0">
            <x v="15"/>
          </reference>
          <reference field="8" count="1">
            <x v="71"/>
          </reference>
        </references>
      </pivotArea>
    </format>
    <format dxfId="80">
      <pivotArea collapsedLevelsAreSubtotals="1" fieldPosition="0">
        <references count="3">
          <reference field="4" count="1" selected="0">
            <x v="37"/>
          </reference>
          <reference field="6" count="1" selected="0">
            <x v="16"/>
          </reference>
          <reference field="8" count="1">
            <x v="69"/>
          </reference>
        </references>
      </pivotArea>
    </format>
    <format dxfId="79">
      <pivotArea collapsedLevelsAreSubtotals="1" fieldPosition="0">
        <references count="3">
          <reference field="4" count="1" selected="0">
            <x v="38"/>
          </reference>
          <reference field="6" count="1" selected="0">
            <x v="16"/>
          </reference>
          <reference field="8" count="1">
            <x v="55"/>
          </reference>
        </references>
      </pivotArea>
    </format>
    <format dxfId="78">
      <pivotArea collapsedLevelsAreSubtotals="1" fieldPosition="0">
        <references count="2">
          <reference field="4" count="1">
            <x v="111"/>
          </reference>
          <reference field="6" count="1" selected="0">
            <x v="16"/>
          </reference>
        </references>
      </pivotArea>
    </format>
    <format dxfId="77">
      <pivotArea collapsedLevelsAreSubtotals="1" fieldPosition="0">
        <references count="3">
          <reference field="4" count="1" selected="0">
            <x v="111"/>
          </reference>
          <reference field="6" count="1" selected="0">
            <x v="16"/>
          </reference>
          <reference field="8" count="1">
            <x v="51"/>
          </reference>
        </references>
      </pivotArea>
    </format>
    <format dxfId="76">
      <pivotArea collapsedLevelsAreSubtotals="1" fieldPosition="0">
        <references count="3">
          <reference field="4" count="1" selected="0">
            <x v="118"/>
          </reference>
          <reference field="6" count="1" selected="0">
            <x v="16"/>
          </reference>
          <reference field="8" count="3">
            <x v="25"/>
            <x v="40"/>
            <x v="44"/>
          </reference>
        </references>
      </pivotArea>
    </format>
    <format dxfId="75">
      <pivotArea collapsedLevelsAreSubtotals="1" fieldPosition="0">
        <references count="2">
          <reference field="4" count="1">
            <x v="12"/>
          </reference>
          <reference field="6" count="1" selected="0">
            <x v="17"/>
          </reference>
        </references>
      </pivotArea>
    </format>
    <format dxfId="74">
      <pivotArea collapsedLevelsAreSubtotals="1" fieldPosition="0">
        <references count="3">
          <reference field="4" count="1" selected="0">
            <x v="12"/>
          </reference>
          <reference field="6" count="1" selected="0">
            <x v="17"/>
          </reference>
          <reference field="8" count="1">
            <x v="8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744C4-7432-4CDB-B27B-C1DEC6649F68}">
  <dimension ref="A1:B354"/>
  <sheetViews>
    <sheetView workbookViewId="0">
      <selection activeCell="B355" sqref="B355"/>
    </sheetView>
  </sheetViews>
  <sheetFormatPr defaultRowHeight="15" x14ac:dyDescent="0.25"/>
  <cols>
    <col min="1" max="1" width="62.85546875" bestFit="1" customWidth="1"/>
    <col min="2" max="2" width="21.140625" style="9" bestFit="1" customWidth="1"/>
  </cols>
  <sheetData>
    <row r="1" spans="1:2" x14ac:dyDescent="0.25">
      <c r="A1" s="5" t="s">
        <v>5</v>
      </c>
      <c r="B1" s="10" t="s">
        <v>35</v>
      </c>
    </row>
    <row r="3" spans="1:2" x14ac:dyDescent="0.25">
      <c r="A3" s="5" t="s">
        <v>570</v>
      </c>
      <c r="B3" s="10" t="s">
        <v>572</v>
      </c>
    </row>
    <row r="4" spans="1:2" x14ac:dyDescent="0.25">
      <c r="A4" s="6" t="s">
        <v>42</v>
      </c>
      <c r="B4" s="10">
        <v>706510</v>
      </c>
    </row>
    <row r="5" spans="1:2" x14ac:dyDescent="0.25">
      <c r="A5" s="7" t="s">
        <v>496</v>
      </c>
      <c r="B5" s="11">
        <v>266510</v>
      </c>
    </row>
    <row r="6" spans="1:2" x14ac:dyDescent="0.25">
      <c r="A6" s="8" t="s">
        <v>500</v>
      </c>
      <c r="B6" s="11">
        <v>110000</v>
      </c>
    </row>
    <row r="7" spans="1:2" x14ac:dyDescent="0.25">
      <c r="A7" s="8" t="s">
        <v>498</v>
      </c>
      <c r="B7" s="11">
        <v>156510</v>
      </c>
    </row>
    <row r="8" spans="1:2" x14ac:dyDescent="0.25">
      <c r="A8" s="7" t="s">
        <v>515</v>
      </c>
      <c r="B8" s="10">
        <v>440000</v>
      </c>
    </row>
    <row r="9" spans="1:2" x14ac:dyDescent="0.25">
      <c r="A9" s="8" t="s">
        <v>517</v>
      </c>
      <c r="B9" s="10">
        <v>440000</v>
      </c>
    </row>
    <row r="10" spans="1:2" x14ac:dyDescent="0.25">
      <c r="A10" s="6" t="s">
        <v>192</v>
      </c>
      <c r="B10" s="10">
        <v>1112940</v>
      </c>
    </row>
    <row r="11" spans="1:2" x14ac:dyDescent="0.25">
      <c r="A11" s="7" t="s">
        <v>535</v>
      </c>
      <c r="B11" s="10">
        <v>500000</v>
      </c>
    </row>
    <row r="12" spans="1:2" x14ac:dyDescent="0.25">
      <c r="A12" s="8" t="s">
        <v>388</v>
      </c>
      <c r="B12" s="10">
        <v>500000</v>
      </c>
    </row>
    <row r="13" spans="1:2" x14ac:dyDescent="0.25">
      <c r="A13" s="7" t="s">
        <v>349</v>
      </c>
      <c r="B13" s="10">
        <v>612940</v>
      </c>
    </row>
    <row r="14" spans="1:2" x14ac:dyDescent="0.25">
      <c r="A14" s="8" t="s">
        <v>500</v>
      </c>
      <c r="B14" s="11">
        <v>220000</v>
      </c>
    </row>
    <row r="15" spans="1:2" x14ac:dyDescent="0.25">
      <c r="A15" s="8" t="s">
        <v>159</v>
      </c>
      <c r="B15" s="11">
        <v>151515</v>
      </c>
    </row>
    <row r="16" spans="1:2" x14ac:dyDescent="0.25">
      <c r="A16" s="8" t="s">
        <v>272</v>
      </c>
      <c r="B16" s="11">
        <v>151515</v>
      </c>
    </row>
    <row r="17" spans="1:2" x14ac:dyDescent="0.25">
      <c r="A17" s="8" t="s">
        <v>157</v>
      </c>
      <c r="B17" s="11">
        <v>89910</v>
      </c>
    </row>
    <row r="18" spans="1:2" x14ac:dyDescent="0.25">
      <c r="A18" s="6" t="s">
        <v>57</v>
      </c>
      <c r="B18" s="10">
        <v>3643664.99</v>
      </c>
    </row>
    <row r="19" spans="1:2" x14ac:dyDescent="0.25">
      <c r="A19" s="7" t="s">
        <v>166</v>
      </c>
      <c r="B19" s="10">
        <v>719280</v>
      </c>
    </row>
    <row r="20" spans="1:2" x14ac:dyDescent="0.25">
      <c r="A20" s="8" t="s">
        <v>59</v>
      </c>
      <c r="B20" s="10">
        <v>719280</v>
      </c>
    </row>
    <row r="21" spans="1:2" x14ac:dyDescent="0.25">
      <c r="A21" s="7" t="s">
        <v>434</v>
      </c>
      <c r="B21" s="11">
        <v>140415</v>
      </c>
    </row>
    <row r="22" spans="1:2" x14ac:dyDescent="0.25">
      <c r="A22" s="8" t="s">
        <v>436</v>
      </c>
      <c r="B22" s="11">
        <v>66600</v>
      </c>
    </row>
    <row r="23" spans="1:2" x14ac:dyDescent="0.25">
      <c r="A23" s="8" t="s">
        <v>438</v>
      </c>
      <c r="B23" s="11">
        <v>73815</v>
      </c>
    </row>
    <row r="24" spans="1:2" x14ac:dyDescent="0.25">
      <c r="A24" s="7" t="s">
        <v>398</v>
      </c>
      <c r="B24" s="10">
        <v>659340</v>
      </c>
    </row>
    <row r="25" spans="1:2" x14ac:dyDescent="0.25">
      <c r="A25" s="8" t="s">
        <v>400</v>
      </c>
      <c r="B25" s="10">
        <v>659340</v>
      </c>
    </row>
    <row r="26" spans="1:2" x14ac:dyDescent="0.25">
      <c r="A26" s="7" t="s">
        <v>98</v>
      </c>
      <c r="B26" s="11">
        <v>285000</v>
      </c>
    </row>
    <row r="27" spans="1:2" x14ac:dyDescent="0.25">
      <c r="A27" s="8" t="s">
        <v>23</v>
      </c>
      <c r="B27" s="11">
        <v>285000</v>
      </c>
    </row>
    <row r="28" spans="1:2" x14ac:dyDescent="0.25">
      <c r="A28" s="7" t="s">
        <v>92</v>
      </c>
      <c r="B28" s="10">
        <v>445950</v>
      </c>
    </row>
    <row r="29" spans="1:2" x14ac:dyDescent="0.25">
      <c r="A29" s="8" t="s">
        <v>94</v>
      </c>
      <c r="B29" s="11">
        <v>285000</v>
      </c>
    </row>
    <row r="30" spans="1:2" x14ac:dyDescent="0.25">
      <c r="A30" s="8" t="s">
        <v>96</v>
      </c>
      <c r="B30" s="11">
        <v>160950</v>
      </c>
    </row>
    <row r="31" spans="1:2" x14ac:dyDescent="0.25">
      <c r="A31" s="7" t="s">
        <v>56</v>
      </c>
      <c r="B31" s="10">
        <v>674399.99</v>
      </c>
    </row>
    <row r="32" spans="1:2" x14ac:dyDescent="0.25">
      <c r="A32" s="8" t="s">
        <v>59</v>
      </c>
      <c r="B32" s="10">
        <v>674399.99</v>
      </c>
    </row>
    <row r="33" spans="1:2" x14ac:dyDescent="0.25">
      <c r="A33" s="7" t="s">
        <v>153</v>
      </c>
      <c r="B33" s="10">
        <v>719280</v>
      </c>
    </row>
    <row r="34" spans="1:2" x14ac:dyDescent="0.25">
      <c r="A34" s="8" t="s">
        <v>59</v>
      </c>
      <c r="B34" s="10">
        <v>719280</v>
      </c>
    </row>
    <row r="35" spans="1:2" x14ac:dyDescent="0.25">
      <c r="A35" s="6" t="s">
        <v>90</v>
      </c>
      <c r="B35" s="10">
        <v>5221129.99</v>
      </c>
    </row>
    <row r="36" spans="1:2" x14ac:dyDescent="0.25">
      <c r="A36" s="7" t="s">
        <v>89</v>
      </c>
      <c r="B36" s="10">
        <v>4424999.99</v>
      </c>
    </row>
    <row r="37" spans="1:2" x14ac:dyDescent="0.25">
      <c r="A37" s="8" t="s">
        <v>44</v>
      </c>
      <c r="B37" s="10">
        <v>4424999.99</v>
      </c>
    </row>
    <row r="38" spans="1:2" x14ac:dyDescent="0.25">
      <c r="A38" s="7" t="s">
        <v>186</v>
      </c>
      <c r="B38" s="10">
        <v>796130</v>
      </c>
    </row>
    <row r="39" spans="1:2" x14ac:dyDescent="0.25">
      <c r="A39" s="8" t="s">
        <v>177</v>
      </c>
      <c r="B39" s="10">
        <v>536130</v>
      </c>
    </row>
    <row r="40" spans="1:2" x14ac:dyDescent="0.25">
      <c r="A40" s="8" t="s">
        <v>189</v>
      </c>
      <c r="B40" s="11">
        <v>260000</v>
      </c>
    </row>
    <row r="41" spans="1:2" x14ac:dyDescent="0.25">
      <c r="A41" s="6" t="s">
        <v>61</v>
      </c>
      <c r="B41" s="10">
        <v>11110450.060000001</v>
      </c>
    </row>
    <row r="42" spans="1:2" x14ac:dyDescent="0.25">
      <c r="A42" s="7" t="s">
        <v>343</v>
      </c>
      <c r="B42" s="10">
        <v>2263450</v>
      </c>
    </row>
    <row r="43" spans="1:2" x14ac:dyDescent="0.25">
      <c r="A43" s="8" t="s">
        <v>345</v>
      </c>
      <c r="B43" s="10">
        <v>2263450</v>
      </c>
    </row>
    <row r="44" spans="1:2" x14ac:dyDescent="0.25">
      <c r="A44" s="7" t="s">
        <v>113</v>
      </c>
      <c r="B44" s="10">
        <v>600000</v>
      </c>
    </row>
    <row r="45" spans="1:2" x14ac:dyDescent="0.25">
      <c r="A45" s="8" t="s">
        <v>23</v>
      </c>
      <c r="B45" s="10">
        <v>600000</v>
      </c>
    </row>
    <row r="46" spans="1:2" x14ac:dyDescent="0.25">
      <c r="A46" s="7" t="s">
        <v>432</v>
      </c>
      <c r="B46" s="10">
        <v>674999.99</v>
      </c>
    </row>
    <row r="47" spans="1:2" x14ac:dyDescent="0.25">
      <c r="A47" s="8" t="s">
        <v>412</v>
      </c>
      <c r="B47" s="10">
        <v>674999.99</v>
      </c>
    </row>
    <row r="48" spans="1:2" x14ac:dyDescent="0.25">
      <c r="A48" s="7" t="s">
        <v>393</v>
      </c>
      <c r="B48" s="10">
        <v>640000</v>
      </c>
    </row>
    <row r="49" spans="1:2" x14ac:dyDescent="0.25">
      <c r="A49" s="8" t="s">
        <v>395</v>
      </c>
      <c r="B49" s="10">
        <v>640000</v>
      </c>
    </row>
    <row r="50" spans="1:2" x14ac:dyDescent="0.25">
      <c r="A50" s="7" t="s">
        <v>493</v>
      </c>
      <c r="B50" s="10">
        <v>4926800.07</v>
      </c>
    </row>
    <row r="51" spans="1:2" x14ac:dyDescent="0.25">
      <c r="A51" s="8" t="s">
        <v>408</v>
      </c>
      <c r="B51" s="10">
        <v>3646800.06</v>
      </c>
    </row>
    <row r="52" spans="1:2" x14ac:dyDescent="0.25">
      <c r="A52" s="8" t="s">
        <v>395</v>
      </c>
      <c r="B52" s="10">
        <v>1280000.01</v>
      </c>
    </row>
    <row r="53" spans="1:2" x14ac:dyDescent="0.25">
      <c r="A53" s="7" t="s">
        <v>252</v>
      </c>
      <c r="B53" s="10">
        <v>355200</v>
      </c>
    </row>
    <row r="54" spans="1:2" x14ac:dyDescent="0.25">
      <c r="A54" s="8" t="s">
        <v>44</v>
      </c>
      <c r="B54" s="10">
        <v>355200</v>
      </c>
    </row>
    <row r="55" spans="1:2" x14ac:dyDescent="0.25">
      <c r="A55" s="7" t="s">
        <v>87</v>
      </c>
      <c r="B55" s="10">
        <v>1080000</v>
      </c>
    </row>
    <row r="56" spans="1:2" x14ac:dyDescent="0.25">
      <c r="A56" s="8" t="s">
        <v>23</v>
      </c>
      <c r="B56" s="10">
        <v>1080000</v>
      </c>
    </row>
    <row r="57" spans="1:2" x14ac:dyDescent="0.25">
      <c r="A57" s="7" t="s">
        <v>109</v>
      </c>
      <c r="B57" s="10">
        <v>570000</v>
      </c>
    </row>
    <row r="58" spans="1:2" x14ac:dyDescent="0.25">
      <c r="A58" s="8" t="s">
        <v>23</v>
      </c>
      <c r="B58" s="10">
        <v>570000</v>
      </c>
    </row>
    <row r="59" spans="1:2" x14ac:dyDescent="0.25">
      <c r="A59" s="6" t="s">
        <v>36</v>
      </c>
      <c r="B59" s="10">
        <v>4599620</v>
      </c>
    </row>
    <row r="60" spans="1:2" x14ac:dyDescent="0.25">
      <c r="A60" s="7" t="s">
        <v>386</v>
      </c>
      <c r="B60" s="10">
        <v>2000000</v>
      </c>
    </row>
    <row r="61" spans="1:2" x14ac:dyDescent="0.25">
      <c r="A61" s="8" t="s">
        <v>388</v>
      </c>
      <c r="B61" s="10">
        <v>2000000</v>
      </c>
    </row>
    <row r="62" spans="1:2" x14ac:dyDescent="0.25">
      <c r="A62" s="7" t="s">
        <v>63</v>
      </c>
      <c r="B62" s="10">
        <v>577200</v>
      </c>
    </row>
    <row r="63" spans="1:2" x14ac:dyDescent="0.25">
      <c r="A63" s="8" t="s">
        <v>65</v>
      </c>
      <c r="B63" s="10">
        <v>577200</v>
      </c>
    </row>
    <row r="64" spans="1:2" x14ac:dyDescent="0.25">
      <c r="A64" s="7" t="s">
        <v>34</v>
      </c>
      <c r="B64" s="10">
        <v>362970</v>
      </c>
    </row>
    <row r="65" spans="1:2" x14ac:dyDescent="0.25">
      <c r="A65" s="8" t="s">
        <v>38</v>
      </c>
      <c r="B65" s="10">
        <v>362970</v>
      </c>
    </row>
    <row r="66" spans="1:2" x14ac:dyDescent="0.25">
      <c r="A66" s="7" t="s">
        <v>52</v>
      </c>
      <c r="B66" s="10">
        <v>854700</v>
      </c>
    </row>
    <row r="67" spans="1:2" x14ac:dyDescent="0.25">
      <c r="A67" s="8" t="s">
        <v>54</v>
      </c>
      <c r="B67" s="10">
        <v>854700</v>
      </c>
    </row>
    <row r="68" spans="1:2" x14ac:dyDescent="0.25">
      <c r="A68" s="7" t="s">
        <v>111</v>
      </c>
      <c r="B68" s="10">
        <v>804750</v>
      </c>
    </row>
    <row r="69" spans="1:2" x14ac:dyDescent="0.25">
      <c r="A69" s="8" t="s">
        <v>96</v>
      </c>
      <c r="B69" s="10">
        <v>804750</v>
      </c>
    </row>
    <row r="70" spans="1:2" x14ac:dyDescent="0.25">
      <c r="A70" s="6" t="s">
        <v>171</v>
      </c>
      <c r="B70" s="10">
        <v>1889999.97</v>
      </c>
    </row>
    <row r="71" spans="1:2" x14ac:dyDescent="0.25">
      <c r="A71" s="7" t="s">
        <v>521</v>
      </c>
      <c r="B71" s="10">
        <v>1889999.97</v>
      </c>
    </row>
    <row r="72" spans="1:2" x14ac:dyDescent="0.25">
      <c r="A72" s="8" t="s">
        <v>523</v>
      </c>
      <c r="B72" s="11">
        <v>202500</v>
      </c>
    </row>
    <row r="73" spans="1:2" x14ac:dyDescent="0.25">
      <c r="A73" s="8" t="s">
        <v>412</v>
      </c>
      <c r="B73" s="11">
        <v>67500</v>
      </c>
    </row>
    <row r="74" spans="1:2" x14ac:dyDescent="0.25">
      <c r="A74" s="8" t="s">
        <v>415</v>
      </c>
      <c r="B74" s="10">
        <v>404999.99</v>
      </c>
    </row>
    <row r="75" spans="1:2" x14ac:dyDescent="0.25">
      <c r="A75" s="8" t="s">
        <v>528</v>
      </c>
      <c r="B75" s="10">
        <v>404999.99</v>
      </c>
    </row>
    <row r="76" spans="1:2" x14ac:dyDescent="0.25">
      <c r="A76" s="8" t="s">
        <v>526</v>
      </c>
      <c r="B76" s="10">
        <v>404999.99</v>
      </c>
    </row>
    <row r="77" spans="1:2" x14ac:dyDescent="0.25">
      <c r="A77" s="8" t="s">
        <v>417</v>
      </c>
      <c r="B77" s="10">
        <v>405000</v>
      </c>
    </row>
    <row r="78" spans="1:2" x14ac:dyDescent="0.25">
      <c r="A78" s="6" t="s">
        <v>141</v>
      </c>
      <c r="B78" s="10">
        <v>523799.94</v>
      </c>
    </row>
    <row r="79" spans="1:2" x14ac:dyDescent="0.25">
      <c r="A79" s="7" t="s">
        <v>140</v>
      </c>
      <c r="B79" s="10">
        <v>523799.94</v>
      </c>
    </row>
    <row r="80" spans="1:2" x14ac:dyDescent="0.25">
      <c r="A80" s="8" t="s">
        <v>133</v>
      </c>
      <c r="B80" s="10">
        <v>523799.94</v>
      </c>
    </row>
    <row r="81" spans="1:2" x14ac:dyDescent="0.25">
      <c r="A81" s="6" t="s">
        <v>131</v>
      </c>
      <c r="B81" s="10">
        <v>911160.01</v>
      </c>
    </row>
    <row r="82" spans="1:2" x14ac:dyDescent="0.25">
      <c r="A82" s="7" t="s">
        <v>307</v>
      </c>
      <c r="B82" s="10">
        <v>338400.01</v>
      </c>
    </row>
    <row r="83" spans="1:2" x14ac:dyDescent="0.25">
      <c r="A83" s="8" t="s">
        <v>123</v>
      </c>
      <c r="B83" s="11">
        <v>128400.01</v>
      </c>
    </row>
    <row r="84" spans="1:2" x14ac:dyDescent="0.25">
      <c r="A84" s="8" t="s">
        <v>182</v>
      </c>
      <c r="B84" s="11">
        <v>210000</v>
      </c>
    </row>
    <row r="85" spans="1:2" x14ac:dyDescent="0.25">
      <c r="A85" s="7" t="s">
        <v>130</v>
      </c>
      <c r="B85" s="10">
        <v>572760</v>
      </c>
    </row>
    <row r="86" spans="1:2" x14ac:dyDescent="0.25">
      <c r="A86" s="8" t="s">
        <v>133</v>
      </c>
      <c r="B86" s="10">
        <v>572760</v>
      </c>
    </row>
    <row r="87" spans="1:2" x14ac:dyDescent="0.25">
      <c r="A87" s="6" t="s">
        <v>107</v>
      </c>
      <c r="B87" s="10">
        <v>1892380.01</v>
      </c>
    </row>
    <row r="88" spans="1:2" x14ac:dyDescent="0.25">
      <c r="A88" s="7" t="s">
        <v>484</v>
      </c>
      <c r="B88" s="10">
        <v>325380.01</v>
      </c>
    </row>
    <row r="89" spans="1:2" x14ac:dyDescent="0.25">
      <c r="A89" s="8" t="s">
        <v>486</v>
      </c>
      <c r="B89" s="11">
        <v>112200</v>
      </c>
    </row>
    <row r="90" spans="1:2" x14ac:dyDescent="0.25">
      <c r="A90" s="8" t="s">
        <v>489</v>
      </c>
      <c r="B90" s="11">
        <v>106590</v>
      </c>
    </row>
    <row r="91" spans="1:2" x14ac:dyDescent="0.25">
      <c r="A91" s="8" t="s">
        <v>491</v>
      </c>
      <c r="B91" s="11">
        <v>106590.01</v>
      </c>
    </row>
    <row r="92" spans="1:2" x14ac:dyDescent="0.25">
      <c r="A92" s="7" t="s">
        <v>428</v>
      </c>
      <c r="B92" s="10">
        <v>412000</v>
      </c>
    </row>
    <row r="93" spans="1:2" x14ac:dyDescent="0.25">
      <c r="A93" s="8" t="s">
        <v>430</v>
      </c>
      <c r="B93" s="10">
        <v>412000</v>
      </c>
    </row>
    <row r="94" spans="1:2" x14ac:dyDescent="0.25">
      <c r="A94" s="7" t="s">
        <v>299</v>
      </c>
      <c r="B94" s="10">
        <v>1155000</v>
      </c>
    </row>
    <row r="95" spans="1:2" x14ac:dyDescent="0.25">
      <c r="A95" s="8" t="s">
        <v>301</v>
      </c>
      <c r="B95" s="10">
        <v>1155000</v>
      </c>
    </row>
    <row r="96" spans="1:2" x14ac:dyDescent="0.25">
      <c r="A96" s="6" t="s">
        <v>32</v>
      </c>
      <c r="B96" s="10">
        <v>9343495.0099999998</v>
      </c>
    </row>
    <row r="97" spans="1:2" x14ac:dyDescent="0.25">
      <c r="A97" s="7" t="s">
        <v>75</v>
      </c>
      <c r="B97" s="10">
        <v>716000</v>
      </c>
    </row>
    <row r="98" spans="1:2" x14ac:dyDescent="0.25">
      <c r="A98" s="8" t="s">
        <v>77</v>
      </c>
      <c r="B98" s="10">
        <v>716000</v>
      </c>
    </row>
    <row r="99" spans="1:2" x14ac:dyDescent="0.25">
      <c r="A99" s="7" t="s">
        <v>542</v>
      </c>
      <c r="B99" s="10">
        <v>390000</v>
      </c>
    </row>
    <row r="100" spans="1:2" x14ac:dyDescent="0.25">
      <c r="A100" s="8" t="s">
        <v>544</v>
      </c>
      <c r="B100" s="10">
        <v>390000</v>
      </c>
    </row>
    <row r="101" spans="1:2" x14ac:dyDescent="0.25">
      <c r="A101" s="7" t="s">
        <v>366</v>
      </c>
      <c r="B101" s="10">
        <v>1966920</v>
      </c>
    </row>
    <row r="102" spans="1:2" x14ac:dyDescent="0.25">
      <c r="A102" s="8" t="s">
        <v>368</v>
      </c>
      <c r="B102" s="10">
        <v>1966920</v>
      </c>
    </row>
    <row r="103" spans="1:2" x14ac:dyDescent="0.25">
      <c r="A103" s="7" t="s">
        <v>376</v>
      </c>
      <c r="B103" s="10">
        <v>1761450</v>
      </c>
    </row>
    <row r="104" spans="1:2" x14ac:dyDescent="0.25">
      <c r="A104" s="8" t="s">
        <v>177</v>
      </c>
      <c r="B104" s="10">
        <v>759000.01</v>
      </c>
    </row>
    <row r="105" spans="1:2" x14ac:dyDescent="0.25">
      <c r="A105" s="8" t="s">
        <v>443</v>
      </c>
      <c r="B105" s="10">
        <v>674999.99</v>
      </c>
    </row>
    <row r="106" spans="1:2" x14ac:dyDescent="0.25">
      <c r="A106" s="8" t="s">
        <v>23</v>
      </c>
      <c r="B106" s="10">
        <v>327450</v>
      </c>
    </row>
    <row r="107" spans="1:2" x14ac:dyDescent="0.25">
      <c r="A107" s="7" t="s">
        <v>69</v>
      </c>
      <c r="B107" s="10">
        <v>3219000</v>
      </c>
    </row>
    <row r="108" spans="1:2" x14ac:dyDescent="0.25">
      <c r="A108" s="8" t="s">
        <v>23</v>
      </c>
      <c r="B108" s="10">
        <v>1637250</v>
      </c>
    </row>
    <row r="109" spans="1:2" x14ac:dyDescent="0.25">
      <c r="A109" s="8" t="s">
        <v>71</v>
      </c>
      <c r="B109" s="10">
        <v>1581750</v>
      </c>
    </row>
    <row r="110" spans="1:2" x14ac:dyDescent="0.25">
      <c r="A110" s="7" t="s">
        <v>329</v>
      </c>
      <c r="B110" s="10">
        <v>300000.01</v>
      </c>
    </row>
    <row r="111" spans="1:2" x14ac:dyDescent="0.25">
      <c r="A111" s="8" t="s">
        <v>331</v>
      </c>
      <c r="B111" s="10">
        <v>300000.01</v>
      </c>
    </row>
    <row r="112" spans="1:2" x14ac:dyDescent="0.25">
      <c r="A112" s="7" t="s">
        <v>151</v>
      </c>
      <c r="B112" s="10">
        <v>560000</v>
      </c>
    </row>
    <row r="113" spans="1:2" x14ac:dyDescent="0.25">
      <c r="A113" s="8" t="s">
        <v>65</v>
      </c>
      <c r="B113" s="10">
        <v>560000</v>
      </c>
    </row>
    <row r="114" spans="1:2" x14ac:dyDescent="0.25">
      <c r="A114" s="7" t="s">
        <v>402</v>
      </c>
      <c r="B114" s="10">
        <v>430125</v>
      </c>
    </row>
    <row r="115" spans="1:2" x14ac:dyDescent="0.25">
      <c r="A115" s="8" t="s">
        <v>404</v>
      </c>
      <c r="B115" s="10">
        <v>430125</v>
      </c>
    </row>
    <row r="116" spans="1:2" x14ac:dyDescent="0.25">
      <c r="A116" s="6" t="s">
        <v>21</v>
      </c>
      <c r="B116" s="10">
        <v>534999.98</v>
      </c>
    </row>
    <row r="117" spans="1:2" x14ac:dyDescent="0.25">
      <c r="A117" s="7" t="s">
        <v>566</v>
      </c>
      <c r="B117" s="11">
        <v>220000</v>
      </c>
    </row>
    <row r="118" spans="1:2" x14ac:dyDescent="0.25">
      <c r="A118" s="8" t="s">
        <v>568</v>
      </c>
      <c r="B118" s="11">
        <v>220000</v>
      </c>
    </row>
    <row r="119" spans="1:2" x14ac:dyDescent="0.25">
      <c r="A119" s="7" t="s">
        <v>546</v>
      </c>
      <c r="B119" s="10">
        <v>314999.98</v>
      </c>
    </row>
    <row r="120" spans="1:2" x14ac:dyDescent="0.25">
      <c r="A120" s="8" t="s">
        <v>486</v>
      </c>
      <c r="B120" s="11">
        <v>104999.99</v>
      </c>
    </row>
    <row r="121" spans="1:2" x14ac:dyDescent="0.25">
      <c r="A121" s="8" t="s">
        <v>548</v>
      </c>
      <c r="B121" s="11">
        <v>104999.99</v>
      </c>
    </row>
    <row r="122" spans="1:2" x14ac:dyDescent="0.25">
      <c r="A122" s="8" t="s">
        <v>550</v>
      </c>
      <c r="B122" s="11">
        <v>105000</v>
      </c>
    </row>
    <row r="123" spans="1:2" x14ac:dyDescent="0.25">
      <c r="A123" s="6" t="s">
        <v>234</v>
      </c>
      <c r="B123" s="10">
        <v>5073800.25</v>
      </c>
    </row>
    <row r="124" spans="1:2" x14ac:dyDescent="0.25">
      <c r="A124" s="7" t="s">
        <v>233</v>
      </c>
      <c r="B124" s="10">
        <v>2548800.25</v>
      </c>
    </row>
    <row r="125" spans="1:2" x14ac:dyDescent="0.25">
      <c r="A125" s="8" t="s">
        <v>216</v>
      </c>
      <c r="B125" s="10">
        <v>2548800.25</v>
      </c>
    </row>
    <row r="126" spans="1:2" x14ac:dyDescent="0.25">
      <c r="A126" s="7" t="s">
        <v>470</v>
      </c>
      <c r="B126" s="10">
        <v>2125000</v>
      </c>
    </row>
    <row r="127" spans="1:2" x14ac:dyDescent="0.25">
      <c r="A127" s="8" t="s">
        <v>472</v>
      </c>
      <c r="B127" s="10">
        <v>1125000</v>
      </c>
    </row>
    <row r="128" spans="1:2" x14ac:dyDescent="0.25">
      <c r="A128" s="8" t="s">
        <v>388</v>
      </c>
      <c r="B128" s="10">
        <v>1000000</v>
      </c>
    </row>
    <row r="129" spans="1:2" x14ac:dyDescent="0.25">
      <c r="A129" s="7" t="s">
        <v>466</v>
      </c>
      <c r="B129" s="10">
        <v>400000</v>
      </c>
    </row>
    <row r="130" spans="1:2" x14ac:dyDescent="0.25">
      <c r="A130" s="8" t="s">
        <v>388</v>
      </c>
      <c r="B130" s="10">
        <v>400000</v>
      </c>
    </row>
    <row r="131" spans="1:2" x14ac:dyDescent="0.25">
      <c r="A131" s="6" t="s">
        <v>571</v>
      </c>
      <c r="B131" s="10">
        <v>46563950.210000001</v>
      </c>
    </row>
    <row r="132" spans="1:2" x14ac:dyDescent="0.25">
      <c r="B132"/>
    </row>
    <row r="133" spans="1:2" x14ac:dyDescent="0.25">
      <c r="B133"/>
    </row>
    <row r="134" spans="1:2" x14ac:dyDescent="0.25">
      <c r="B134"/>
    </row>
    <row r="135" spans="1:2" x14ac:dyDescent="0.25">
      <c r="B135"/>
    </row>
    <row r="136" spans="1:2" x14ac:dyDescent="0.25">
      <c r="B136"/>
    </row>
    <row r="137" spans="1:2" x14ac:dyDescent="0.25">
      <c r="B137"/>
    </row>
    <row r="138" spans="1:2" x14ac:dyDescent="0.25">
      <c r="B138"/>
    </row>
    <row r="139" spans="1:2" x14ac:dyDescent="0.25">
      <c r="B139"/>
    </row>
    <row r="140" spans="1:2" x14ac:dyDescent="0.25">
      <c r="B140"/>
    </row>
    <row r="141" spans="1:2" x14ac:dyDescent="0.25">
      <c r="B141"/>
    </row>
    <row r="142" spans="1:2" x14ac:dyDescent="0.25">
      <c r="B142"/>
    </row>
    <row r="143" spans="1:2" x14ac:dyDescent="0.25">
      <c r="B143"/>
    </row>
    <row r="144" spans="1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  <row r="203" spans="2:2" x14ac:dyDescent="0.25">
      <c r="B203"/>
    </row>
    <row r="204" spans="2:2" x14ac:dyDescent="0.25">
      <c r="B204"/>
    </row>
    <row r="205" spans="2:2" x14ac:dyDescent="0.25">
      <c r="B205"/>
    </row>
    <row r="206" spans="2:2" x14ac:dyDescent="0.25">
      <c r="B206"/>
    </row>
    <row r="207" spans="2:2" x14ac:dyDescent="0.25">
      <c r="B207"/>
    </row>
    <row r="208" spans="2:2" x14ac:dyDescent="0.25">
      <c r="B208"/>
    </row>
    <row r="209" spans="2:2" x14ac:dyDescent="0.25">
      <c r="B209"/>
    </row>
    <row r="210" spans="2:2" x14ac:dyDescent="0.25">
      <c r="B210"/>
    </row>
    <row r="211" spans="2:2" x14ac:dyDescent="0.25">
      <c r="B211"/>
    </row>
    <row r="212" spans="2:2" x14ac:dyDescent="0.25">
      <c r="B212"/>
    </row>
    <row r="213" spans="2:2" x14ac:dyDescent="0.25">
      <c r="B213"/>
    </row>
    <row r="214" spans="2:2" x14ac:dyDescent="0.25">
      <c r="B214"/>
    </row>
    <row r="215" spans="2:2" x14ac:dyDescent="0.25">
      <c r="B215"/>
    </row>
    <row r="216" spans="2:2" x14ac:dyDescent="0.25">
      <c r="B216"/>
    </row>
    <row r="217" spans="2:2" x14ac:dyDescent="0.25">
      <c r="B217"/>
    </row>
    <row r="218" spans="2:2" x14ac:dyDescent="0.25">
      <c r="B218"/>
    </row>
    <row r="219" spans="2:2" x14ac:dyDescent="0.25">
      <c r="B219"/>
    </row>
    <row r="220" spans="2:2" x14ac:dyDescent="0.25">
      <c r="B220"/>
    </row>
    <row r="221" spans="2:2" x14ac:dyDescent="0.25">
      <c r="B221"/>
    </row>
    <row r="222" spans="2:2" x14ac:dyDescent="0.25">
      <c r="B222"/>
    </row>
    <row r="223" spans="2:2" x14ac:dyDescent="0.25">
      <c r="B223"/>
    </row>
    <row r="224" spans="2:2" x14ac:dyDescent="0.25">
      <c r="B224"/>
    </row>
    <row r="225" spans="2:2" x14ac:dyDescent="0.25">
      <c r="B225"/>
    </row>
    <row r="226" spans="2:2" x14ac:dyDescent="0.25">
      <c r="B226"/>
    </row>
    <row r="227" spans="2:2" x14ac:dyDescent="0.25">
      <c r="B227"/>
    </row>
    <row r="228" spans="2:2" x14ac:dyDescent="0.25">
      <c r="B228"/>
    </row>
    <row r="229" spans="2:2" x14ac:dyDescent="0.25">
      <c r="B229"/>
    </row>
    <row r="230" spans="2:2" x14ac:dyDescent="0.25">
      <c r="B230"/>
    </row>
    <row r="231" spans="2:2" x14ac:dyDescent="0.25">
      <c r="B231"/>
    </row>
    <row r="232" spans="2:2" x14ac:dyDescent="0.25">
      <c r="B232"/>
    </row>
    <row r="233" spans="2:2" x14ac:dyDescent="0.25">
      <c r="B233"/>
    </row>
    <row r="234" spans="2:2" x14ac:dyDescent="0.25">
      <c r="B234"/>
    </row>
    <row r="235" spans="2:2" x14ac:dyDescent="0.25">
      <c r="B235"/>
    </row>
    <row r="236" spans="2:2" x14ac:dyDescent="0.25">
      <c r="B236"/>
    </row>
    <row r="237" spans="2:2" x14ac:dyDescent="0.25">
      <c r="B237"/>
    </row>
    <row r="238" spans="2:2" x14ac:dyDescent="0.25">
      <c r="B238"/>
    </row>
    <row r="239" spans="2:2" x14ac:dyDescent="0.25">
      <c r="B239"/>
    </row>
    <row r="240" spans="2:2" x14ac:dyDescent="0.25">
      <c r="B240"/>
    </row>
    <row r="241" spans="2:2" x14ac:dyDescent="0.25">
      <c r="B241"/>
    </row>
    <row r="242" spans="2:2" x14ac:dyDescent="0.25">
      <c r="B242"/>
    </row>
    <row r="243" spans="2:2" x14ac:dyDescent="0.25">
      <c r="B243"/>
    </row>
    <row r="244" spans="2:2" x14ac:dyDescent="0.25">
      <c r="B244"/>
    </row>
    <row r="245" spans="2:2" x14ac:dyDescent="0.25">
      <c r="B245"/>
    </row>
    <row r="246" spans="2:2" x14ac:dyDescent="0.25">
      <c r="B246"/>
    </row>
    <row r="247" spans="2:2" x14ac:dyDescent="0.25">
      <c r="B247"/>
    </row>
    <row r="248" spans="2:2" x14ac:dyDescent="0.25">
      <c r="B248"/>
    </row>
    <row r="249" spans="2:2" x14ac:dyDescent="0.25">
      <c r="B249"/>
    </row>
    <row r="250" spans="2:2" x14ac:dyDescent="0.25">
      <c r="B250"/>
    </row>
    <row r="251" spans="2:2" x14ac:dyDescent="0.25">
      <c r="B251"/>
    </row>
    <row r="252" spans="2:2" x14ac:dyDescent="0.25">
      <c r="B252"/>
    </row>
    <row r="253" spans="2:2" x14ac:dyDescent="0.25">
      <c r="B253"/>
    </row>
    <row r="254" spans="2:2" x14ac:dyDescent="0.25">
      <c r="B254"/>
    </row>
    <row r="255" spans="2:2" x14ac:dyDescent="0.25">
      <c r="B255"/>
    </row>
    <row r="256" spans="2:2" x14ac:dyDescent="0.25">
      <c r="B256"/>
    </row>
    <row r="257" spans="2:2" x14ac:dyDescent="0.25">
      <c r="B257"/>
    </row>
    <row r="258" spans="2:2" x14ac:dyDescent="0.25">
      <c r="B258"/>
    </row>
    <row r="259" spans="2:2" x14ac:dyDescent="0.25">
      <c r="B259"/>
    </row>
    <row r="260" spans="2:2" x14ac:dyDescent="0.25">
      <c r="B260"/>
    </row>
    <row r="261" spans="2:2" x14ac:dyDescent="0.25">
      <c r="B261"/>
    </row>
    <row r="262" spans="2:2" x14ac:dyDescent="0.25">
      <c r="B262"/>
    </row>
    <row r="263" spans="2:2" x14ac:dyDescent="0.25">
      <c r="B263"/>
    </row>
    <row r="264" spans="2:2" x14ac:dyDescent="0.25">
      <c r="B264"/>
    </row>
    <row r="265" spans="2:2" x14ac:dyDescent="0.25">
      <c r="B265"/>
    </row>
    <row r="266" spans="2:2" x14ac:dyDescent="0.25">
      <c r="B266"/>
    </row>
    <row r="267" spans="2:2" x14ac:dyDescent="0.25">
      <c r="B267"/>
    </row>
    <row r="268" spans="2:2" x14ac:dyDescent="0.25">
      <c r="B268"/>
    </row>
    <row r="269" spans="2:2" x14ac:dyDescent="0.25">
      <c r="B269"/>
    </row>
    <row r="270" spans="2:2" x14ac:dyDescent="0.25">
      <c r="B270"/>
    </row>
    <row r="271" spans="2:2" x14ac:dyDescent="0.25">
      <c r="B271"/>
    </row>
    <row r="272" spans="2:2" x14ac:dyDescent="0.25">
      <c r="B272"/>
    </row>
    <row r="273" spans="2:2" x14ac:dyDescent="0.25">
      <c r="B273"/>
    </row>
    <row r="274" spans="2:2" x14ac:dyDescent="0.25">
      <c r="B274"/>
    </row>
    <row r="275" spans="2:2" x14ac:dyDescent="0.25">
      <c r="B275"/>
    </row>
    <row r="276" spans="2:2" x14ac:dyDescent="0.25">
      <c r="B276"/>
    </row>
    <row r="277" spans="2:2" x14ac:dyDescent="0.25">
      <c r="B277"/>
    </row>
    <row r="278" spans="2:2" x14ac:dyDescent="0.25">
      <c r="B278"/>
    </row>
    <row r="279" spans="2:2" x14ac:dyDescent="0.25">
      <c r="B279"/>
    </row>
    <row r="280" spans="2:2" x14ac:dyDescent="0.25">
      <c r="B280"/>
    </row>
    <row r="281" spans="2:2" x14ac:dyDescent="0.25">
      <c r="B281"/>
    </row>
    <row r="282" spans="2:2" x14ac:dyDescent="0.25">
      <c r="B282"/>
    </row>
    <row r="283" spans="2:2" x14ac:dyDescent="0.25">
      <c r="B283"/>
    </row>
    <row r="284" spans="2:2" x14ac:dyDescent="0.25">
      <c r="B284"/>
    </row>
    <row r="285" spans="2:2" x14ac:dyDescent="0.25">
      <c r="B285"/>
    </row>
    <row r="286" spans="2:2" x14ac:dyDescent="0.25">
      <c r="B286"/>
    </row>
    <row r="287" spans="2:2" x14ac:dyDescent="0.25">
      <c r="B287"/>
    </row>
    <row r="288" spans="2:2" x14ac:dyDescent="0.25">
      <c r="B288"/>
    </row>
    <row r="289" spans="2:2" x14ac:dyDescent="0.25">
      <c r="B289"/>
    </row>
    <row r="290" spans="2:2" x14ac:dyDescent="0.25">
      <c r="B290"/>
    </row>
    <row r="291" spans="2:2" x14ac:dyDescent="0.25">
      <c r="B291"/>
    </row>
    <row r="292" spans="2:2" x14ac:dyDescent="0.25">
      <c r="B292"/>
    </row>
    <row r="293" spans="2:2" x14ac:dyDescent="0.25">
      <c r="B293"/>
    </row>
    <row r="294" spans="2:2" x14ac:dyDescent="0.25">
      <c r="B294"/>
    </row>
    <row r="295" spans="2:2" x14ac:dyDescent="0.25">
      <c r="B295"/>
    </row>
    <row r="296" spans="2:2" x14ac:dyDescent="0.25">
      <c r="B296"/>
    </row>
    <row r="297" spans="2:2" x14ac:dyDescent="0.25">
      <c r="B297"/>
    </row>
    <row r="298" spans="2:2" x14ac:dyDescent="0.25">
      <c r="B298"/>
    </row>
    <row r="299" spans="2:2" x14ac:dyDescent="0.25">
      <c r="B299"/>
    </row>
    <row r="300" spans="2:2" x14ac:dyDescent="0.25">
      <c r="B300"/>
    </row>
    <row r="301" spans="2:2" x14ac:dyDescent="0.25">
      <c r="B301"/>
    </row>
    <row r="302" spans="2:2" x14ac:dyDescent="0.25">
      <c r="B302"/>
    </row>
    <row r="303" spans="2:2" x14ac:dyDescent="0.25">
      <c r="B303"/>
    </row>
    <row r="304" spans="2:2" x14ac:dyDescent="0.25">
      <c r="B304"/>
    </row>
    <row r="305" spans="2:2" x14ac:dyDescent="0.25">
      <c r="B305"/>
    </row>
    <row r="306" spans="2:2" x14ac:dyDescent="0.25">
      <c r="B306"/>
    </row>
    <row r="307" spans="2:2" x14ac:dyDescent="0.25">
      <c r="B307"/>
    </row>
    <row r="308" spans="2:2" x14ac:dyDescent="0.25">
      <c r="B308"/>
    </row>
    <row r="309" spans="2:2" x14ac:dyDescent="0.25">
      <c r="B309"/>
    </row>
    <row r="310" spans="2:2" x14ac:dyDescent="0.25">
      <c r="B310"/>
    </row>
    <row r="311" spans="2:2" x14ac:dyDescent="0.25">
      <c r="B311"/>
    </row>
    <row r="312" spans="2:2" x14ac:dyDescent="0.25">
      <c r="B312"/>
    </row>
    <row r="313" spans="2:2" x14ac:dyDescent="0.25">
      <c r="B313"/>
    </row>
    <row r="314" spans="2:2" x14ac:dyDescent="0.25">
      <c r="B314"/>
    </row>
    <row r="315" spans="2:2" x14ac:dyDescent="0.25">
      <c r="B315"/>
    </row>
    <row r="316" spans="2:2" x14ac:dyDescent="0.25">
      <c r="B316"/>
    </row>
    <row r="317" spans="2:2" x14ac:dyDescent="0.25">
      <c r="B317"/>
    </row>
    <row r="318" spans="2:2" x14ac:dyDescent="0.25">
      <c r="B318"/>
    </row>
    <row r="319" spans="2:2" x14ac:dyDescent="0.25">
      <c r="B319"/>
    </row>
    <row r="320" spans="2:2" x14ac:dyDescent="0.25">
      <c r="B320"/>
    </row>
    <row r="321" spans="2:2" x14ac:dyDescent="0.25">
      <c r="B321"/>
    </row>
    <row r="322" spans="2:2" x14ac:dyDescent="0.25">
      <c r="B322"/>
    </row>
    <row r="323" spans="2:2" x14ac:dyDescent="0.25">
      <c r="B323"/>
    </row>
    <row r="324" spans="2:2" x14ac:dyDescent="0.25">
      <c r="B324"/>
    </row>
    <row r="325" spans="2:2" x14ac:dyDescent="0.25">
      <c r="B325"/>
    </row>
    <row r="326" spans="2:2" x14ac:dyDescent="0.25">
      <c r="B326"/>
    </row>
    <row r="327" spans="2:2" x14ac:dyDescent="0.25">
      <c r="B327"/>
    </row>
    <row r="328" spans="2:2" x14ac:dyDescent="0.25">
      <c r="B328"/>
    </row>
    <row r="329" spans="2:2" x14ac:dyDescent="0.25">
      <c r="B329"/>
    </row>
    <row r="330" spans="2:2" x14ac:dyDescent="0.25">
      <c r="B330"/>
    </row>
    <row r="331" spans="2:2" x14ac:dyDescent="0.25">
      <c r="B331"/>
    </row>
    <row r="332" spans="2:2" x14ac:dyDescent="0.25">
      <c r="B332"/>
    </row>
    <row r="333" spans="2:2" x14ac:dyDescent="0.25">
      <c r="B333"/>
    </row>
    <row r="334" spans="2:2" x14ac:dyDescent="0.25">
      <c r="B334"/>
    </row>
    <row r="335" spans="2:2" x14ac:dyDescent="0.25">
      <c r="B335"/>
    </row>
    <row r="336" spans="2:2" x14ac:dyDescent="0.25">
      <c r="B336"/>
    </row>
    <row r="337" spans="2:2" x14ac:dyDescent="0.25">
      <c r="B337"/>
    </row>
    <row r="338" spans="2:2" x14ac:dyDescent="0.25">
      <c r="B338"/>
    </row>
    <row r="339" spans="2:2" x14ac:dyDescent="0.25">
      <c r="B339"/>
    </row>
    <row r="340" spans="2:2" x14ac:dyDescent="0.25">
      <c r="B340"/>
    </row>
    <row r="341" spans="2:2" x14ac:dyDescent="0.25">
      <c r="B341"/>
    </row>
    <row r="342" spans="2:2" x14ac:dyDescent="0.25">
      <c r="B342"/>
    </row>
    <row r="343" spans="2:2" x14ac:dyDescent="0.25">
      <c r="B343"/>
    </row>
    <row r="344" spans="2:2" x14ac:dyDescent="0.25">
      <c r="B344"/>
    </row>
    <row r="345" spans="2:2" x14ac:dyDescent="0.25">
      <c r="B345"/>
    </row>
    <row r="346" spans="2:2" x14ac:dyDescent="0.25">
      <c r="B346"/>
    </row>
    <row r="347" spans="2:2" x14ac:dyDescent="0.25">
      <c r="B347"/>
    </row>
    <row r="348" spans="2:2" x14ac:dyDescent="0.25">
      <c r="B348"/>
    </row>
    <row r="349" spans="2:2" x14ac:dyDescent="0.25">
      <c r="B349"/>
    </row>
    <row r="350" spans="2:2" x14ac:dyDescent="0.25">
      <c r="B350"/>
    </row>
    <row r="351" spans="2:2" x14ac:dyDescent="0.25">
      <c r="B351"/>
    </row>
    <row r="352" spans="2:2" x14ac:dyDescent="0.25">
      <c r="B352"/>
    </row>
    <row r="353" spans="2:2" x14ac:dyDescent="0.25">
      <c r="B353"/>
    </row>
    <row r="354" spans="2:2" x14ac:dyDescent="0.25">
      <c r="B35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19"/>
  <sheetViews>
    <sheetView tabSelected="1" topLeftCell="C1" workbookViewId="0">
      <pane ySplit="1" topLeftCell="A200" activePane="bottomLeft" state="frozen"/>
      <selection pane="bottomLeft" activeCell="M1" sqref="M1:M1048576"/>
    </sheetView>
  </sheetViews>
  <sheetFormatPr defaultRowHeight="15" x14ac:dyDescent="0.25"/>
  <cols>
    <col min="1" max="1" width="11" style="1" customWidth="1"/>
    <col min="2" max="2" width="12" style="1" customWidth="1"/>
    <col min="3" max="3" width="15.42578125" style="2" customWidth="1"/>
    <col min="4" max="4" width="10.5703125" style="2" customWidth="1"/>
    <col min="5" max="5" width="34.28515625" style="2" customWidth="1"/>
    <col min="6" max="6" width="11.85546875" style="2" customWidth="1"/>
    <col min="7" max="7" width="20.425781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5.140625" style="13" customWidth="1"/>
    <col min="14" max="14" width="10.5703125" style="3" customWidth="1"/>
    <col min="15" max="15" width="10.5703125" style="2" customWidth="1"/>
    <col min="16" max="16" width="13.85546875" style="2" customWidth="1"/>
    <col min="17" max="17" width="47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12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46242</v>
      </c>
      <c r="B2" s="1">
        <v>46241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10</v>
      </c>
      <c r="K2" s="2" t="s">
        <v>24</v>
      </c>
      <c r="L2" s="3">
        <v>10</v>
      </c>
      <c r="M2" s="13">
        <v>2749999.99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46242</v>
      </c>
      <c r="B3" s="1">
        <v>46241</v>
      </c>
      <c r="C3" s="2" t="s">
        <v>30</v>
      </c>
      <c r="D3" s="2" t="s">
        <v>18</v>
      </c>
      <c r="E3" s="2" t="s">
        <v>31</v>
      </c>
      <c r="F3" s="2" t="s">
        <v>20</v>
      </c>
      <c r="G3" s="2" t="s">
        <v>32</v>
      </c>
      <c r="H3" s="2" t="s">
        <v>22</v>
      </c>
      <c r="I3" s="2" t="s">
        <v>23</v>
      </c>
      <c r="J3" s="3">
        <v>4</v>
      </c>
      <c r="K3" s="2" t="s">
        <v>24</v>
      </c>
      <c r="L3" s="3">
        <v>4</v>
      </c>
      <c r="M3" s="13">
        <v>1139999.99</v>
      </c>
      <c r="N3" s="3">
        <v>0</v>
      </c>
      <c r="O3" s="2" t="s">
        <v>25</v>
      </c>
      <c r="P3" s="2" t="s">
        <v>26</v>
      </c>
      <c r="Q3" s="2" t="s">
        <v>29</v>
      </c>
    </row>
    <row r="4" spans="1:17" x14ac:dyDescent="0.25">
      <c r="A4" s="1">
        <v>46242</v>
      </c>
      <c r="B4" s="1">
        <v>46241</v>
      </c>
      <c r="C4" s="2" t="s">
        <v>33</v>
      </c>
      <c r="D4" s="2" t="s">
        <v>18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3">
        <v>10</v>
      </c>
      <c r="K4" s="2" t="s">
        <v>39</v>
      </c>
      <c r="L4" s="3">
        <v>10</v>
      </c>
      <c r="M4" s="13">
        <v>362970</v>
      </c>
      <c r="N4" s="3">
        <v>0</v>
      </c>
      <c r="O4" s="2" t="s">
        <v>25</v>
      </c>
      <c r="P4" s="2" t="s">
        <v>26</v>
      </c>
      <c r="Q4" s="2" t="s">
        <v>29</v>
      </c>
    </row>
    <row r="5" spans="1:17" x14ac:dyDescent="0.25">
      <c r="A5" s="1">
        <v>46242</v>
      </c>
      <c r="B5" s="1">
        <v>46241</v>
      </c>
      <c r="C5" s="2" t="s">
        <v>40</v>
      </c>
      <c r="D5" s="2" t="s">
        <v>18</v>
      </c>
      <c r="E5" s="2" t="s">
        <v>41</v>
      </c>
      <c r="F5" s="2" t="s">
        <v>20</v>
      </c>
      <c r="G5" s="2" t="s">
        <v>42</v>
      </c>
      <c r="H5" s="2" t="s">
        <v>43</v>
      </c>
      <c r="I5" s="2" t="s">
        <v>44</v>
      </c>
      <c r="J5" s="3">
        <v>3</v>
      </c>
      <c r="K5" s="2" t="s">
        <v>24</v>
      </c>
      <c r="L5" s="3">
        <v>3</v>
      </c>
      <c r="M5" s="13">
        <v>855000.01</v>
      </c>
      <c r="N5" s="3">
        <v>0</v>
      </c>
      <c r="O5" s="2" t="s">
        <v>25</v>
      </c>
      <c r="P5" s="2" t="s">
        <v>26</v>
      </c>
      <c r="Q5" s="2" t="s">
        <v>29</v>
      </c>
    </row>
    <row r="6" spans="1:17" x14ac:dyDescent="0.25">
      <c r="A6" s="1">
        <v>46242</v>
      </c>
      <c r="B6" s="1">
        <v>46241</v>
      </c>
      <c r="C6" s="2" t="s">
        <v>40</v>
      </c>
      <c r="D6" s="2" t="s">
        <v>18</v>
      </c>
      <c r="E6" s="2" t="s">
        <v>41</v>
      </c>
      <c r="F6" s="2" t="s">
        <v>20</v>
      </c>
      <c r="G6" s="2" t="s">
        <v>42</v>
      </c>
      <c r="H6" s="2" t="s">
        <v>45</v>
      </c>
      <c r="I6" s="2" t="s">
        <v>46</v>
      </c>
      <c r="J6" s="3">
        <v>5</v>
      </c>
      <c r="K6" s="2" t="s">
        <v>39</v>
      </c>
      <c r="L6" s="3">
        <v>5</v>
      </c>
      <c r="M6" s="13">
        <v>135975</v>
      </c>
      <c r="N6" s="3">
        <v>0</v>
      </c>
      <c r="O6" s="2" t="s">
        <v>25</v>
      </c>
      <c r="P6" s="2" t="s">
        <v>26</v>
      </c>
      <c r="Q6" s="2" t="s">
        <v>29</v>
      </c>
    </row>
    <row r="7" spans="1:17" x14ac:dyDescent="0.25">
      <c r="A7" s="1">
        <v>46242</v>
      </c>
      <c r="B7" s="1">
        <v>46241</v>
      </c>
      <c r="C7" s="2" t="s">
        <v>47</v>
      </c>
      <c r="D7" s="2" t="s">
        <v>18</v>
      </c>
      <c r="E7" s="2" t="s">
        <v>48</v>
      </c>
      <c r="F7" s="2" t="s">
        <v>20</v>
      </c>
      <c r="G7" s="2" t="s">
        <v>42</v>
      </c>
      <c r="H7" s="2" t="s">
        <v>49</v>
      </c>
      <c r="I7" s="2" t="s">
        <v>50</v>
      </c>
      <c r="J7" s="3">
        <v>5</v>
      </c>
      <c r="K7" s="2" t="s">
        <v>39</v>
      </c>
      <c r="L7" s="3">
        <v>5</v>
      </c>
      <c r="M7" s="13">
        <v>500000</v>
      </c>
      <c r="N7" s="3">
        <v>0</v>
      </c>
      <c r="O7" s="2" t="s">
        <v>25</v>
      </c>
      <c r="P7" s="2" t="s">
        <v>26</v>
      </c>
      <c r="Q7" s="2" t="s">
        <v>29</v>
      </c>
    </row>
    <row r="8" spans="1:17" x14ac:dyDescent="0.25">
      <c r="A8" s="1">
        <v>46242</v>
      </c>
      <c r="B8" s="1">
        <v>46241</v>
      </c>
      <c r="C8" s="2" t="s">
        <v>51</v>
      </c>
      <c r="D8" s="2" t="s">
        <v>18</v>
      </c>
      <c r="E8" s="2" t="s">
        <v>52</v>
      </c>
      <c r="F8" s="2" t="s">
        <v>35</v>
      </c>
      <c r="G8" s="2" t="s">
        <v>36</v>
      </c>
      <c r="H8" s="2" t="s">
        <v>53</v>
      </c>
      <c r="I8" s="2" t="s">
        <v>54</v>
      </c>
      <c r="J8" s="3">
        <v>20</v>
      </c>
      <c r="K8" s="2" t="s">
        <v>39</v>
      </c>
      <c r="L8" s="3">
        <v>20</v>
      </c>
      <c r="M8" s="13">
        <v>854700</v>
      </c>
      <c r="N8" s="3">
        <v>0</v>
      </c>
      <c r="O8" s="2" t="s">
        <v>25</v>
      </c>
      <c r="P8" s="2" t="s">
        <v>26</v>
      </c>
      <c r="Q8" s="2" t="s">
        <v>29</v>
      </c>
    </row>
    <row r="9" spans="1:17" x14ac:dyDescent="0.25">
      <c r="A9" s="1">
        <v>46242</v>
      </c>
      <c r="B9" s="1">
        <v>46241</v>
      </c>
      <c r="C9" s="2" t="s">
        <v>55</v>
      </c>
      <c r="D9" s="2" t="s">
        <v>18</v>
      </c>
      <c r="E9" s="2" t="s">
        <v>56</v>
      </c>
      <c r="F9" s="2" t="s">
        <v>35</v>
      </c>
      <c r="G9" s="2" t="s">
        <v>57</v>
      </c>
      <c r="H9" s="2" t="s">
        <v>58</v>
      </c>
      <c r="I9" s="2" t="s">
        <v>59</v>
      </c>
      <c r="J9" s="3">
        <v>12</v>
      </c>
      <c r="K9" s="2" t="s">
        <v>60</v>
      </c>
      <c r="L9" s="3">
        <v>12</v>
      </c>
      <c r="M9" s="13">
        <v>674399.99</v>
      </c>
      <c r="N9" s="3">
        <v>0</v>
      </c>
      <c r="O9" s="2" t="s">
        <v>25</v>
      </c>
      <c r="P9" s="2" t="s">
        <v>26</v>
      </c>
      <c r="Q9" s="2" t="s">
        <v>29</v>
      </c>
    </row>
    <row r="10" spans="1:17" x14ac:dyDescent="0.25">
      <c r="A10" s="1">
        <v>46242</v>
      </c>
      <c r="B10" s="1">
        <v>46241</v>
      </c>
      <c r="C10" s="2" t="s">
        <v>62</v>
      </c>
      <c r="D10" s="2" t="s">
        <v>18</v>
      </c>
      <c r="E10" s="2" t="s">
        <v>63</v>
      </c>
      <c r="F10" s="2" t="s">
        <v>35</v>
      </c>
      <c r="G10" s="2" t="s">
        <v>36</v>
      </c>
      <c r="H10" s="2" t="s">
        <v>64</v>
      </c>
      <c r="I10" s="2" t="s">
        <v>65</v>
      </c>
      <c r="J10" s="3">
        <v>1</v>
      </c>
      <c r="K10" s="2" t="s">
        <v>24</v>
      </c>
      <c r="L10" s="3">
        <v>1</v>
      </c>
      <c r="M10" s="13">
        <v>577200</v>
      </c>
      <c r="N10" s="3">
        <v>0</v>
      </c>
      <c r="O10" s="2" t="s">
        <v>25</v>
      </c>
      <c r="P10" s="2" t="s">
        <v>26</v>
      </c>
      <c r="Q10" s="2" t="s">
        <v>29</v>
      </c>
    </row>
    <row r="11" spans="1:17" x14ac:dyDescent="0.25">
      <c r="A11" s="1">
        <v>46242</v>
      </c>
      <c r="B11" s="1">
        <v>46241</v>
      </c>
      <c r="C11" s="2" t="s">
        <v>66</v>
      </c>
      <c r="D11" s="2" t="s">
        <v>18</v>
      </c>
      <c r="E11" s="2" t="s">
        <v>67</v>
      </c>
      <c r="F11" s="2" t="s">
        <v>20</v>
      </c>
      <c r="G11" s="2" t="s">
        <v>21</v>
      </c>
      <c r="H11" s="2" t="s">
        <v>22</v>
      </c>
      <c r="I11" s="2" t="s">
        <v>23</v>
      </c>
      <c r="J11" s="3">
        <v>1</v>
      </c>
      <c r="K11" s="2" t="s">
        <v>24</v>
      </c>
      <c r="L11" s="3">
        <v>1</v>
      </c>
      <c r="M11" s="13">
        <v>315000</v>
      </c>
      <c r="N11" s="3">
        <v>0</v>
      </c>
      <c r="O11" s="2" t="s">
        <v>25</v>
      </c>
      <c r="P11" s="2" t="s">
        <v>26</v>
      </c>
      <c r="Q11" s="2" t="s">
        <v>29</v>
      </c>
    </row>
    <row r="12" spans="1:17" x14ac:dyDescent="0.25">
      <c r="A12" s="1">
        <v>46242</v>
      </c>
      <c r="B12" s="1">
        <v>46241</v>
      </c>
      <c r="C12" s="2" t="s">
        <v>68</v>
      </c>
      <c r="D12" s="2" t="s">
        <v>18</v>
      </c>
      <c r="E12" s="2" t="s">
        <v>69</v>
      </c>
      <c r="F12" s="2" t="s">
        <v>35</v>
      </c>
      <c r="G12" s="2" t="s">
        <v>32</v>
      </c>
      <c r="H12" s="2" t="s">
        <v>22</v>
      </c>
      <c r="I12" s="2" t="s">
        <v>23</v>
      </c>
      <c r="J12" s="3">
        <v>5</v>
      </c>
      <c r="K12" s="2" t="s">
        <v>24</v>
      </c>
      <c r="L12" s="3">
        <v>5</v>
      </c>
      <c r="M12" s="13">
        <v>1637250</v>
      </c>
      <c r="N12" s="3">
        <v>0</v>
      </c>
      <c r="O12" s="2" t="s">
        <v>25</v>
      </c>
      <c r="P12" s="2" t="s">
        <v>26</v>
      </c>
      <c r="Q12" s="2" t="s">
        <v>29</v>
      </c>
    </row>
    <row r="13" spans="1:17" x14ac:dyDescent="0.25">
      <c r="A13" s="1">
        <v>46242</v>
      </c>
      <c r="B13" s="1">
        <v>46241</v>
      </c>
      <c r="C13" s="2" t="s">
        <v>68</v>
      </c>
      <c r="D13" s="2" t="s">
        <v>18</v>
      </c>
      <c r="E13" s="2" t="s">
        <v>69</v>
      </c>
      <c r="F13" s="2" t="s">
        <v>35</v>
      </c>
      <c r="G13" s="2" t="s">
        <v>32</v>
      </c>
      <c r="H13" s="2" t="s">
        <v>70</v>
      </c>
      <c r="I13" s="2" t="s">
        <v>71</v>
      </c>
      <c r="J13" s="3">
        <v>5</v>
      </c>
      <c r="K13" s="2" t="s">
        <v>24</v>
      </c>
      <c r="L13" s="3">
        <v>5</v>
      </c>
      <c r="M13" s="13">
        <v>1581750</v>
      </c>
      <c r="N13" s="3">
        <v>0</v>
      </c>
      <c r="O13" s="2" t="s">
        <v>25</v>
      </c>
      <c r="P13" s="2" t="s">
        <v>26</v>
      </c>
      <c r="Q13" s="2" t="s">
        <v>29</v>
      </c>
    </row>
    <row r="14" spans="1:17" x14ac:dyDescent="0.25">
      <c r="A14" s="1">
        <v>46242</v>
      </c>
      <c r="B14" s="1">
        <v>46241</v>
      </c>
      <c r="C14" s="2" t="s">
        <v>72</v>
      </c>
      <c r="D14" s="2" t="s">
        <v>18</v>
      </c>
      <c r="E14" s="2" t="s">
        <v>73</v>
      </c>
      <c r="F14" s="2" t="s">
        <v>20</v>
      </c>
      <c r="G14" s="2" t="s">
        <v>32</v>
      </c>
      <c r="H14" s="2" t="s">
        <v>22</v>
      </c>
      <c r="I14" s="2" t="s">
        <v>23</v>
      </c>
      <c r="J14" s="3">
        <v>3</v>
      </c>
      <c r="K14" s="2" t="s">
        <v>24</v>
      </c>
      <c r="L14" s="3">
        <v>3</v>
      </c>
      <c r="M14" s="13">
        <v>982350</v>
      </c>
      <c r="N14" s="3">
        <v>0</v>
      </c>
      <c r="O14" s="2" t="s">
        <v>25</v>
      </c>
      <c r="P14" s="2" t="s">
        <v>26</v>
      </c>
      <c r="Q14" s="2" t="s">
        <v>29</v>
      </c>
    </row>
    <row r="15" spans="1:17" x14ac:dyDescent="0.25">
      <c r="A15" s="1">
        <v>46242</v>
      </c>
      <c r="B15" s="1">
        <v>46241</v>
      </c>
      <c r="C15" s="2" t="s">
        <v>74</v>
      </c>
      <c r="D15" s="2" t="s">
        <v>18</v>
      </c>
      <c r="E15" s="2" t="s">
        <v>75</v>
      </c>
      <c r="F15" s="2" t="s">
        <v>35</v>
      </c>
      <c r="G15" s="2" t="s">
        <v>32</v>
      </c>
      <c r="H15" s="2" t="s">
        <v>76</v>
      </c>
      <c r="I15" s="2" t="s">
        <v>77</v>
      </c>
      <c r="J15" s="3">
        <v>4</v>
      </c>
      <c r="K15" s="2" t="s">
        <v>39</v>
      </c>
      <c r="L15" s="3">
        <v>3.58</v>
      </c>
      <c r="M15" s="13">
        <v>716000</v>
      </c>
      <c r="N15" s="3">
        <v>-0.42</v>
      </c>
      <c r="O15" s="2" t="s">
        <v>25</v>
      </c>
      <c r="P15" s="2" t="s">
        <v>26</v>
      </c>
      <c r="Q15" s="2" t="s">
        <v>78</v>
      </c>
    </row>
    <row r="16" spans="1:17" x14ac:dyDescent="0.25">
      <c r="A16" s="1">
        <v>46242</v>
      </c>
      <c r="B16" s="1">
        <v>46241</v>
      </c>
      <c r="C16" s="2" t="s">
        <v>79</v>
      </c>
      <c r="D16" s="2" t="s">
        <v>18</v>
      </c>
      <c r="E16" s="2" t="s">
        <v>80</v>
      </c>
      <c r="F16" s="2" t="s">
        <v>20</v>
      </c>
      <c r="G16" s="2" t="s">
        <v>32</v>
      </c>
      <c r="H16" s="2" t="s">
        <v>76</v>
      </c>
      <c r="I16" s="2" t="s">
        <v>77</v>
      </c>
      <c r="J16" s="3">
        <v>10</v>
      </c>
      <c r="K16" s="2" t="s">
        <v>39</v>
      </c>
      <c r="L16" s="3">
        <v>8.5</v>
      </c>
      <c r="M16" s="13">
        <v>1657500</v>
      </c>
      <c r="N16" s="3">
        <v>-1.5</v>
      </c>
      <c r="O16" s="2" t="s">
        <v>25</v>
      </c>
      <c r="P16" s="2" t="s">
        <v>26</v>
      </c>
      <c r="Q16" s="2" t="s">
        <v>81</v>
      </c>
    </row>
    <row r="17" spans="1:17" x14ac:dyDescent="0.25">
      <c r="A17" s="1">
        <v>46242</v>
      </c>
      <c r="B17" s="1">
        <v>46241</v>
      </c>
      <c r="C17" s="2" t="s">
        <v>83</v>
      </c>
      <c r="D17" s="2" t="s">
        <v>18</v>
      </c>
      <c r="E17" s="2" t="s">
        <v>84</v>
      </c>
      <c r="F17" s="2" t="s">
        <v>20</v>
      </c>
      <c r="G17" s="2" t="s">
        <v>32</v>
      </c>
      <c r="H17" s="2" t="s">
        <v>49</v>
      </c>
      <c r="I17" s="2" t="s">
        <v>50</v>
      </c>
      <c r="J17" s="3">
        <v>10</v>
      </c>
      <c r="K17" s="2" t="s">
        <v>39</v>
      </c>
      <c r="L17" s="3">
        <v>10</v>
      </c>
      <c r="M17" s="13">
        <v>1000000</v>
      </c>
      <c r="N17" s="3">
        <v>0</v>
      </c>
      <c r="O17" s="2" t="s">
        <v>25</v>
      </c>
      <c r="P17" s="2" t="s">
        <v>26</v>
      </c>
      <c r="Q17" s="2" t="s">
        <v>85</v>
      </c>
    </row>
    <row r="18" spans="1:17" x14ac:dyDescent="0.25">
      <c r="A18" s="1">
        <v>46242</v>
      </c>
      <c r="B18" s="1">
        <v>46241</v>
      </c>
      <c r="C18" s="2" t="s">
        <v>86</v>
      </c>
      <c r="D18" s="2" t="s">
        <v>18</v>
      </c>
      <c r="E18" s="2" t="s">
        <v>87</v>
      </c>
      <c r="F18" s="2" t="s">
        <v>35</v>
      </c>
      <c r="G18" s="2" t="s">
        <v>61</v>
      </c>
      <c r="H18" s="2" t="s">
        <v>22</v>
      </c>
      <c r="I18" s="2" t="s">
        <v>23</v>
      </c>
      <c r="J18" s="3">
        <v>4</v>
      </c>
      <c r="K18" s="2" t="s">
        <v>24</v>
      </c>
      <c r="L18" s="3">
        <v>4</v>
      </c>
      <c r="M18" s="13">
        <v>1080000</v>
      </c>
      <c r="N18" s="3">
        <v>0</v>
      </c>
      <c r="O18" s="2" t="s">
        <v>25</v>
      </c>
      <c r="P18" s="2" t="s">
        <v>26</v>
      </c>
      <c r="Q18" s="2" t="s">
        <v>29</v>
      </c>
    </row>
    <row r="19" spans="1:17" x14ac:dyDescent="0.25">
      <c r="A19" s="1">
        <v>46242</v>
      </c>
      <c r="B19" s="1">
        <v>46241</v>
      </c>
      <c r="C19" s="2" t="s">
        <v>88</v>
      </c>
      <c r="D19" s="2" t="s">
        <v>18</v>
      </c>
      <c r="E19" s="2" t="s">
        <v>89</v>
      </c>
      <c r="F19" s="2" t="s">
        <v>35</v>
      </c>
      <c r="G19" s="2" t="s">
        <v>90</v>
      </c>
      <c r="H19" s="2" t="s">
        <v>43</v>
      </c>
      <c r="I19" s="2" t="s">
        <v>44</v>
      </c>
      <c r="J19" s="3">
        <v>15</v>
      </c>
      <c r="K19" s="2" t="s">
        <v>24</v>
      </c>
      <c r="L19" s="3">
        <v>15</v>
      </c>
      <c r="M19" s="13">
        <v>4424999.99</v>
      </c>
      <c r="N19" s="3">
        <v>0</v>
      </c>
      <c r="O19" s="2" t="s">
        <v>25</v>
      </c>
      <c r="P19" s="2" t="s">
        <v>26</v>
      </c>
      <c r="Q19" s="2" t="s">
        <v>29</v>
      </c>
    </row>
    <row r="20" spans="1:17" x14ac:dyDescent="0.25">
      <c r="A20" s="1">
        <v>46242</v>
      </c>
      <c r="B20" s="1">
        <v>46241</v>
      </c>
      <c r="C20" s="2" t="s">
        <v>91</v>
      </c>
      <c r="D20" s="2" t="s">
        <v>18</v>
      </c>
      <c r="E20" s="2" t="s">
        <v>92</v>
      </c>
      <c r="F20" s="2" t="s">
        <v>35</v>
      </c>
      <c r="G20" s="2" t="s">
        <v>57</v>
      </c>
      <c r="H20" s="2" t="s">
        <v>93</v>
      </c>
      <c r="I20" s="2" t="s">
        <v>94</v>
      </c>
      <c r="J20" s="3">
        <v>1</v>
      </c>
      <c r="K20" s="2" t="s">
        <v>24</v>
      </c>
      <c r="L20" s="3">
        <v>1</v>
      </c>
      <c r="M20" s="13">
        <v>285000</v>
      </c>
      <c r="N20" s="3">
        <v>0</v>
      </c>
      <c r="O20" s="2" t="s">
        <v>25</v>
      </c>
      <c r="P20" s="2" t="s">
        <v>26</v>
      </c>
      <c r="Q20" s="2" t="s">
        <v>29</v>
      </c>
    </row>
    <row r="21" spans="1:17" x14ac:dyDescent="0.25">
      <c r="A21" s="1">
        <v>46242</v>
      </c>
      <c r="B21" s="1">
        <v>46241</v>
      </c>
      <c r="C21" s="2" t="s">
        <v>91</v>
      </c>
      <c r="D21" s="2" t="s">
        <v>18</v>
      </c>
      <c r="E21" s="2" t="s">
        <v>92</v>
      </c>
      <c r="F21" s="2" t="s">
        <v>35</v>
      </c>
      <c r="G21" s="2" t="s">
        <v>57</v>
      </c>
      <c r="H21" s="2" t="s">
        <v>95</v>
      </c>
      <c r="I21" s="2" t="s">
        <v>96</v>
      </c>
      <c r="J21" s="3">
        <v>10</v>
      </c>
      <c r="K21" s="2" t="s">
        <v>39</v>
      </c>
      <c r="L21" s="3">
        <v>10</v>
      </c>
      <c r="M21" s="13">
        <v>160950</v>
      </c>
      <c r="N21" s="3">
        <v>0</v>
      </c>
      <c r="O21" s="2" t="s">
        <v>25</v>
      </c>
      <c r="P21" s="2" t="s">
        <v>26</v>
      </c>
      <c r="Q21" s="2" t="s">
        <v>29</v>
      </c>
    </row>
    <row r="22" spans="1:17" x14ac:dyDescent="0.25">
      <c r="A22" s="1">
        <v>46242</v>
      </c>
      <c r="B22" s="1">
        <v>46241</v>
      </c>
      <c r="C22" s="2" t="s">
        <v>97</v>
      </c>
      <c r="D22" s="2" t="s">
        <v>18</v>
      </c>
      <c r="E22" s="2" t="s">
        <v>98</v>
      </c>
      <c r="F22" s="2" t="s">
        <v>35</v>
      </c>
      <c r="G22" s="2" t="s">
        <v>57</v>
      </c>
      <c r="H22" s="2" t="s">
        <v>22</v>
      </c>
      <c r="I22" s="2" t="s">
        <v>23</v>
      </c>
      <c r="J22" s="3">
        <v>1</v>
      </c>
      <c r="K22" s="2" t="s">
        <v>24</v>
      </c>
      <c r="L22" s="3">
        <v>1</v>
      </c>
      <c r="M22" s="13">
        <v>285000</v>
      </c>
      <c r="N22" s="3">
        <v>0</v>
      </c>
      <c r="O22" s="2" t="s">
        <v>25</v>
      </c>
      <c r="P22" s="2" t="s">
        <v>26</v>
      </c>
      <c r="Q22" s="2" t="s">
        <v>29</v>
      </c>
    </row>
    <row r="23" spans="1:17" x14ac:dyDescent="0.25">
      <c r="A23" s="1">
        <v>46242</v>
      </c>
      <c r="B23" s="1">
        <v>46241</v>
      </c>
      <c r="C23" s="2" t="s">
        <v>99</v>
      </c>
      <c r="D23" s="2" t="s">
        <v>18</v>
      </c>
      <c r="E23" s="2" t="s">
        <v>31</v>
      </c>
      <c r="F23" s="2" t="s">
        <v>20</v>
      </c>
      <c r="G23" s="2" t="s">
        <v>32</v>
      </c>
      <c r="H23" s="2" t="s">
        <v>76</v>
      </c>
      <c r="I23" s="2" t="s">
        <v>77</v>
      </c>
      <c r="J23" s="3">
        <v>10</v>
      </c>
      <c r="K23" s="2" t="s">
        <v>39</v>
      </c>
      <c r="L23" s="3">
        <v>10.19</v>
      </c>
      <c r="M23" s="13">
        <v>1987050</v>
      </c>
      <c r="N23" s="3">
        <v>0.19</v>
      </c>
      <c r="O23" s="2" t="s">
        <v>25</v>
      </c>
      <c r="P23" s="2" t="s">
        <v>26</v>
      </c>
      <c r="Q23" s="2" t="s">
        <v>29</v>
      </c>
    </row>
    <row r="24" spans="1:17" x14ac:dyDescent="0.25">
      <c r="A24" s="1">
        <v>46242</v>
      </c>
      <c r="B24" s="1">
        <v>46241</v>
      </c>
      <c r="C24" s="2" t="s">
        <v>100</v>
      </c>
      <c r="D24" s="2" t="s">
        <v>18</v>
      </c>
      <c r="E24" s="2" t="s">
        <v>101</v>
      </c>
      <c r="F24" s="2" t="s">
        <v>20</v>
      </c>
      <c r="G24" s="2" t="s">
        <v>32</v>
      </c>
      <c r="H24" s="2" t="s">
        <v>102</v>
      </c>
      <c r="I24" s="2" t="s">
        <v>103</v>
      </c>
      <c r="J24" s="3">
        <v>20</v>
      </c>
      <c r="K24" s="2" t="s">
        <v>39</v>
      </c>
      <c r="L24" s="3">
        <v>21.329899999999999</v>
      </c>
      <c r="M24" s="13">
        <v>8745300</v>
      </c>
      <c r="N24" s="3">
        <v>1.3299000000000001</v>
      </c>
      <c r="O24" s="2" t="s">
        <v>25</v>
      </c>
      <c r="P24" s="2" t="s">
        <v>26</v>
      </c>
      <c r="Q24" s="2" t="s">
        <v>104</v>
      </c>
    </row>
    <row r="25" spans="1:17" x14ac:dyDescent="0.25">
      <c r="A25" s="1">
        <v>46242</v>
      </c>
      <c r="B25" s="1">
        <v>46241</v>
      </c>
      <c r="C25" s="2" t="s">
        <v>105</v>
      </c>
      <c r="D25" s="2" t="s">
        <v>18</v>
      </c>
      <c r="E25" s="2" t="s">
        <v>106</v>
      </c>
      <c r="F25" s="2" t="s">
        <v>20</v>
      </c>
      <c r="G25" s="2" t="s">
        <v>107</v>
      </c>
      <c r="H25" s="2" t="s">
        <v>22</v>
      </c>
      <c r="I25" s="2" t="s">
        <v>23</v>
      </c>
      <c r="J25" s="3">
        <v>1</v>
      </c>
      <c r="K25" s="2" t="s">
        <v>24</v>
      </c>
      <c r="L25" s="3">
        <v>1</v>
      </c>
      <c r="M25" s="13">
        <v>327450</v>
      </c>
      <c r="N25" s="3">
        <v>0</v>
      </c>
      <c r="O25" s="2" t="s">
        <v>25</v>
      </c>
      <c r="P25" s="2" t="s">
        <v>26</v>
      </c>
      <c r="Q25" s="2" t="s">
        <v>29</v>
      </c>
    </row>
    <row r="26" spans="1:17" x14ac:dyDescent="0.25">
      <c r="A26" s="1">
        <v>46242</v>
      </c>
      <c r="B26" s="1">
        <v>46241</v>
      </c>
      <c r="C26" s="2" t="s">
        <v>108</v>
      </c>
      <c r="D26" s="2" t="s">
        <v>18</v>
      </c>
      <c r="E26" s="2" t="s">
        <v>109</v>
      </c>
      <c r="F26" s="2" t="s">
        <v>35</v>
      </c>
      <c r="G26" s="2" t="s">
        <v>61</v>
      </c>
      <c r="H26" s="2" t="s">
        <v>22</v>
      </c>
      <c r="I26" s="2" t="s">
        <v>23</v>
      </c>
      <c r="J26" s="3">
        <v>2</v>
      </c>
      <c r="K26" s="2" t="s">
        <v>24</v>
      </c>
      <c r="L26" s="3">
        <v>2</v>
      </c>
      <c r="M26" s="13">
        <v>570000</v>
      </c>
      <c r="N26" s="3">
        <v>0</v>
      </c>
      <c r="O26" s="2" t="s">
        <v>25</v>
      </c>
      <c r="P26" s="2" t="s">
        <v>26</v>
      </c>
      <c r="Q26" s="2" t="s">
        <v>29</v>
      </c>
    </row>
    <row r="27" spans="1:17" x14ac:dyDescent="0.25">
      <c r="A27" s="1">
        <v>46242</v>
      </c>
      <c r="B27" s="1">
        <v>46241</v>
      </c>
      <c r="C27" s="2" t="s">
        <v>110</v>
      </c>
      <c r="D27" s="2" t="s">
        <v>18</v>
      </c>
      <c r="E27" s="2" t="s">
        <v>111</v>
      </c>
      <c r="F27" s="2" t="s">
        <v>35</v>
      </c>
      <c r="G27" s="2" t="s">
        <v>36</v>
      </c>
      <c r="H27" s="2" t="s">
        <v>95</v>
      </c>
      <c r="I27" s="2" t="s">
        <v>96</v>
      </c>
      <c r="J27" s="3">
        <v>50</v>
      </c>
      <c r="K27" s="2" t="s">
        <v>39</v>
      </c>
      <c r="L27" s="3">
        <v>50</v>
      </c>
      <c r="M27" s="13">
        <v>804750</v>
      </c>
      <c r="N27" s="3">
        <v>0</v>
      </c>
      <c r="O27" s="2" t="s">
        <v>25</v>
      </c>
      <c r="P27" s="2" t="s">
        <v>26</v>
      </c>
      <c r="Q27" s="2" t="s">
        <v>29</v>
      </c>
    </row>
    <row r="28" spans="1:17" x14ac:dyDescent="0.25">
      <c r="A28" s="1">
        <v>46242</v>
      </c>
      <c r="B28" s="1">
        <v>46241</v>
      </c>
      <c r="C28" s="2" t="s">
        <v>112</v>
      </c>
      <c r="D28" s="2" t="s">
        <v>18</v>
      </c>
      <c r="E28" s="2" t="s">
        <v>113</v>
      </c>
      <c r="F28" s="2" t="s">
        <v>35</v>
      </c>
      <c r="G28" s="2" t="s">
        <v>61</v>
      </c>
      <c r="H28" s="2" t="s">
        <v>22</v>
      </c>
      <c r="I28" s="2" t="s">
        <v>23</v>
      </c>
      <c r="J28" s="3">
        <v>2</v>
      </c>
      <c r="K28" s="2" t="s">
        <v>24</v>
      </c>
      <c r="L28" s="3">
        <v>2</v>
      </c>
      <c r="M28" s="13">
        <v>600000</v>
      </c>
      <c r="N28" s="3">
        <v>0</v>
      </c>
      <c r="O28" s="2" t="s">
        <v>25</v>
      </c>
      <c r="P28" s="2" t="s">
        <v>26</v>
      </c>
      <c r="Q28" s="2" t="s">
        <v>29</v>
      </c>
    </row>
    <row r="29" spans="1:17" x14ac:dyDescent="0.25">
      <c r="A29" s="1">
        <v>46242</v>
      </c>
      <c r="B29" s="1">
        <v>46241</v>
      </c>
      <c r="C29" s="2" t="s">
        <v>114</v>
      </c>
      <c r="D29" s="2" t="s">
        <v>18</v>
      </c>
      <c r="E29" s="2" t="s">
        <v>115</v>
      </c>
      <c r="F29" s="2" t="s">
        <v>20</v>
      </c>
      <c r="G29" s="2" t="s">
        <v>116</v>
      </c>
      <c r="H29" s="2" t="s">
        <v>117</v>
      </c>
      <c r="I29" s="2" t="s">
        <v>118</v>
      </c>
      <c r="J29" s="3">
        <v>12</v>
      </c>
      <c r="K29" s="2" t="s">
        <v>119</v>
      </c>
      <c r="L29" s="3">
        <v>12</v>
      </c>
      <c r="M29" s="13">
        <v>932400</v>
      </c>
      <c r="N29" s="3">
        <v>0</v>
      </c>
      <c r="O29" s="2" t="s">
        <v>25</v>
      </c>
      <c r="P29" s="2" t="s">
        <v>26</v>
      </c>
      <c r="Q29" s="2" t="s">
        <v>29</v>
      </c>
    </row>
    <row r="30" spans="1:17" x14ac:dyDescent="0.25">
      <c r="A30" s="1">
        <v>46242</v>
      </c>
      <c r="B30" s="1">
        <v>46241</v>
      </c>
      <c r="C30" s="2" t="s">
        <v>120</v>
      </c>
      <c r="D30" s="2" t="s">
        <v>18</v>
      </c>
      <c r="E30" s="2" t="s">
        <v>121</v>
      </c>
      <c r="F30" s="2" t="s">
        <v>20</v>
      </c>
      <c r="G30" s="2" t="s">
        <v>116</v>
      </c>
      <c r="H30" s="2" t="s">
        <v>122</v>
      </c>
      <c r="I30" s="2" t="s">
        <v>123</v>
      </c>
      <c r="J30" s="3">
        <v>12</v>
      </c>
      <c r="K30" s="2" t="s">
        <v>119</v>
      </c>
      <c r="L30" s="3">
        <v>12</v>
      </c>
      <c r="M30" s="13">
        <v>770400.03</v>
      </c>
      <c r="N30" s="3">
        <v>0</v>
      </c>
      <c r="O30" s="2" t="s">
        <v>25</v>
      </c>
      <c r="P30" s="2" t="s">
        <v>26</v>
      </c>
      <c r="Q30" s="2" t="s">
        <v>124</v>
      </c>
    </row>
    <row r="31" spans="1:17" x14ac:dyDescent="0.25">
      <c r="A31" s="1">
        <v>46242</v>
      </c>
      <c r="B31" s="1">
        <v>46241</v>
      </c>
      <c r="C31" s="2" t="s">
        <v>125</v>
      </c>
      <c r="D31" s="2" t="s">
        <v>18</v>
      </c>
      <c r="E31" s="2" t="s">
        <v>126</v>
      </c>
      <c r="F31" s="2" t="s">
        <v>20</v>
      </c>
      <c r="G31" s="2" t="s">
        <v>116</v>
      </c>
      <c r="H31" s="2" t="s">
        <v>127</v>
      </c>
      <c r="I31" s="2" t="s">
        <v>128</v>
      </c>
      <c r="J31" s="3">
        <v>8</v>
      </c>
      <c r="K31" s="2" t="s">
        <v>119</v>
      </c>
      <c r="L31" s="3">
        <v>8</v>
      </c>
      <c r="M31" s="13">
        <v>1065600</v>
      </c>
      <c r="N31" s="3">
        <v>0</v>
      </c>
      <c r="O31" s="2" t="s">
        <v>25</v>
      </c>
      <c r="P31" s="2" t="s">
        <v>26</v>
      </c>
      <c r="Q31" s="2" t="s">
        <v>29</v>
      </c>
    </row>
    <row r="32" spans="1:17" x14ac:dyDescent="0.25">
      <c r="A32" s="1">
        <v>46242</v>
      </c>
      <c r="B32" s="1">
        <v>46241</v>
      </c>
      <c r="C32" s="2" t="s">
        <v>129</v>
      </c>
      <c r="D32" s="2" t="s">
        <v>18</v>
      </c>
      <c r="E32" s="2" t="s">
        <v>130</v>
      </c>
      <c r="F32" s="2" t="s">
        <v>35</v>
      </c>
      <c r="G32" s="2" t="s">
        <v>131</v>
      </c>
      <c r="H32" s="2" t="s">
        <v>132</v>
      </c>
      <c r="I32" s="2" t="s">
        <v>133</v>
      </c>
      <c r="J32" s="3">
        <v>12</v>
      </c>
      <c r="K32" s="2" t="s">
        <v>119</v>
      </c>
      <c r="L32" s="3">
        <v>12</v>
      </c>
      <c r="M32" s="13">
        <v>572760</v>
      </c>
      <c r="N32" s="3">
        <v>0</v>
      </c>
      <c r="O32" s="2" t="s">
        <v>25</v>
      </c>
      <c r="P32" s="2" t="s">
        <v>26</v>
      </c>
      <c r="Q32" s="2" t="s">
        <v>29</v>
      </c>
    </row>
    <row r="33" spans="1:17" x14ac:dyDescent="0.25">
      <c r="A33" s="1">
        <v>46242</v>
      </c>
      <c r="B33" s="1">
        <v>46241</v>
      </c>
      <c r="C33" s="2" t="s">
        <v>134</v>
      </c>
      <c r="D33" s="2" t="s">
        <v>18</v>
      </c>
      <c r="E33" s="2" t="s">
        <v>135</v>
      </c>
      <c r="F33" s="2" t="s">
        <v>20</v>
      </c>
      <c r="G33" s="2" t="s">
        <v>131</v>
      </c>
      <c r="H33" s="2" t="s">
        <v>136</v>
      </c>
      <c r="I33" s="2" t="s">
        <v>137</v>
      </c>
      <c r="J33" s="3">
        <v>6</v>
      </c>
      <c r="K33" s="2" t="s">
        <v>119</v>
      </c>
      <c r="L33" s="3">
        <v>6</v>
      </c>
      <c r="M33" s="13">
        <v>525299.97</v>
      </c>
      <c r="N33" s="3">
        <v>0</v>
      </c>
      <c r="O33" s="2" t="s">
        <v>25</v>
      </c>
      <c r="P33" s="2" t="s">
        <v>26</v>
      </c>
      <c r="Q33" s="2" t="s">
        <v>138</v>
      </c>
    </row>
    <row r="34" spans="1:17" x14ac:dyDescent="0.25">
      <c r="A34" s="1">
        <v>46242</v>
      </c>
      <c r="B34" s="1">
        <v>46241</v>
      </c>
      <c r="C34" s="2" t="s">
        <v>139</v>
      </c>
      <c r="D34" s="2" t="s">
        <v>18</v>
      </c>
      <c r="E34" s="2" t="s">
        <v>140</v>
      </c>
      <c r="F34" s="2" t="s">
        <v>35</v>
      </c>
      <c r="G34" s="2" t="s">
        <v>141</v>
      </c>
      <c r="H34" s="2" t="s">
        <v>132</v>
      </c>
      <c r="I34" s="2" t="s">
        <v>133</v>
      </c>
      <c r="J34" s="3">
        <v>12</v>
      </c>
      <c r="K34" s="2" t="s">
        <v>119</v>
      </c>
      <c r="L34" s="3">
        <v>12</v>
      </c>
      <c r="M34" s="13">
        <v>523799.94</v>
      </c>
      <c r="N34" s="3">
        <v>0</v>
      </c>
      <c r="O34" s="2" t="s">
        <v>25</v>
      </c>
      <c r="P34" s="2" t="s">
        <v>26</v>
      </c>
      <c r="Q34" s="2" t="s">
        <v>29</v>
      </c>
    </row>
    <row r="35" spans="1:17" x14ac:dyDescent="0.25">
      <c r="A35" s="1">
        <v>46242</v>
      </c>
      <c r="B35" s="1">
        <v>46241</v>
      </c>
      <c r="C35" s="2" t="s">
        <v>142</v>
      </c>
      <c r="D35" s="2" t="s">
        <v>18</v>
      </c>
      <c r="E35" s="2" t="s">
        <v>143</v>
      </c>
      <c r="F35" s="2" t="s">
        <v>20</v>
      </c>
      <c r="G35" s="2" t="s">
        <v>107</v>
      </c>
      <c r="H35" s="2" t="s">
        <v>37</v>
      </c>
      <c r="I35" s="2" t="s">
        <v>38</v>
      </c>
      <c r="J35" s="3">
        <v>10</v>
      </c>
      <c r="K35" s="2" t="s">
        <v>39</v>
      </c>
      <c r="L35" s="3">
        <v>10</v>
      </c>
      <c r="M35" s="13">
        <v>349999.98</v>
      </c>
      <c r="N35" s="3">
        <v>0</v>
      </c>
      <c r="O35" s="2" t="s">
        <v>25</v>
      </c>
      <c r="P35" s="2" t="s">
        <v>26</v>
      </c>
      <c r="Q35" s="2" t="s">
        <v>29</v>
      </c>
    </row>
    <row r="36" spans="1:17" x14ac:dyDescent="0.25">
      <c r="A36" s="1">
        <v>46242</v>
      </c>
      <c r="B36" s="1">
        <v>46241</v>
      </c>
      <c r="C36" s="2" t="s">
        <v>144</v>
      </c>
      <c r="D36" s="2" t="s">
        <v>18</v>
      </c>
      <c r="E36" s="2" t="s">
        <v>145</v>
      </c>
      <c r="F36" s="2" t="s">
        <v>20</v>
      </c>
      <c r="G36" s="2" t="s">
        <v>146</v>
      </c>
      <c r="H36" s="2" t="s">
        <v>147</v>
      </c>
      <c r="I36" s="2" t="s">
        <v>148</v>
      </c>
      <c r="J36" s="3">
        <v>288</v>
      </c>
      <c r="K36" s="2" t="s">
        <v>149</v>
      </c>
      <c r="L36" s="3">
        <v>288</v>
      </c>
      <c r="M36" s="13">
        <v>835199.81</v>
      </c>
      <c r="N36" s="3">
        <v>0</v>
      </c>
      <c r="O36" s="2" t="s">
        <v>25</v>
      </c>
      <c r="P36" s="2" t="s">
        <v>26</v>
      </c>
      <c r="Q36" s="2" t="s">
        <v>29</v>
      </c>
    </row>
    <row r="37" spans="1:17" x14ac:dyDescent="0.25">
      <c r="A37" s="1">
        <v>46242</v>
      </c>
      <c r="B37" s="1">
        <v>46241</v>
      </c>
      <c r="C37" s="2" t="s">
        <v>150</v>
      </c>
      <c r="D37" s="2" t="s">
        <v>18</v>
      </c>
      <c r="E37" s="2" t="s">
        <v>151</v>
      </c>
      <c r="F37" s="2" t="s">
        <v>35</v>
      </c>
      <c r="G37" s="2" t="s">
        <v>32</v>
      </c>
      <c r="H37" s="2" t="s">
        <v>64</v>
      </c>
      <c r="I37" s="2" t="s">
        <v>65</v>
      </c>
      <c r="J37" s="3">
        <v>1</v>
      </c>
      <c r="K37" s="2" t="s">
        <v>24</v>
      </c>
      <c r="L37" s="3">
        <v>1</v>
      </c>
      <c r="M37" s="13">
        <v>560000</v>
      </c>
      <c r="N37" s="3">
        <v>0</v>
      </c>
      <c r="O37" s="2" t="s">
        <v>25</v>
      </c>
      <c r="P37" s="2" t="s">
        <v>26</v>
      </c>
      <c r="Q37" s="2" t="s">
        <v>29</v>
      </c>
    </row>
    <row r="38" spans="1:17" x14ac:dyDescent="0.25">
      <c r="A38" s="1">
        <v>46242</v>
      </c>
      <c r="B38" s="1">
        <v>46241</v>
      </c>
      <c r="C38" s="2" t="s">
        <v>152</v>
      </c>
      <c r="D38" s="2" t="s">
        <v>18</v>
      </c>
      <c r="E38" s="2" t="s">
        <v>153</v>
      </c>
      <c r="F38" s="2" t="s">
        <v>35</v>
      </c>
      <c r="G38" s="2" t="s">
        <v>57</v>
      </c>
      <c r="H38" s="2" t="s">
        <v>58</v>
      </c>
      <c r="I38" s="2" t="s">
        <v>59</v>
      </c>
      <c r="J38" s="3">
        <v>12</v>
      </c>
      <c r="K38" s="2" t="s">
        <v>60</v>
      </c>
      <c r="L38" s="3">
        <v>12</v>
      </c>
      <c r="M38" s="13">
        <v>719280</v>
      </c>
      <c r="N38" s="3">
        <v>0</v>
      </c>
      <c r="O38" s="2" t="s">
        <v>25</v>
      </c>
      <c r="P38" s="2" t="s">
        <v>26</v>
      </c>
      <c r="Q38" s="2" t="s">
        <v>29</v>
      </c>
    </row>
    <row r="39" spans="1:17" x14ac:dyDescent="0.25">
      <c r="A39" s="1">
        <v>46242</v>
      </c>
      <c r="B39" s="1">
        <v>46241</v>
      </c>
      <c r="C39" s="2" t="s">
        <v>154</v>
      </c>
      <c r="D39" s="2" t="s">
        <v>18</v>
      </c>
      <c r="E39" s="2" t="s">
        <v>155</v>
      </c>
      <c r="F39" s="2" t="s">
        <v>20</v>
      </c>
      <c r="G39" s="2" t="s">
        <v>32</v>
      </c>
      <c r="H39" s="2" t="s">
        <v>156</v>
      </c>
      <c r="I39" s="2" t="s">
        <v>157</v>
      </c>
      <c r="J39" s="3">
        <v>12</v>
      </c>
      <c r="K39" s="2" t="s">
        <v>149</v>
      </c>
      <c r="L39" s="3">
        <v>12</v>
      </c>
      <c r="M39" s="13">
        <v>539460</v>
      </c>
      <c r="N39" s="3">
        <v>0</v>
      </c>
      <c r="O39" s="2" t="s">
        <v>25</v>
      </c>
      <c r="P39" s="2" t="s">
        <v>26</v>
      </c>
      <c r="Q39" s="2" t="s">
        <v>29</v>
      </c>
    </row>
    <row r="40" spans="1:17" x14ac:dyDescent="0.25">
      <c r="A40" s="1">
        <v>46242</v>
      </c>
      <c r="B40" s="1">
        <v>46241</v>
      </c>
      <c r="C40" s="2" t="s">
        <v>154</v>
      </c>
      <c r="D40" s="2" t="s">
        <v>18</v>
      </c>
      <c r="E40" s="2" t="s">
        <v>155</v>
      </c>
      <c r="F40" s="2" t="s">
        <v>20</v>
      </c>
      <c r="G40" s="2" t="s">
        <v>32</v>
      </c>
      <c r="H40" s="2" t="s">
        <v>158</v>
      </c>
      <c r="I40" s="2" t="s">
        <v>159</v>
      </c>
      <c r="J40" s="3">
        <v>24</v>
      </c>
      <c r="K40" s="2" t="s">
        <v>149</v>
      </c>
      <c r="L40" s="3">
        <v>24</v>
      </c>
      <c r="M40" s="13">
        <v>1212120</v>
      </c>
      <c r="N40" s="3">
        <v>0</v>
      </c>
      <c r="O40" s="2" t="s">
        <v>25</v>
      </c>
      <c r="P40" s="2" t="s">
        <v>26</v>
      </c>
      <c r="Q40" s="2" t="s">
        <v>29</v>
      </c>
    </row>
    <row r="41" spans="1:17" x14ac:dyDescent="0.25">
      <c r="A41" s="1">
        <v>46242</v>
      </c>
      <c r="B41" s="1">
        <v>46241</v>
      </c>
      <c r="C41" s="2" t="s">
        <v>160</v>
      </c>
      <c r="D41" s="2" t="s">
        <v>18</v>
      </c>
      <c r="E41" s="2" t="s">
        <v>161</v>
      </c>
      <c r="F41" s="2" t="s">
        <v>20</v>
      </c>
      <c r="G41" s="2" t="s">
        <v>21</v>
      </c>
      <c r="H41" s="2" t="s">
        <v>156</v>
      </c>
      <c r="I41" s="2" t="s">
        <v>157</v>
      </c>
      <c r="J41" s="3">
        <v>12</v>
      </c>
      <c r="K41" s="2" t="s">
        <v>149</v>
      </c>
      <c r="L41" s="3">
        <v>12</v>
      </c>
      <c r="M41" s="13">
        <v>539460</v>
      </c>
      <c r="N41" s="3">
        <v>0</v>
      </c>
      <c r="O41" s="2" t="s">
        <v>25</v>
      </c>
      <c r="P41" s="2" t="s">
        <v>26</v>
      </c>
      <c r="Q41" s="2" t="s">
        <v>29</v>
      </c>
    </row>
    <row r="42" spans="1:17" x14ac:dyDescent="0.25">
      <c r="A42" s="1">
        <v>46242</v>
      </c>
      <c r="B42" s="1">
        <v>46241</v>
      </c>
      <c r="C42" s="2" t="s">
        <v>160</v>
      </c>
      <c r="D42" s="2" t="s">
        <v>18</v>
      </c>
      <c r="E42" s="2" t="s">
        <v>161</v>
      </c>
      <c r="F42" s="2" t="s">
        <v>20</v>
      </c>
      <c r="G42" s="2" t="s">
        <v>21</v>
      </c>
      <c r="H42" s="2" t="s">
        <v>158</v>
      </c>
      <c r="I42" s="2" t="s">
        <v>159</v>
      </c>
      <c r="J42" s="3">
        <v>24</v>
      </c>
      <c r="K42" s="2" t="s">
        <v>149</v>
      </c>
      <c r="L42" s="3">
        <v>24</v>
      </c>
      <c r="M42" s="13">
        <v>1212120</v>
      </c>
      <c r="N42" s="3">
        <v>0</v>
      </c>
      <c r="O42" s="2" t="s">
        <v>25</v>
      </c>
      <c r="P42" s="2" t="s">
        <v>26</v>
      </c>
      <c r="Q42" s="2" t="s">
        <v>29</v>
      </c>
    </row>
    <row r="43" spans="1:17" x14ac:dyDescent="0.25">
      <c r="A43" s="1">
        <v>46242</v>
      </c>
      <c r="B43" s="1">
        <v>46241</v>
      </c>
      <c r="C43" s="2" t="s">
        <v>162</v>
      </c>
      <c r="D43" s="2" t="s">
        <v>18</v>
      </c>
      <c r="E43" s="2" t="s">
        <v>163</v>
      </c>
      <c r="F43" s="2" t="s">
        <v>20</v>
      </c>
      <c r="G43" s="2" t="s">
        <v>42</v>
      </c>
      <c r="H43" s="2" t="s">
        <v>158</v>
      </c>
      <c r="I43" s="2" t="s">
        <v>159</v>
      </c>
      <c r="J43" s="3">
        <v>12</v>
      </c>
      <c r="K43" s="2" t="s">
        <v>149</v>
      </c>
      <c r="L43" s="3">
        <v>12</v>
      </c>
      <c r="M43" s="13">
        <v>606060</v>
      </c>
      <c r="N43" s="3">
        <v>0</v>
      </c>
      <c r="O43" s="2" t="s">
        <v>25</v>
      </c>
      <c r="P43" s="2" t="s">
        <v>26</v>
      </c>
      <c r="Q43" s="2" t="s">
        <v>29</v>
      </c>
    </row>
    <row r="44" spans="1:17" x14ac:dyDescent="0.25">
      <c r="A44" s="1">
        <v>46242</v>
      </c>
      <c r="B44" s="1">
        <v>46241</v>
      </c>
      <c r="C44" s="2" t="s">
        <v>164</v>
      </c>
      <c r="D44" s="2" t="s">
        <v>18</v>
      </c>
      <c r="E44" s="2" t="s">
        <v>161</v>
      </c>
      <c r="F44" s="2" t="s">
        <v>20</v>
      </c>
      <c r="G44" s="2" t="s">
        <v>21</v>
      </c>
      <c r="H44" s="2" t="s">
        <v>156</v>
      </c>
      <c r="I44" s="2" t="s">
        <v>157</v>
      </c>
      <c r="J44" s="3">
        <v>12</v>
      </c>
      <c r="K44" s="2" t="s">
        <v>149</v>
      </c>
      <c r="L44" s="3">
        <v>12</v>
      </c>
      <c r="M44" s="13">
        <v>539460</v>
      </c>
      <c r="N44" s="3">
        <v>0</v>
      </c>
      <c r="O44" s="2" t="s">
        <v>25</v>
      </c>
      <c r="P44" s="2" t="s">
        <v>26</v>
      </c>
      <c r="Q44" s="2" t="s">
        <v>29</v>
      </c>
    </row>
    <row r="45" spans="1:17" x14ac:dyDescent="0.25">
      <c r="A45" s="1">
        <v>46242</v>
      </c>
      <c r="B45" s="1">
        <v>46241</v>
      </c>
      <c r="C45" s="2" t="s">
        <v>164</v>
      </c>
      <c r="D45" s="2" t="s">
        <v>18</v>
      </c>
      <c r="E45" s="2" t="s">
        <v>161</v>
      </c>
      <c r="F45" s="2" t="s">
        <v>20</v>
      </c>
      <c r="G45" s="2" t="s">
        <v>21</v>
      </c>
      <c r="H45" s="2" t="s">
        <v>158</v>
      </c>
      <c r="I45" s="2" t="s">
        <v>159</v>
      </c>
      <c r="J45" s="3">
        <v>24</v>
      </c>
      <c r="K45" s="2" t="s">
        <v>149</v>
      </c>
      <c r="L45" s="3">
        <v>24</v>
      </c>
      <c r="M45" s="13">
        <v>1212120</v>
      </c>
      <c r="N45" s="3">
        <v>0</v>
      </c>
      <c r="O45" s="2" t="s">
        <v>25</v>
      </c>
      <c r="P45" s="2" t="s">
        <v>26</v>
      </c>
      <c r="Q45" s="2" t="s">
        <v>29</v>
      </c>
    </row>
    <row r="46" spans="1:17" x14ac:dyDescent="0.25">
      <c r="A46" s="1">
        <v>46242</v>
      </c>
      <c r="B46" s="1">
        <v>46241</v>
      </c>
      <c r="C46" s="2" t="s">
        <v>165</v>
      </c>
      <c r="D46" s="2" t="s">
        <v>18</v>
      </c>
      <c r="E46" s="2" t="s">
        <v>166</v>
      </c>
      <c r="F46" s="2" t="s">
        <v>35</v>
      </c>
      <c r="G46" s="2" t="s">
        <v>57</v>
      </c>
      <c r="H46" s="2" t="s">
        <v>58</v>
      </c>
      <c r="I46" s="2" t="s">
        <v>59</v>
      </c>
      <c r="J46" s="3">
        <v>12</v>
      </c>
      <c r="K46" s="2" t="s">
        <v>60</v>
      </c>
      <c r="L46" s="3">
        <v>12</v>
      </c>
      <c r="M46" s="13">
        <v>719280</v>
      </c>
      <c r="N46" s="3">
        <v>0</v>
      </c>
      <c r="O46" s="2" t="s">
        <v>25</v>
      </c>
      <c r="P46" s="2" t="s">
        <v>26</v>
      </c>
      <c r="Q46" s="2" t="s">
        <v>29</v>
      </c>
    </row>
    <row r="47" spans="1:17" x14ac:dyDescent="0.25">
      <c r="A47" s="1">
        <v>46242</v>
      </c>
      <c r="B47" s="1">
        <v>46241</v>
      </c>
      <c r="C47" s="2" t="s">
        <v>167</v>
      </c>
      <c r="D47" s="2" t="s">
        <v>18</v>
      </c>
      <c r="E47" s="2" t="s">
        <v>168</v>
      </c>
      <c r="F47" s="2" t="s">
        <v>20</v>
      </c>
      <c r="G47" s="2" t="s">
        <v>32</v>
      </c>
      <c r="H47" s="2" t="s">
        <v>22</v>
      </c>
      <c r="I47" s="2" t="s">
        <v>23</v>
      </c>
      <c r="J47" s="3">
        <v>5</v>
      </c>
      <c r="K47" s="2" t="s">
        <v>24</v>
      </c>
      <c r="L47" s="3">
        <v>5</v>
      </c>
      <c r="M47" s="13">
        <v>1475000</v>
      </c>
      <c r="N47" s="3">
        <v>0</v>
      </c>
      <c r="O47" s="2" t="s">
        <v>25</v>
      </c>
      <c r="P47" s="2" t="s">
        <v>26</v>
      </c>
      <c r="Q47" s="2" t="s">
        <v>29</v>
      </c>
    </row>
    <row r="48" spans="1:17" x14ac:dyDescent="0.25">
      <c r="A48" s="1">
        <v>46242</v>
      </c>
      <c r="B48" s="1">
        <v>46241</v>
      </c>
      <c r="C48" s="2" t="s">
        <v>169</v>
      </c>
      <c r="D48" s="2" t="s">
        <v>18</v>
      </c>
      <c r="E48" s="2" t="s">
        <v>170</v>
      </c>
      <c r="F48" s="2" t="s">
        <v>20</v>
      </c>
      <c r="G48" s="2" t="s">
        <v>171</v>
      </c>
      <c r="H48" s="2" t="s">
        <v>172</v>
      </c>
      <c r="I48" s="2" t="s">
        <v>173</v>
      </c>
      <c r="J48" s="3">
        <v>20</v>
      </c>
      <c r="K48" s="2" t="s">
        <v>39</v>
      </c>
      <c r="L48" s="3">
        <v>10</v>
      </c>
      <c r="M48" s="13">
        <v>255300</v>
      </c>
      <c r="N48" s="3">
        <v>-10</v>
      </c>
      <c r="O48" s="2" t="s">
        <v>25</v>
      </c>
      <c r="P48" s="2" t="s">
        <v>26</v>
      </c>
      <c r="Q48" s="2" t="s">
        <v>29</v>
      </c>
    </row>
    <row r="49" spans="1:17" x14ac:dyDescent="0.25">
      <c r="A49" s="1">
        <v>46242</v>
      </c>
      <c r="B49" s="1">
        <v>46241</v>
      </c>
      <c r="C49" s="2" t="s">
        <v>174</v>
      </c>
      <c r="D49" s="2" t="s">
        <v>18</v>
      </c>
      <c r="E49" s="2" t="s">
        <v>175</v>
      </c>
      <c r="F49" s="2" t="s">
        <v>20</v>
      </c>
      <c r="G49" s="2" t="s">
        <v>32</v>
      </c>
      <c r="H49" s="2" t="s">
        <v>176</v>
      </c>
      <c r="I49" s="2" t="s">
        <v>177</v>
      </c>
      <c r="J49" s="3">
        <v>13.8</v>
      </c>
      <c r="K49" s="2" t="s">
        <v>39</v>
      </c>
      <c r="L49" s="3">
        <v>13.8</v>
      </c>
      <c r="M49" s="13">
        <v>1593899.94</v>
      </c>
      <c r="N49" s="3">
        <v>0</v>
      </c>
      <c r="O49" s="2" t="s">
        <v>25</v>
      </c>
      <c r="P49" s="2" t="s">
        <v>26</v>
      </c>
      <c r="Q49" s="2" t="s">
        <v>178</v>
      </c>
    </row>
    <row r="50" spans="1:17" x14ac:dyDescent="0.25">
      <c r="A50" s="1">
        <v>46242</v>
      </c>
      <c r="B50" s="1">
        <v>46241</v>
      </c>
      <c r="C50" s="2" t="s">
        <v>179</v>
      </c>
      <c r="D50" s="2" t="s">
        <v>18</v>
      </c>
      <c r="E50" s="2" t="s">
        <v>180</v>
      </c>
      <c r="F50" s="2" t="s">
        <v>20</v>
      </c>
      <c r="G50" s="2" t="s">
        <v>116</v>
      </c>
      <c r="H50" s="2" t="s">
        <v>181</v>
      </c>
      <c r="I50" s="2" t="s">
        <v>182</v>
      </c>
      <c r="J50" s="3">
        <v>6</v>
      </c>
      <c r="K50" s="2" t="s">
        <v>119</v>
      </c>
      <c r="L50" s="3">
        <v>6</v>
      </c>
      <c r="M50" s="13">
        <v>629999.99</v>
      </c>
      <c r="N50" s="3">
        <v>0</v>
      </c>
      <c r="O50" s="2" t="s">
        <v>25</v>
      </c>
      <c r="P50" s="2" t="s">
        <v>26</v>
      </c>
      <c r="Q50" s="2" t="s">
        <v>29</v>
      </c>
    </row>
    <row r="51" spans="1:17" x14ac:dyDescent="0.25">
      <c r="A51" s="1">
        <v>46242</v>
      </c>
      <c r="B51" s="1">
        <v>46241</v>
      </c>
      <c r="C51" s="2" t="s">
        <v>179</v>
      </c>
      <c r="D51" s="2" t="s">
        <v>18</v>
      </c>
      <c r="E51" s="2" t="s">
        <v>180</v>
      </c>
      <c r="F51" s="2" t="s">
        <v>20</v>
      </c>
      <c r="G51" s="2" t="s">
        <v>116</v>
      </c>
      <c r="H51" s="2" t="s">
        <v>183</v>
      </c>
      <c r="I51" s="2" t="s">
        <v>184</v>
      </c>
      <c r="J51" s="3">
        <v>6</v>
      </c>
      <c r="K51" s="2" t="s">
        <v>119</v>
      </c>
      <c r="L51" s="3">
        <v>6</v>
      </c>
      <c r="M51" s="13">
        <v>378600</v>
      </c>
      <c r="N51" s="3">
        <v>0</v>
      </c>
      <c r="O51" s="2" t="s">
        <v>25</v>
      </c>
      <c r="P51" s="2" t="s">
        <v>26</v>
      </c>
      <c r="Q51" s="2" t="s">
        <v>29</v>
      </c>
    </row>
    <row r="52" spans="1:17" x14ac:dyDescent="0.25">
      <c r="A52" s="1">
        <v>46242</v>
      </c>
      <c r="B52" s="1">
        <v>46241</v>
      </c>
      <c r="C52" s="2" t="s">
        <v>185</v>
      </c>
      <c r="D52" s="2" t="s">
        <v>18</v>
      </c>
      <c r="E52" s="2" t="s">
        <v>186</v>
      </c>
      <c r="F52" s="2" t="s">
        <v>35</v>
      </c>
      <c r="G52" s="2" t="s">
        <v>90</v>
      </c>
      <c r="H52" s="2" t="s">
        <v>176</v>
      </c>
      <c r="I52" s="2" t="s">
        <v>177</v>
      </c>
      <c r="J52" s="3">
        <v>4.5999999999999996</v>
      </c>
      <c r="K52" s="2" t="s">
        <v>39</v>
      </c>
      <c r="L52" s="3">
        <v>4.5999999999999996</v>
      </c>
      <c r="M52" s="13">
        <v>536130</v>
      </c>
      <c r="N52" s="3">
        <v>0</v>
      </c>
      <c r="O52" s="2" t="s">
        <v>25</v>
      </c>
      <c r="P52" s="2" t="s">
        <v>26</v>
      </c>
      <c r="Q52" s="2" t="s">
        <v>187</v>
      </c>
    </row>
    <row r="53" spans="1:17" x14ac:dyDescent="0.25">
      <c r="A53" s="1">
        <v>46242</v>
      </c>
      <c r="B53" s="1">
        <v>46241</v>
      </c>
      <c r="C53" s="2" t="s">
        <v>185</v>
      </c>
      <c r="D53" s="2" t="s">
        <v>18</v>
      </c>
      <c r="E53" s="2" t="s">
        <v>186</v>
      </c>
      <c r="F53" s="2" t="s">
        <v>35</v>
      </c>
      <c r="G53" s="2" t="s">
        <v>90</v>
      </c>
      <c r="H53" s="2" t="s">
        <v>188</v>
      </c>
      <c r="I53" s="2" t="s">
        <v>189</v>
      </c>
      <c r="J53" s="3">
        <v>1</v>
      </c>
      <c r="K53" s="2" t="s">
        <v>119</v>
      </c>
      <c r="L53" s="3">
        <v>1</v>
      </c>
      <c r="M53" s="13">
        <v>130000</v>
      </c>
      <c r="N53" s="3">
        <v>0</v>
      </c>
      <c r="O53" s="2" t="s">
        <v>25</v>
      </c>
      <c r="P53" s="2" t="s">
        <v>26</v>
      </c>
      <c r="Q53" s="2" t="s">
        <v>187</v>
      </c>
    </row>
    <row r="54" spans="1:17" x14ac:dyDescent="0.25">
      <c r="A54" s="1">
        <v>46242</v>
      </c>
      <c r="B54" s="1">
        <v>46241</v>
      </c>
      <c r="C54" s="2" t="s">
        <v>190</v>
      </c>
      <c r="D54" s="2" t="s">
        <v>18</v>
      </c>
      <c r="E54" s="2" t="s">
        <v>191</v>
      </c>
      <c r="F54" s="2" t="s">
        <v>20</v>
      </c>
      <c r="G54" s="2" t="s">
        <v>192</v>
      </c>
      <c r="H54" s="2" t="s">
        <v>156</v>
      </c>
      <c r="I54" s="2" t="s">
        <v>157</v>
      </c>
      <c r="J54" s="3">
        <v>2</v>
      </c>
      <c r="K54" s="2" t="s">
        <v>149</v>
      </c>
      <c r="L54" s="3">
        <v>2</v>
      </c>
      <c r="M54" s="13">
        <v>86000</v>
      </c>
      <c r="N54" s="3">
        <v>0</v>
      </c>
      <c r="O54" s="2" t="s">
        <v>25</v>
      </c>
      <c r="P54" s="2" t="s">
        <v>26</v>
      </c>
      <c r="Q54" s="2" t="s">
        <v>193</v>
      </c>
    </row>
    <row r="55" spans="1:17" x14ac:dyDescent="0.25">
      <c r="A55" s="1">
        <v>46242</v>
      </c>
      <c r="B55" s="1">
        <v>46241</v>
      </c>
      <c r="C55" s="2" t="s">
        <v>194</v>
      </c>
      <c r="D55" s="2" t="s">
        <v>18</v>
      </c>
      <c r="E55" s="2" t="s">
        <v>191</v>
      </c>
      <c r="F55" s="2" t="s">
        <v>20</v>
      </c>
      <c r="G55" s="2" t="s">
        <v>192</v>
      </c>
      <c r="H55" s="2" t="s">
        <v>176</v>
      </c>
      <c r="I55" s="2" t="s">
        <v>177</v>
      </c>
      <c r="J55" s="3">
        <v>23</v>
      </c>
      <c r="K55" s="2" t="s">
        <v>39</v>
      </c>
      <c r="L55" s="3">
        <v>25.3</v>
      </c>
      <c r="M55" s="13">
        <v>2656499.87</v>
      </c>
      <c r="N55" s="3">
        <v>2.2999999999999998</v>
      </c>
      <c r="O55" s="2" t="s">
        <v>25</v>
      </c>
      <c r="P55" s="2" t="s">
        <v>26</v>
      </c>
      <c r="Q55" s="2" t="s">
        <v>195</v>
      </c>
    </row>
    <row r="56" spans="1:17" x14ac:dyDescent="0.25">
      <c r="A56" s="1">
        <v>46242</v>
      </c>
      <c r="B56" s="1">
        <v>46241</v>
      </c>
      <c r="C56" s="2" t="s">
        <v>196</v>
      </c>
      <c r="D56" s="2" t="s">
        <v>18</v>
      </c>
      <c r="E56" s="2" t="s">
        <v>191</v>
      </c>
      <c r="F56" s="2" t="s">
        <v>20</v>
      </c>
      <c r="G56" s="2" t="s">
        <v>192</v>
      </c>
      <c r="H56" s="2" t="s">
        <v>176</v>
      </c>
      <c r="I56" s="2" t="s">
        <v>177</v>
      </c>
      <c r="J56" s="3">
        <v>5</v>
      </c>
      <c r="K56" s="2" t="s">
        <v>39</v>
      </c>
      <c r="L56" s="3">
        <v>4.5999999999999996</v>
      </c>
      <c r="M56" s="13">
        <v>482999.97</v>
      </c>
      <c r="N56" s="3">
        <v>-0.4</v>
      </c>
      <c r="O56" s="2" t="s">
        <v>25</v>
      </c>
      <c r="P56" s="2" t="s">
        <v>26</v>
      </c>
      <c r="Q56" s="2" t="s">
        <v>197</v>
      </c>
    </row>
    <row r="57" spans="1:17" x14ac:dyDescent="0.25">
      <c r="A57" s="1">
        <v>46242</v>
      </c>
      <c r="B57" s="1">
        <v>46241</v>
      </c>
      <c r="C57" s="2" t="s">
        <v>198</v>
      </c>
      <c r="D57" s="2" t="s">
        <v>18</v>
      </c>
      <c r="E57" s="2" t="s">
        <v>199</v>
      </c>
      <c r="F57" s="2" t="s">
        <v>20</v>
      </c>
      <c r="G57" s="2" t="s">
        <v>21</v>
      </c>
      <c r="H57" s="2" t="s">
        <v>176</v>
      </c>
      <c r="I57" s="2" t="s">
        <v>177</v>
      </c>
      <c r="J57" s="3">
        <v>50</v>
      </c>
      <c r="K57" s="2" t="s">
        <v>39</v>
      </c>
      <c r="L57" s="3">
        <v>50.6</v>
      </c>
      <c r="M57" s="13">
        <v>5059999.99</v>
      </c>
      <c r="N57" s="3">
        <v>0.6</v>
      </c>
      <c r="O57" s="2" t="s">
        <v>25</v>
      </c>
      <c r="P57" s="2" t="s">
        <v>26</v>
      </c>
      <c r="Q57" s="2" t="s">
        <v>200</v>
      </c>
    </row>
    <row r="58" spans="1:17" x14ac:dyDescent="0.25">
      <c r="A58" s="1">
        <v>46242</v>
      </c>
      <c r="B58" s="1">
        <v>46241</v>
      </c>
      <c r="C58" s="2" t="s">
        <v>201</v>
      </c>
      <c r="D58" s="2" t="s">
        <v>18</v>
      </c>
      <c r="E58" s="2" t="s">
        <v>191</v>
      </c>
      <c r="F58" s="2" t="s">
        <v>20</v>
      </c>
      <c r="G58" s="2" t="s">
        <v>192</v>
      </c>
      <c r="H58" s="2" t="s">
        <v>37</v>
      </c>
      <c r="I58" s="2" t="s">
        <v>38</v>
      </c>
      <c r="J58" s="3">
        <v>1</v>
      </c>
      <c r="K58" s="2" t="s">
        <v>39</v>
      </c>
      <c r="L58" s="3">
        <v>1</v>
      </c>
      <c r="M58" s="13">
        <v>36000</v>
      </c>
      <c r="N58" s="3">
        <v>0</v>
      </c>
      <c r="O58" s="2" t="s">
        <v>25</v>
      </c>
      <c r="P58" s="2" t="s">
        <v>26</v>
      </c>
      <c r="Q58" s="2" t="s">
        <v>202</v>
      </c>
    </row>
    <row r="59" spans="1:17" x14ac:dyDescent="0.25">
      <c r="A59" s="1">
        <v>46242</v>
      </c>
      <c r="B59" s="1">
        <v>46241</v>
      </c>
      <c r="C59" s="2" t="s">
        <v>203</v>
      </c>
      <c r="D59" s="2" t="s">
        <v>18</v>
      </c>
      <c r="E59" s="2" t="s">
        <v>204</v>
      </c>
      <c r="F59" s="2" t="s">
        <v>20</v>
      </c>
      <c r="G59" s="2" t="s">
        <v>21</v>
      </c>
      <c r="H59" s="2" t="s">
        <v>205</v>
      </c>
      <c r="I59" s="2" t="s">
        <v>206</v>
      </c>
      <c r="J59" s="3">
        <v>2</v>
      </c>
      <c r="K59" s="2" t="s">
        <v>39</v>
      </c>
      <c r="L59" s="3">
        <v>2.0299999999999998</v>
      </c>
      <c r="M59" s="13">
        <v>314650</v>
      </c>
      <c r="N59" s="3">
        <v>0.03</v>
      </c>
      <c r="O59" s="2" t="s">
        <v>25</v>
      </c>
      <c r="P59" s="2" t="s">
        <v>26</v>
      </c>
      <c r="Q59" s="2" t="s">
        <v>207</v>
      </c>
    </row>
    <row r="60" spans="1:17" x14ac:dyDescent="0.25">
      <c r="A60" s="1">
        <v>46242</v>
      </c>
      <c r="B60" s="1">
        <v>46241</v>
      </c>
      <c r="C60" s="2" t="s">
        <v>208</v>
      </c>
      <c r="D60" s="2" t="s">
        <v>18</v>
      </c>
      <c r="E60" s="2" t="s">
        <v>191</v>
      </c>
      <c r="F60" s="2" t="s">
        <v>20</v>
      </c>
      <c r="G60" s="2" t="s">
        <v>192</v>
      </c>
      <c r="H60" s="2" t="s">
        <v>176</v>
      </c>
      <c r="I60" s="2" t="s">
        <v>177</v>
      </c>
      <c r="J60" s="3">
        <v>5</v>
      </c>
      <c r="K60" s="2" t="s">
        <v>39</v>
      </c>
      <c r="L60" s="3">
        <v>4.5999999999999996</v>
      </c>
      <c r="M60" s="13">
        <v>482999.97</v>
      </c>
      <c r="N60" s="3">
        <v>-0.4</v>
      </c>
      <c r="O60" s="2" t="s">
        <v>25</v>
      </c>
      <c r="P60" s="2" t="s">
        <v>26</v>
      </c>
      <c r="Q60" s="2" t="s">
        <v>209</v>
      </c>
    </row>
    <row r="61" spans="1:17" x14ac:dyDescent="0.25">
      <c r="A61" s="1">
        <v>46242</v>
      </c>
      <c r="B61" s="1">
        <v>46241</v>
      </c>
      <c r="C61" s="2" t="s">
        <v>210</v>
      </c>
      <c r="D61" s="2" t="s">
        <v>18</v>
      </c>
      <c r="E61" s="2" t="s">
        <v>211</v>
      </c>
      <c r="F61" s="2" t="s">
        <v>20</v>
      </c>
      <c r="G61" s="2" t="s">
        <v>107</v>
      </c>
      <c r="H61" s="2" t="s">
        <v>22</v>
      </c>
      <c r="I61" s="2" t="s">
        <v>23</v>
      </c>
      <c r="J61" s="3">
        <v>2</v>
      </c>
      <c r="K61" s="2" t="s">
        <v>24</v>
      </c>
      <c r="L61" s="3">
        <v>2</v>
      </c>
      <c r="M61" s="13">
        <v>630000</v>
      </c>
      <c r="N61" s="3">
        <v>0</v>
      </c>
      <c r="O61" s="2" t="s">
        <v>25</v>
      </c>
      <c r="P61" s="2" t="s">
        <v>26</v>
      </c>
      <c r="Q61" s="2" t="s">
        <v>29</v>
      </c>
    </row>
    <row r="62" spans="1:17" x14ac:dyDescent="0.25">
      <c r="A62" s="1">
        <v>46242</v>
      </c>
      <c r="B62" s="1">
        <v>46241</v>
      </c>
      <c r="C62" s="2" t="s">
        <v>212</v>
      </c>
      <c r="D62" s="2" t="s">
        <v>18</v>
      </c>
      <c r="E62" s="2" t="s">
        <v>199</v>
      </c>
      <c r="F62" s="2" t="s">
        <v>20</v>
      </c>
      <c r="G62" s="2" t="s">
        <v>21</v>
      </c>
      <c r="H62" s="2" t="s">
        <v>176</v>
      </c>
      <c r="I62" s="2" t="s">
        <v>177</v>
      </c>
      <c r="J62" s="3">
        <v>40</v>
      </c>
      <c r="K62" s="2" t="s">
        <v>39</v>
      </c>
      <c r="L62" s="3">
        <v>41.399900000000002</v>
      </c>
      <c r="M62" s="13">
        <v>4140000</v>
      </c>
      <c r="N62" s="3">
        <v>1.3998999999999999</v>
      </c>
      <c r="O62" s="2" t="s">
        <v>25</v>
      </c>
      <c r="P62" s="2" t="s">
        <v>26</v>
      </c>
      <c r="Q62" s="2" t="s">
        <v>213</v>
      </c>
    </row>
    <row r="63" spans="1:17" x14ac:dyDescent="0.25">
      <c r="A63" s="1">
        <v>46242</v>
      </c>
      <c r="B63" s="1">
        <v>46241</v>
      </c>
      <c r="C63" s="2" t="s">
        <v>217</v>
      </c>
      <c r="D63" s="2" t="s">
        <v>18</v>
      </c>
      <c r="E63" s="2" t="s">
        <v>199</v>
      </c>
      <c r="F63" s="2" t="s">
        <v>20</v>
      </c>
      <c r="G63" s="2" t="s">
        <v>21</v>
      </c>
      <c r="H63" s="2" t="s">
        <v>188</v>
      </c>
      <c r="I63" s="2" t="s">
        <v>189</v>
      </c>
      <c r="J63" s="3">
        <v>1</v>
      </c>
      <c r="K63" s="2" t="s">
        <v>119</v>
      </c>
      <c r="L63" s="3">
        <v>1</v>
      </c>
      <c r="M63" s="13">
        <v>115000</v>
      </c>
      <c r="N63" s="3">
        <v>0</v>
      </c>
      <c r="O63" s="2" t="s">
        <v>25</v>
      </c>
      <c r="P63" s="2" t="s">
        <v>26</v>
      </c>
      <c r="Q63" s="2" t="s">
        <v>218</v>
      </c>
    </row>
    <row r="64" spans="1:17" x14ac:dyDescent="0.25">
      <c r="A64" s="1">
        <v>46242</v>
      </c>
      <c r="B64" s="1">
        <v>46241</v>
      </c>
      <c r="C64" s="2" t="s">
        <v>217</v>
      </c>
      <c r="D64" s="2" t="s">
        <v>18</v>
      </c>
      <c r="E64" s="2" t="s">
        <v>199</v>
      </c>
      <c r="F64" s="2" t="s">
        <v>20</v>
      </c>
      <c r="G64" s="2" t="s">
        <v>21</v>
      </c>
      <c r="H64" s="2" t="s">
        <v>176</v>
      </c>
      <c r="I64" s="2" t="s">
        <v>177</v>
      </c>
      <c r="J64" s="3">
        <v>10</v>
      </c>
      <c r="K64" s="2" t="s">
        <v>39</v>
      </c>
      <c r="L64" s="3">
        <v>9.1998999999999995</v>
      </c>
      <c r="M64" s="13">
        <v>920000</v>
      </c>
      <c r="N64" s="3">
        <v>-0.80010000000000003</v>
      </c>
      <c r="O64" s="2" t="s">
        <v>25</v>
      </c>
      <c r="P64" s="2" t="s">
        <v>26</v>
      </c>
      <c r="Q64" s="2" t="s">
        <v>218</v>
      </c>
    </row>
    <row r="65" spans="1:17" x14ac:dyDescent="0.25">
      <c r="A65" s="1">
        <v>46242</v>
      </c>
      <c r="B65" s="1">
        <v>46241</v>
      </c>
      <c r="C65" s="2" t="s">
        <v>219</v>
      </c>
      <c r="D65" s="2" t="s">
        <v>18</v>
      </c>
      <c r="E65" s="2" t="s">
        <v>220</v>
      </c>
      <c r="F65" s="2" t="s">
        <v>20</v>
      </c>
      <c r="G65" s="2" t="s">
        <v>32</v>
      </c>
      <c r="H65" s="2" t="s">
        <v>43</v>
      </c>
      <c r="I65" s="2" t="s">
        <v>44</v>
      </c>
      <c r="J65" s="3">
        <v>7</v>
      </c>
      <c r="K65" s="2" t="s">
        <v>24</v>
      </c>
      <c r="L65" s="3">
        <v>7</v>
      </c>
      <c r="M65" s="13">
        <v>1994999.99</v>
      </c>
      <c r="N65" s="3">
        <v>0</v>
      </c>
      <c r="O65" s="2" t="s">
        <v>25</v>
      </c>
      <c r="P65" s="2" t="s">
        <v>26</v>
      </c>
      <c r="Q65" s="2" t="s">
        <v>221</v>
      </c>
    </row>
    <row r="66" spans="1:17" x14ac:dyDescent="0.25">
      <c r="A66" s="1">
        <v>46242</v>
      </c>
      <c r="B66" s="1">
        <v>46241</v>
      </c>
      <c r="C66" s="2" t="s">
        <v>222</v>
      </c>
      <c r="D66" s="2" t="s">
        <v>18</v>
      </c>
      <c r="E66" s="2" t="s">
        <v>223</v>
      </c>
      <c r="F66" s="2" t="s">
        <v>20</v>
      </c>
      <c r="G66" s="2" t="s">
        <v>61</v>
      </c>
      <c r="H66" s="2" t="s">
        <v>76</v>
      </c>
      <c r="I66" s="2" t="s">
        <v>77</v>
      </c>
      <c r="J66" s="3">
        <v>100</v>
      </c>
      <c r="K66" s="2" t="s">
        <v>39</v>
      </c>
      <c r="L66" s="3">
        <v>100.84</v>
      </c>
      <c r="M66" s="13">
        <v>18957920</v>
      </c>
      <c r="N66" s="3">
        <v>0.84</v>
      </c>
      <c r="O66" s="2" t="s">
        <v>25</v>
      </c>
      <c r="P66" s="2" t="s">
        <v>26</v>
      </c>
      <c r="Q66" s="2" t="s">
        <v>29</v>
      </c>
    </row>
    <row r="67" spans="1:17" x14ac:dyDescent="0.25">
      <c r="A67" s="1">
        <v>46242</v>
      </c>
      <c r="B67" s="1">
        <v>46241</v>
      </c>
      <c r="C67" s="2" t="s">
        <v>224</v>
      </c>
      <c r="D67" s="2" t="s">
        <v>18</v>
      </c>
      <c r="E67" s="2" t="s">
        <v>225</v>
      </c>
      <c r="F67" s="2" t="s">
        <v>20</v>
      </c>
      <c r="G67" s="2" t="s">
        <v>131</v>
      </c>
      <c r="H67" s="2" t="s">
        <v>127</v>
      </c>
      <c r="I67" s="2" t="s">
        <v>128</v>
      </c>
      <c r="J67" s="3">
        <v>3</v>
      </c>
      <c r="K67" s="2" t="s">
        <v>119</v>
      </c>
      <c r="L67" s="3">
        <v>3</v>
      </c>
      <c r="M67" s="13">
        <v>399600</v>
      </c>
      <c r="N67" s="3">
        <v>0</v>
      </c>
      <c r="O67" s="2" t="s">
        <v>25</v>
      </c>
      <c r="P67" s="2" t="s">
        <v>26</v>
      </c>
      <c r="Q67" s="2" t="s">
        <v>29</v>
      </c>
    </row>
    <row r="68" spans="1:17" x14ac:dyDescent="0.25">
      <c r="A68" s="1">
        <v>46242</v>
      </c>
      <c r="B68" s="1">
        <v>46241</v>
      </c>
      <c r="C68" s="2" t="s">
        <v>226</v>
      </c>
      <c r="D68" s="2" t="s">
        <v>18</v>
      </c>
      <c r="E68" s="2" t="s">
        <v>227</v>
      </c>
      <c r="F68" s="2" t="s">
        <v>20</v>
      </c>
      <c r="G68" s="2" t="s">
        <v>228</v>
      </c>
      <c r="H68" s="2" t="s">
        <v>70</v>
      </c>
      <c r="I68" s="2" t="s">
        <v>71</v>
      </c>
      <c r="J68" s="3">
        <v>50</v>
      </c>
      <c r="K68" s="2" t="s">
        <v>24</v>
      </c>
      <c r="L68" s="3">
        <v>50</v>
      </c>
      <c r="M68" s="13">
        <v>13250000.07</v>
      </c>
      <c r="N68" s="3">
        <v>0</v>
      </c>
      <c r="O68" s="2" t="s">
        <v>25</v>
      </c>
      <c r="P68" s="2" t="s">
        <v>26</v>
      </c>
      <c r="Q68" s="2" t="s">
        <v>229</v>
      </c>
    </row>
    <row r="69" spans="1:17" x14ac:dyDescent="0.25">
      <c r="A69" s="1">
        <v>46242</v>
      </c>
      <c r="B69" s="1">
        <v>46241</v>
      </c>
      <c r="C69" s="2" t="s">
        <v>230</v>
      </c>
      <c r="D69" s="2" t="s">
        <v>18</v>
      </c>
      <c r="E69" s="2" t="s">
        <v>231</v>
      </c>
      <c r="F69" s="2" t="s">
        <v>20</v>
      </c>
      <c r="G69" s="2" t="s">
        <v>28</v>
      </c>
      <c r="H69" s="2" t="s">
        <v>158</v>
      </c>
      <c r="I69" s="2" t="s">
        <v>159</v>
      </c>
      <c r="J69" s="3">
        <v>6</v>
      </c>
      <c r="K69" s="2" t="s">
        <v>149</v>
      </c>
      <c r="L69" s="3">
        <v>6</v>
      </c>
      <c r="M69" s="13">
        <v>303030</v>
      </c>
      <c r="N69" s="3">
        <v>0</v>
      </c>
      <c r="O69" s="2" t="s">
        <v>25</v>
      </c>
      <c r="P69" s="2" t="s">
        <v>26</v>
      </c>
      <c r="Q69" s="2" t="s">
        <v>29</v>
      </c>
    </row>
    <row r="70" spans="1:17" x14ac:dyDescent="0.25">
      <c r="A70" s="1">
        <v>46242</v>
      </c>
      <c r="B70" s="1">
        <v>46241</v>
      </c>
      <c r="C70" s="2" t="s">
        <v>232</v>
      </c>
      <c r="D70" s="2" t="s">
        <v>18</v>
      </c>
      <c r="E70" s="2" t="s">
        <v>233</v>
      </c>
      <c r="F70" s="2" t="s">
        <v>35</v>
      </c>
      <c r="G70" s="2" t="s">
        <v>234</v>
      </c>
      <c r="H70" s="2" t="s">
        <v>215</v>
      </c>
      <c r="I70" s="2" t="s">
        <v>216</v>
      </c>
      <c r="J70" s="3">
        <v>36</v>
      </c>
      <c r="K70" s="2" t="s">
        <v>149</v>
      </c>
      <c r="L70" s="3">
        <v>36</v>
      </c>
      <c r="M70" s="13">
        <v>2548800.25</v>
      </c>
      <c r="N70" s="3">
        <v>0</v>
      </c>
      <c r="O70" s="2" t="s">
        <v>25</v>
      </c>
      <c r="P70" s="2" t="s">
        <v>26</v>
      </c>
      <c r="Q70" s="2" t="s">
        <v>29</v>
      </c>
    </row>
    <row r="71" spans="1:17" x14ac:dyDescent="0.25">
      <c r="A71" s="1">
        <v>46242</v>
      </c>
      <c r="B71" s="1">
        <v>46241</v>
      </c>
      <c r="C71" s="2" t="s">
        <v>235</v>
      </c>
      <c r="D71" s="2" t="s">
        <v>18</v>
      </c>
      <c r="E71" s="2" t="s">
        <v>225</v>
      </c>
      <c r="F71" s="2" t="s">
        <v>20</v>
      </c>
      <c r="G71" s="2" t="s">
        <v>192</v>
      </c>
      <c r="H71" s="2" t="s">
        <v>236</v>
      </c>
      <c r="I71" s="2" t="s">
        <v>237</v>
      </c>
      <c r="J71" s="3">
        <v>8</v>
      </c>
      <c r="K71" s="2" t="s">
        <v>39</v>
      </c>
      <c r="L71" s="3">
        <v>6.7</v>
      </c>
      <c r="M71" s="13">
        <v>904500</v>
      </c>
      <c r="N71" s="3">
        <v>-1.3</v>
      </c>
      <c r="O71" s="2" t="s">
        <v>25</v>
      </c>
      <c r="P71" s="2" t="s">
        <v>26</v>
      </c>
      <c r="Q71" s="2" t="s">
        <v>29</v>
      </c>
    </row>
    <row r="72" spans="1:17" x14ac:dyDescent="0.25">
      <c r="A72" s="1">
        <v>46242</v>
      </c>
      <c r="B72" s="1">
        <v>46241</v>
      </c>
      <c r="C72" s="2" t="s">
        <v>238</v>
      </c>
      <c r="D72" s="2" t="s">
        <v>18</v>
      </c>
      <c r="E72" s="2" t="s">
        <v>239</v>
      </c>
      <c r="F72" s="2" t="s">
        <v>20</v>
      </c>
      <c r="G72" s="2" t="s">
        <v>21</v>
      </c>
      <c r="H72" s="2" t="s">
        <v>93</v>
      </c>
      <c r="I72" s="2" t="s">
        <v>94</v>
      </c>
      <c r="J72" s="3">
        <v>15</v>
      </c>
      <c r="K72" s="2" t="s">
        <v>24</v>
      </c>
      <c r="L72" s="3">
        <v>15</v>
      </c>
      <c r="M72" s="13">
        <v>4050000.11</v>
      </c>
      <c r="N72" s="3">
        <v>0</v>
      </c>
      <c r="O72" s="2" t="s">
        <v>25</v>
      </c>
      <c r="P72" s="2" t="s">
        <v>26</v>
      </c>
      <c r="Q72" s="2" t="s">
        <v>29</v>
      </c>
    </row>
    <row r="73" spans="1:17" x14ac:dyDescent="0.25">
      <c r="A73" s="1">
        <v>46242</v>
      </c>
      <c r="B73" s="1">
        <v>46241</v>
      </c>
      <c r="C73" s="2" t="s">
        <v>240</v>
      </c>
      <c r="D73" s="2" t="s">
        <v>18</v>
      </c>
      <c r="E73" s="2" t="s">
        <v>241</v>
      </c>
      <c r="F73" s="2" t="s">
        <v>20</v>
      </c>
      <c r="G73" s="2" t="s">
        <v>42</v>
      </c>
      <c r="H73" s="2" t="s">
        <v>22</v>
      </c>
      <c r="I73" s="2" t="s">
        <v>23</v>
      </c>
      <c r="J73" s="3">
        <v>20</v>
      </c>
      <c r="K73" s="2" t="s">
        <v>24</v>
      </c>
      <c r="L73" s="3">
        <v>20</v>
      </c>
      <c r="M73" s="13">
        <v>5559999.9900000002</v>
      </c>
      <c r="N73" s="3">
        <v>0</v>
      </c>
      <c r="O73" s="2" t="s">
        <v>25</v>
      </c>
      <c r="P73" s="2" t="s">
        <v>26</v>
      </c>
      <c r="Q73" s="2" t="s">
        <v>29</v>
      </c>
    </row>
    <row r="74" spans="1:17" x14ac:dyDescent="0.25">
      <c r="A74" s="1">
        <v>46242</v>
      </c>
      <c r="B74" s="1">
        <v>46241</v>
      </c>
      <c r="C74" s="2" t="s">
        <v>242</v>
      </c>
      <c r="D74" s="2" t="s">
        <v>18</v>
      </c>
      <c r="E74" s="2" t="s">
        <v>243</v>
      </c>
      <c r="F74" s="2" t="s">
        <v>20</v>
      </c>
      <c r="G74" s="2" t="s">
        <v>107</v>
      </c>
      <c r="H74" s="2" t="s">
        <v>244</v>
      </c>
      <c r="I74" s="2" t="s">
        <v>245</v>
      </c>
      <c r="J74" s="3">
        <v>20</v>
      </c>
      <c r="K74" s="2" t="s">
        <v>39</v>
      </c>
      <c r="L74" s="3">
        <v>20</v>
      </c>
      <c r="M74" s="13">
        <v>745920</v>
      </c>
      <c r="N74" s="3">
        <v>0</v>
      </c>
      <c r="O74" s="2" t="s">
        <v>25</v>
      </c>
      <c r="P74" s="2" t="s">
        <v>26</v>
      </c>
      <c r="Q74" s="2" t="s">
        <v>246</v>
      </c>
    </row>
    <row r="75" spans="1:17" x14ac:dyDescent="0.25">
      <c r="A75" s="1">
        <v>46242</v>
      </c>
      <c r="B75" s="1">
        <v>46241</v>
      </c>
      <c r="C75" s="2" t="s">
        <v>247</v>
      </c>
      <c r="D75" s="2" t="s">
        <v>18</v>
      </c>
      <c r="E75" s="2" t="s">
        <v>248</v>
      </c>
      <c r="F75" s="2" t="s">
        <v>20</v>
      </c>
      <c r="G75" s="2" t="s">
        <v>146</v>
      </c>
      <c r="H75" s="2" t="s">
        <v>181</v>
      </c>
      <c r="I75" s="2" t="s">
        <v>182</v>
      </c>
      <c r="J75" s="3">
        <v>16</v>
      </c>
      <c r="K75" s="2" t="s">
        <v>119</v>
      </c>
      <c r="L75" s="3">
        <v>16</v>
      </c>
      <c r="M75" s="13">
        <v>1679999.99</v>
      </c>
      <c r="N75" s="3">
        <v>0</v>
      </c>
      <c r="O75" s="2" t="s">
        <v>25</v>
      </c>
      <c r="P75" s="2" t="s">
        <v>26</v>
      </c>
      <c r="Q75" s="2" t="s">
        <v>29</v>
      </c>
    </row>
    <row r="76" spans="1:17" x14ac:dyDescent="0.25">
      <c r="A76" s="1">
        <v>46242</v>
      </c>
      <c r="B76" s="1">
        <v>46241</v>
      </c>
      <c r="C76" s="2" t="s">
        <v>249</v>
      </c>
      <c r="D76" s="2" t="s">
        <v>18</v>
      </c>
      <c r="E76" s="2" t="s">
        <v>248</v>
      </c>
      <c r="F76" s="2" t="s">
        <v>20</v>
      </c>
      <c r="G76" s="2" t="s">
        <v>146</v>
      </c>
      <c r="H76" s="2" t="s">
        <v>181</v>
      </c>
      <c r="I76" s="2" t="s">
        <v>182</v>
      </c>
      <c r="J76" s="3">
        <v>48</v>
      </c>
      <c r="K76" s="2" t="s">
        <v>119</v>
      </c>
      <c r="L76" s="3">
        <v>48</v>
      </c>
      <c r="M76" s="13">
        <v>5039999.97</v>
      </c>
      <c r="N76" s="3">
        <v>0</v>
      </c>
      <c r="O76" s="2" t="s">
        <v>25</v>
      </c>
      <c r="P76" s="2" t="s">
        <v>26</v>
      </c>
      <c r="Q76" s="2" t="s">
        <v>250</v>
      </c>
    </row>
    <row r="77" spans="1:17" x14ac:dyDescent="0.25">
      <c r="A77" s="1">
        <v>46242</v>
      </c>
      <c r="B77" s="1">
        <v>46241</v>
      </c>
      <c r="C77" s="2" t="s">
        <v>251</v>
      </c>
      <c r="D77" s="2" t="s">
        <v>18</v>
      </c>
      <c r="E77" s="2" t="s">
        <v>252</v>
      </c>
      <c r="F77" s="2" t="s">
        <v>35</v>
      </c>
      <c r="G77" s="2" t="s">
        <v>61</v>
      </c>
      <c r="H77" s="2" t="s">
        <v>43</v>
      </c>
      <c r="I77" s="2" t="s">
        <v>44</v>
      </c>
      <c r="J77" s="3">
        <v>1</v>
      </c>
      <c r="K77" s="2" t="s">
        <v>24</v>
      </c>
      <c r="L77" s="3">
        <v>1</v>
      </c>
      <c r="M77" s="13">
        <v>355200</v>
      </c>
      <c r="N77" s="3">
        <v>0</v>
      </c>
      <c r="O77" s="2" t="s">
        <v>25</v>
      </c>
      <c r="P77" s="2" t="s">
        <v>26</v>
      </c>
      <c r="Q77" s="2" t="s">
        <v>29</v>
      </c>
    </row>
    <row r="78" spans="1:17" x14ac:dyDescent="0.25">
      <c r="A78" s="1">
        <v>46242</v>
      </c>
      <c r="B78" s="1">
        <v>46241</v>
      </c>
      <c r="C78" s="2" t="s">
        <v>253</v>
      </c>
      <c r="D78" s="2" t="s">
        <v>18</v>
      </c>
      <c r="E78" s="2" t="s">
        <v>254</v>
      </c>
      <c r="F78" s="2" t="s">
        <v>20</v>
      </c>
      <c r="G78" s="2" t="s">
        <v>61</v>
      </c>
      <c r="H78" s="2" t="s">
        <v>255</v>
      </c>
      <c r="I78" s="2" t="s">
        <v>256</v>
      </c>
      <c r="J78" s="3">
        <v>30</v>
      </c>
      <c r="K78" s="2" t="s">
        <v>39</v>
      </c>
      <c r="L78" s="3">
        <v>30.42</v>
      </c>
      <c r="M78" s="13">
        <v>10647000</v>
      </c>
      <c r="N78" s="3">
        <v>0.42</v>
      </c>
      <c r="O78" s="2" t="s">
        <v>25</v>
      </c>
      <c r="P78" s="2" t="s">
        <v>26</v>
      </c>
      <c r="Q78" s="2" t="s">
        <v>257</v>
      </c>
    </row>
    <row r="79" spans="1:17" x14ac:dyDescent="0.25">
      <c r="A79" s="1">
        <v>46242</v>
      </c>
      <c r="B79" s="1">
        <v>46241</v>
      </c>
      <c r="C79" s="2" t="s">
        <v>253</v>
      </c>
      <c r="D79" s="2" t="s">
        <v>18</v>
      </c>
      <c r="E79" s="2" t="s">
        <v>254</v>
      </c>
      <c r="F79" s="2" t="s">
        <v>20</v>
      </c>
      <c r="G79" s="2" t="s">
        <v>61</v>
      </c>
      <c r="H79" s="2" t="s">
        <v>49</v>
      </c>
      <c r="I79" s="2" t="s">
        <v>50</v>
      </c>
      <c r="J79" s="3">
        <v>5</v>
      </c>
      <c r="K79" s="2" t="s">
        <v>39</v>
      </c>
      <c r="L79" s="3">
        <v>5</v>
      </c>
      <c r="M79" s="13">
        <v>500000</v>
      </c>
      <c r="N79" s="3">
        <v>0</v>
      </c>
      <c r="O79" s="2" t="s">
        <v>25</v>
      </c>
      <c r="P79" s="2" t="s">
        <v>26</v>
      </c>
      <c r="Q79" s="2" t="s">
        <v>257</v>
      </c>
    </row>
    <row r="80" spans="1:17" x14ac:dyDescent="0.25">
      <c r="A80" s="1">
        <v>46242</v>
      </c>
      <c r="B80" s="1">
        <v>46241</v>
      </c>
      <c r="C80" s="2" t="s">
        <v>258</v>
      </c>
      <c r="D80" s="2" t="s">
        <v>18</v>
      </c>
      <c r="E80" s="2" t="s">
        <v>259</v>
      </c>
      <c r="F80" s="2" t="s">
        <v>20</v>
      </c>
      <c r="G80" s="2" t="s">
        <v>32</v>
      </c>
      <c r="H80" s="2" t="s">
        <v>260</v>
      </c>
      <c r="I80" s="2" t="s">
        <v>261</v>
      </c>
      <c r="J80" s="3">
        <v>2</v>
      </c>
      <c r="K80" s="2" t="s">
        <v>39</v>
      </c>
      <c r="L80" s="3">
        <v>2</v>
      </c>
      <c r="M80" s="13">
        <v>250000</v>
      </c>
      <c r="N80" s="3">
        <v>0</v>
      </c>
      <c r="O80" s="2" t="s">
        <v>25</v>
      </c>
      <c r="P80" s="2" t="s">
        <v>26</v>
      </c>
      <c r="Q80" s="2" t="s">
        <v>29</v>
      </c>
    </row>
    <row r="81" spans="1:17" x14ac:dyDescent="0.25">
      <c r="A81" s="1">
        <v>46242</v>
      </c>
      <c r="B81" s="1">
        <v>46241</v>
      </c>
      <c r="C81" s="2" t="s">
        <v>262</v>
      </c>
      <c r="D81" s="2" t="s">
        <v>18</v>
      </c>
      <c r="E81" s="2" t="s">
        <v>254</v>
      </c>
      <c r="F81" s="2" t="s">
        <v>20</v>
      </c>
      <c r="G81" s="2" t="s">
        <v>61</v>
      </c>
      <c r="H81" s="2" t="s">
        <v>255</v>
      </c>
      <c r="I81" s="2" t="s">
        <v>256</v>
      </c>
      <c r="J81" s="3">
        <v>30</v>
      </c>
      <c r="K81" s="2" t="s">
        <v>39</v>
      </c>
      <c r="L81" s="3">
        <v>33.399900000000002</v>
      </c>
      <c r="M81" s="13">
        <v>11690000</v>
      </c>
      <c r="N81" s="3">
        <v>3.3999000000000001</v>
      </c>
      <c r="O81" s="2" t="s">
        <v>25</v>
      </c>
      <c r="P81" s="2" t="s">
        <v>26</v>
      </c>
      <c r="Q81" s="2" t="s">
        <v>263</v>
      </c>
    </row>
    <row r="82" spans="1:17" x14ac:dyDescent="0.25">
      <c r="A82" s="1">
        <v>46242</v>
      </c>
      <c r="B82" s="1">
        <v>46241</v>
      </c>
      <c r="C82" s="2" t="s">
        <v>262</v>
      </c>
      <c r="D82" s="2" t="s">
        <v>18</v>
      </c>
      <c r="E82" s="2" t="s">
        <v>254</v>
      </c>
      <c r="F82" s="2" t="s">
        <v>20</v>
      </c>
      <c r="G82" s="2" t="s">
        <v>61</v>
      </c>
      <c r="H82" s="2" t="s">
        <v>49</v>
      </c>
      <c r="I82" s="2" t="s">
        <v>50</v>
      </c>
      <c r="J82" s="3">
        <v>5</v>
      </c>
      <c r="K82" s="2" t="s">
        <v>39</v>
      </c>
      <c r="L82" s="3">
        <v>5</v>
      </c>
      <c r="M82" s="13">
        <v>500000</v>
      </c>
      <c r="N82" s="3">
        <v>0</v>
      </c>
      <c r="O82" s="2" t="s">
        <v>25</v>
      </c>
      <c r="P82" s="2" t="s">
        <v>26</v>
      </c>
      <c r="Q82" s="2" t="s">
        <v>263</v>
      </c>
    </row>
    <row r="83" spans="1:17" x14ac:dyDescent="0.25">
      <c r="A83" s="1">
        <v>46242</v>
      </c>
      <c r="B83" s="1">
        <v>46241</v>
      </c>
      <c r="C83" s="2" t="s">
        <v>264</v>
      </c>
      <c r="D83" s="2" t="s">
        <v>18</v>
      </c>
      <c r="E83" s="2" t="s">
        <v>265</v>
      </c>
      <c r="F83" s="2" t="s">
        <v>20</v>
      </c>
      <c r="G83" s="2" t="s">
        <v>21</v>
      </c>
      <c r="H83" s="2" t="s">
        <v>156</v>
      </c>
      <c r="I83" s="2" t="s">
        <v>157</v>
      </c>
      <c r="J83" s="3">
        <v>48</v>
      </c>
      <c r="K83" s="2" t="s">
        <v>149</v>
      </c>
      <c r="L83" s="3">
        <v>48</v>
      </c>
      <c r="M83" s="13">
        <v>2157840</v>
      </c>
      <c r="N83" s="3">
        <v>0</v>
      </c>
      <c r="O83" s="2" t="s">
        <v>25</v>
      </c>
      <c r="P83" s="2" t="s">
        <v>26</v>
      </c>
      <c r="Q83" s="2" t="s">
        <v>29</v>
      </c>
    </row>
    <row r="84" spans="1:17" x14ac:dyDescent="0.25">
      <c r="A84" s="1">
        <v>46242</v>
      </c>
      <c r="B84" s="1">
        <v>46241</v>
      </c>
      <c r="C84" s="2" t="s">
        <v>266</v>
      </c>
      <c r="D84" s="2" t="s">
        <v>18</v>
      </c>
      <c r="E84" s="2" t="s">
        <v>267</v>
      </c>
      <c r="F84" s="2" t="s">
        <v>20</v>
      </c>
      <c r="G84" s="2" t="s">
        <v>42</v>
      </c>
      <c r="H84" s="2" t="s">
        <v>22</v>
      </c>
      <c r="I84" s="2" t="s">
        <v>23</v>
      </c>
      <c r="J84" s="3">
        <v>1</v>
      </c>
      <c r="K84" s="2" t="s">
        <v>24</v>
      </c>
      <c r="L84" s="3">
        <v>1</v>
      </c>
      <c r="M84" s="13">
        <v>290000</v>
      </c>
      <c r="N84" s="3">
        <v>0</v>
      </c>
      <c r="O84" s="2" t="s">
        <v>25</v>
      </c>
      <c r="P84" s="2" t="s">
        <v>26</v>
      </c>
      <c r="Q84" s="2" t="s">
        <v>268</v>
      </c>
    </row>
    <row r="85" spans="1:17" x14ac:dyDescent="0.25">
      <c r="A85" s="1">
        <v>46242</v>
      </c>
      <c r="B85" s="1">
        <v>46241</v>
      </c>
      <c r="C85" s="2" t="s">
        <v>266</v>
      </c>
      <c r="D85" s="2" t="s">
        <v>18</v>
      </c>
      <c r="E85" s="2" t="s">
        <v>267</v>
      </c>
      <c r="F85" s="2" t="s">
        <v>20</v>
      </c>
      <c r="G85" s="2" t="s">
        <v>42</v>
      </c>
      <c r="H85" s="2" t="s">
        <v>43</v>
      </c>
      <c r="I85" s="2" t="s">
        <v>44</v>
      </c>
      <c r="J85" s="3">
        <v>1</v>
      </c>
      <c r="K85" s="2" t="s">
        <v>24</v>
      </c>
      <c r="L85" s="3">
        <v>1</v>
      </c>
      <c r="M85" s="13">
        <v>310000</v>
      </c>
      <c r="N85" s="3">
        <v>0</v>
      </c>
      <c r="O85" s="2" t="s">
        <v>25</v>
      </c>
      <c r="P85" s="2" t="s">
        <v>26</v>
      </c>
      <c r="Q85" s="2" t="s">
        <v>268</v>
      </c>
    </row>
    <row r="86" spans="1:17" x14ac:dyDescent="0.25">
      <c r="A86" s="1">
        <v>46242</v>
      </c>
      <c r="B86" s="1">
        <v>46241</v>
      </c>
      <c r="C86" s="2" t="s">
        <v>269</v>
      </c>
      <c r="D86" s="2" t="s">
        <v>18</v>
      </c>
      <c r="E86" s="2" t="s">
        <v>270</v>
      </c>
      <c r="F86" s="2" t="s">
        <v>20</v>
      </c>
      <c r="G86" s="2" t="s">
        <v>107</v>
      </c>
      <c r="H86" s="2" t="s">
        <v>271</v>
      </c>
      <c r="I86" s="2" t="s">
        <v>272</v>
      </c>
      <c r="J86" s="3">
        <v>6</v>
      </c>
      <c r="K86" s="2" t="s">
        <v>149</v>
      </c>
      <c r="L86" s="3">
        <v>6</v>
      </c>
      <c r="M86" s="13">
        <v>303030</v>
      </c>
      <c r="N86" s="3">
        <v>0</v>
      </c>
      <c r="O86" s="2" t="s">
        <v>25</v>
      </c>
      <c r="P86" s="2" t="s">
        <v>26</v>
      </c>
      <c r="Q86" s="2" t="s">
        <v>29</v>
      </c>
    </row>
    <row r="87" spans="1:17" x14ac:dyDescent="0.25">
      <c r="A87" s="1">
        <v>46242</v>
      </c>
      <c r="B87" s="1">
        <v>46241</v>
      </c>
      <c r="C87" s="2" t="s">
        <v>269</v>
      </c>
      <c r="D87" s="2" t="s">
        <v>18</v>
      </c>
      <c r="E87" s="2" t="s">
        <v>270</v>
      </c>
      <c r="F87" s="2" t="s">
        <v>20</v>
      </c>
      <c r="G87" s="2" t="s">
        <v>107</v>
      </c>
      <c r="H87" s="2" t="s">
        <v>158</v>
      </c>
      <c r="I87" s="2" t="s">
        <v>159</v>
      </c>
      <c r="J87" s="3">
        <v>6</v>
      </c>
      <c r="K87" s="2" t="s">
        <v>149</v>
      </c>
      <c r="L87" s="3">
        <v>6</v>
      </c>
      <c r="M87" s="13">
        <v>303030</v>
      </c>
      <c r="N87" s="3">
        <v>0</v>
      </c>
      <c r="O87" s="2" t="s">
        <v>25</v>
      </c>
      <c r="P87" s="2" t="s">
        <v>26</v>
      </c>
      <c r="Q87" s="2" t="s">
        <v>29</v>
      </c>
    </row>
    <row r="88" spans="1:17" x14ac:dyDescent="0.25">
      <c r="A88" s="1">
        <v>46242</v>
      </c>
      <c r="B88" s="1">
        <v>46241</v>
      </c>
      <c r="C88" s="2" t="s">
        <v>273</v>
      </c>
      <c r="D88" s="2" t="s">
        <v>18</v>
      </c>
      <c r="E88" s="2" t="s">
        <v>274</v>
      </c>
      <c r="F88" s="2" t="s">
        <v>20</v>
      </c>
      <c r="G88" s="2" t="s">
        <v>61</v>
      </c>
      <c r="H88" s="2" t="s">
        <v>22</v>
      </c>
      <c r="I88" s="2" t="s">
        <v>23</v>
      </c>
      <c r="J88" s="3">
        <v>3</v>
      </c>
      <c r="K88" s="2" t="s">
        <v>24</v>
      </c>
      <c r="L88" s="3">
        <v>3</v>
      </c>
      <c r="M88" s="13">
        <v>960000.01</v>
      </c>
      <c r="N88" s="3">
        <v>0</v>
      </c>
      <c r="O88" s="2" t="s">
        <v>25</v>
      </c>
      <c r="P88" s="2" t="s">
        <v>26</v>
      </c>
      <c r="Q88" s="2" t="s">
        <v>29</v>
      </c>
    </row>
    <row r="89" spans="1:17" x14ac:dyDescent="0.25">
      <c r="A89" s="1">
        <v>46242</v>
      </c>
      <c r="B89" s="1">
        <v>46241</v>
      </c>
      <c r="C89" s="2" t="s">
        <v>275</v>
      </c>
      <c r="D89" s="2" t="s">
        <v>18</v>
      </c>
      <c r="E89" s="2" t="s">
        <v>274</v>
      </c>
      <c r="F89" s="2" t="s">
        <v>20</v>
      </c>
      <c r="G89" s="2" t="s">
        <v>61</v>
      </c>
      <c r="H89" s="2" t="s">
        <v>276</v>
      </c>
      <c r="I89" s="2" t="s">
        <v>277</v>
      </c>
      <c r="J89" s="3">
        <v>40</v>
      </c>
      <c r="K89" s="2" t="s">
        <v>39</v>
      </c>
      <c r="L89" s="3">
        <v>40</v>
      </c>
      <c r="M89" s="13">
        <v>5079999.8</v>
      </c>
      <c r="N89" s="3">
        <v>0</v>
      </c>
      <c r="O89" s="2" t="s">
        <v>25</v>
      </c>
      <c r="P89" s="2" t="s">
        <v>26</v>
      </c>
      <c r="Q89" s="2" t="s">
        <v>29</v>
      </c>
    </row>
    <row r="90" spans="1:17" x14ac:dyDescent="0.25">
      <c r="A90" s="1">
        <v>46242</v>
      </c>
      <c r="B90" s="1">
        <v>46241</v>
      </c>
      <c r="C90" s="2" t="s">
        <v>278</v>
      </c>
      <c r="D90" s="2" t="s">
        <v>18</v>
      </c>
      <c r="E90" s="2" t="s">
        <v>279</v>
      </c>
      <c r="F90" s="2" t="s">
        <v>20</v>
      </c>
      <c r="G90" s="2" t="s">
        <v>61</v>
      </c>
      <c r="H90" s="2" t="s">
        <v>43</v>
      </c>
      <c r="I90" s="2" t="s">
        <v>44</v>
      </c>
      <c r="J90" s="3">
        <v>8</v>
      </c>
      <c r="K90" s="2" t="s">
        <v>24</v>
      </c>
      <c r="L90" s="3">
        <v>8</v>
      </c>
      <c r="M90" s="13">
        <v>2322120</v>
      </c>
      <c r="N90" s="3">
        <v>0</v>
      </c>
      <c r="O90" s="2" t="s">
        <v>25</v>
      </c>
      <c r="P90" s="2" t="s">
        <v>26</v>
      </c>
      <c r="Q90" s="2" t="s">
        <v>29</v>
      </c>
    </row>
    <row r="91" spans="1:17" x14ac:dyDescent="0.25">
      <c r="A91" s="1">
        <v>46242</v>
      </c>
      <c r="B91" s="1">
        <v>46241</v>
      </c>
      <c r="C91" s="2" t="s">
        <v>280</v>
      </c>
      <c r="D91" s="2" t="s">
        <v>18</v>
      </c>
      <c r="E91" s="2" t="s">
        <v>279</v>
      </c>
      <c r="F91" s="2" t="s">
        <v>20</v>
      </c>
      <c r="G91" s="2" t="s">
        <v>61</v>
      </c>
      <c r="H91" s="2" t="s">
        <v>276</v>
      </c>
      <c r="I91" s="2" t="s">
        <v>277</v>
      </c>
      <c r="J91" s="3">
        <v>5</v>
      </c>
      <c r="K91" s="2" t="s">
        <v>39</v>
      </c>
      <c r="L91" s="3">
        <v>5</v>
      </c>
      <c r="M91" s="13">
        <v>634999.98</v>
      </c>
      <c r="N91" s="3">
        <v>0</v>
      </c>
      <c r="O91" s="2" t="s">
        <v>25</v>
      </c>
      <c r="P91" s="2" t="s">
        <v>26</v>
      </c>
      <c r="Q91" s="2" t="s">
        <v>29</v>
      </c>
    </row>
    <row r="92" spans="1:17" x14ac:dyDescent="0.25">
      <c r="A92" s="1">
        <v>46242</v>
      </c>
      <c r="B92" s="1">
        <v>46241</v>
      </c>
      <c r="C92" s="2" t="s">
        <v>282</v>
      </c>
      <c r="D92" s="2" t="s">
        <v>18</v>
      </c>
      <c r="E92" s="2" t="s">
        <v>267</v>
      </c>
      <c r="F92" s="2" t="s">
        <v>20</v>
      </c>
      <c r="G92" s="2" t="s">
        <v>42</v>
      </c>
      <c r="H92" s="2" t="s">
        <v>22</v>
      </c>
      <c r="I92" s="2" t="s">
        <v>23</v>
      </c>
      <c r="J92" s="3">
        <v>1</v>
      </c>
      <c r="K92" s="2" t="s">
        <v>24</v>
      </c>
      <c r="L92" s="3">
        <v>1</v>
      </c>
      <c r="M92" s="13">
        <v>290000</v>
      </c>
      <c r="N92" s="3">
        <v>0</v>
      </c>
      <c r="O92" s="2" t="s">
        <v>25</v>
      </c>
      <c r="P92" s="2" t="s">
        <v>26</v>
      </c>
      <c r="Q92" s="2" t="s">
        <v>283</v>
      </c>
    </row>
    <row r="93" spans="1:17" x14ac:dyDescent="0.25">
      <c r="A93" s="1">
        <v>46242</v>
      </c>
      <c r="B93" s="1">
        <v>46241</v>
      </c>
      <c r="C93" s="2" t="s">
        <v>284</v>
      </c>
      <c r="D93" s="2" t="s">
        <v>18</v>
      </c>
      <c r="E93" s="2" t="s">
        <v>285</v>
      </c>
      <c r="F93" s="2" t="s">
        <v>20</v>
      </c>
      <c r="G93" s="2" t="s">
        <v>214</v>
      </c>
      <c r="H93" s="2" t="s">
        <v>286</v>
      </c>
      <c r="I93" s="2" t="s">
        <v>287</v>
      </c>
      <c r="J93" s="3">
        <v>2</v>
      </c>
      <c r="K93" s="2" t="s">
        <v>60</v>
      </c>
      <c r="L93" s="3">
        <v>2</v>
      </c>
      <c r="M93" s="13">
        <v>190920</v>
      </c>
      <c r="N93" s="3">
        <v>0</v>
      </c>
      <c r="O93" s="2" t="s">
        <v>25</v>
      </c>
      <c r="P93" s="2" t="s">
        <v>26</v>
      </c>
      <c r="Q93" s="2" t="s">
        <v>29</v>
      </c>
    </row>
    <row r="94" spans="1:17" x14ac:dyDescent="0.25">
      <c r="A94" s="1">
        <v>46242</v>
      </c>
      <c r="B94" s="1">
        <v>46241</v>
      </c>
      <c r="C94" s="2" t="s">
        <v>288</v>
      </c>
      <c r="D94" s="2" t="s">
        <v>18</v>
      </c>
      <c r="E94" s="2" t="s">
        <v>285</v>
      </c>
      <c r="F94" s="2" t="s">
        <v>20</v>
      </c>
      <c r="G94" s="2" t="s">
        <v>214</v>
      </c>
      <c r="H94" s="2" t="s">
        <v>176</v>
      </c>
      <c r="I94" s="2" t="s">
        <v>177</v>
      </c>
      <c r="J94" s="3">
        <v>2.5</v>
      </c>
      <c r="K94" s="2" t="s">
        <v>39</v>
      </c>
      <c r="L94" s="3">
        <v>2.2999999999999998</v>
      </c>
      <c r="M94" s="13">
        <v>230000</v>
      </c>
      <c r="N94" s="3">
        <v>-0.2</v>
      </c>
      <c r="O94" s="2" t="s">
        <v>25</v>
      </c>
      <c r="P94" s="2" t="s">
        <v>26</v>
      </c>
      <c r="Q94" s="2" t="s">
        <v>29</v>
      </c>
    </row>
    <row r="95" spans="1:17" x14ac:dyDescent="0.25">
      <c r="A95" s="1">
        <v>46242</v>
      </c>
      <c r="B95" s="1">
        <v>46241</v>
      </c>
      <c r="C95" s="2" t="s">
        <v>289</v>
      </c>
      <c r="D95" s="2" t="s">
        <v>18</v>
      </c>
      <c r="E95" s="2" t="s">
        <v>290</v>
      </c>
      <c r="F95" s="2" t="s">
        <v>20</v>
      </c>
      <c r="G95" s="2" t="s">
        <v>28</v>
      </c>
      <c r="H95" s="2" t="s">
        <v>22</v>
      </c>
      <c r="I95" s="2" t="s">
        <v>23</v>
      </c>
      <c r="J95" s="3">
        <v>1</v>
      </c>
      <c r="K95" s="2" t="s">
        <v>24</v>
      </c>
      <c r="L95" s="3">
        <v>1</v>
      </c>
      <c r="M95" s="13">
        <v>280000</v>
      </c>
      <c r="N95" s="3">
        <v>0</v>
      </c>
      <c r="O95" s="2" t="s">
        <v>25</v>
      </c>
      <c r="P95" s="2" t="s">
        <v>26</v>
      </c>
      <c r="Q95" s="2" t="s">
        <v>29</v>
      </c>
    </row>
    <row r="96" spans="1:17" x14ac:dyDescent="0.25">
      <c r="A96" s="1">
        <v>46242</v>
      </c>
      <c r="B96" s="1">
        <v>46241</v>
      </c>
      <c r="C96" s="2" t="s">
        <v>291</v>
      </c>
      <c r="D96" s="2" t="s">
        <v>18</v>
      </c>
      <c r="E96" s="2" t="s">
        <v>292</v>
      </c>
      <c r="F96" s="2" t="s">
        <v>20</v>
      </c>
      <c r="G96" s="2" t="s">
        <v>36</v>
      </c>
      <c r="H96" s="2" t="s">
        <v>293</v>
      </c>
      <c r="I96" s="2" t="s">
        <v>294</v>
      </c>
      <c r="J96" s="3">
        <v>3</v>
      </c>
      <c r="K96" s="2" t="s">
        <v>39</v>
      </c>
      <c r="L96" s="3">
        <v>3</v>
      </c>
      <c r="M96" s="13">
        <v>69000</v>
      </c>
      <c r="N96" s="3">
        <v>0</v>
      </c>
      <c r="O96" s="2" t="s">
        <v>25</v>
      </c>
      <c r="P96" s="2" t="s">
        <v>26</v>
      </c>
      <c r="Q96" s="2" t="s">
        <v>29</v>
      </c>
    </row>
    <row r="97" spans="1:17" x14ac:dyDescent="0.25">
      <c r="A97" s="1">
        <v>46242</v>
      </c>
      <c r="B97" s="1">
        <v>46241</v>
      </c>
      <c r="C97" s="2" t="s">
        <v>291</v>
      </c>
      <c r="D97" s="2" t="s">
        <v>18</v>
      </c>
      <c r="E97" s="2" t="s">
        <v>292</v>
      </c>
      <c r="F97" s="2" t="s">
        <v>20</v>
      </c>
      <c r="G97" s="2" t="s">
        <v>36</v>
      </c>
      <c r="H97" s="2" t="s">
        <v>295</v>
      </c>
      <c r="I97" s="2" t="s">
        <v>296</v>
      </c>
      <c r="J97" s="3">
        <v>2</v>
      </c>
      <c r="K97" s="2" t="s">
        <v>297</v>
      </c>
      <c r="L97" s="3">
        <v>2</v>
      </c>
      <c r="M97" s="13">
        <v>180000</v>
      </c>
      <c r="N97" s="3">
        <v>0</v>
      </c>
      <c r="O97" s="2" t="s">
        <v>25</v>
      </c>
      <c r="P97" s="2" t="s">
        <v>26</v>
      </c>
      <c r="Q97" s="2" t="s">
        <v>29</v>
      </c>
    </row>
    <row r="98" spans="1:17" x14ac:dyDescent="0.25">
      <c r="A98" s="1">
        <v>46242</v>
      </c>
      <c r="B98" s="1">
        <v>46241</v>
      </c>
      <c r="C98" s="2" t="s">
        <v>298</v>
      </c>
      <c r="D98" s="2" t="s">
        <v>18</v>
      </c>
      <c r="E98" s="2" t="s">
        <v>299</v>
      </c>
      <c r="F98" s="2" t="s">
        <v>35</v>
      </c>
      <c r="G98" s="2" t="s">
        <v>107</v>
      </c>
      <c r="H98" s="2" t="s">
        <v>300</v>
      </c>
      <c r="I98" s="2" t="s">
        <v>301</v>
      </c>
      <c r="J98" s="3">
        <v>8</v>
      </c>
      <c r="K98" s="2" t="s">
        <v>39</v>
      </c>
      <c r="L98" s="3">
        <v>6.6</v>
      </c>
      <c r="M98" s="13">
        <v>1155000</v>
      </c>
      <c r="N98" s="3">
        <v>-1.4</v>
      </c>
      <c r="O98" s="2" t="s">
        <v>25</v>
      </c>
      <c r="P98" s="2" t="s">
        <v>26</v>
      </c>
      <c r="Q98" s="2" t="s">
        <v>29</v>
      </c>
    </row>
    <row r="99" spans="1:17" x14ac:dyDescent="0.25">
      <c r="A99" s="1">
        <v>46242</v>
      </c>
      <c r="B99" s="1">
        <v>46241</v>
      </c>
      <c r="C99" s="2" t="s">
        <v>302</v>
      </c>
      <c r="D99" s="2" t="s">
        <v>18</v>
      </c>
      <c r="E99" s="2" t="s">
        <v>303</v>
      </c>
      <c r="F99" s="2" t="s">
        <v>20</v>
      </c>
      <c r="G99" s="2" t="s">
        <v>214</v>
      </c>
      <c r="H99" s="2" t="s">
        <v>76</v>
      </c>
      <c r="I99" s="2" t="s">
        <v>77</v>
      </c>
      <c r="J99" s="3">
        <v>3</v>
      </c>
      <c r="K99" s="2" t="s">
        <v>39</v>
      </c>
      <c r="L99" s="3">
        <v>3.28</v>
      </c>
      <c r="M99" s="13">
        <v>639600</v>
      </c>
      <c r="N99" s="3">
        <v>0.28000000000000003</v>
      </c>
      <c r="O99" s="2" t="s">
        <v>25</v>
      </c>
      <c r="P99" s="2" t="s">
        <v>26</v>
      </c>
      <c r="Q99" s="2" t="s">
        <v>29</v>
      </c>
    </row>
    <row r="100" spans="1:17" x14ac:dyDescent="0.25">
      <c r="A100" s="1">
        <v>46242</v>
      </c>
      <c r="B100" s="1">
        <v>46241</v>
      </c>
      <c r="C100" s="2" t="s">
        <v>304</v>
      </c>
      <c r="D100" s="2" t="s">
        <v>18</v>
      </c>
      <c r="E100" s="2" t="s">
        <v>305</v>
      </c>
      <c r="F100" s="2" t="s">
        <v>20</v>
      </c>
      <c r="G100" s="2" t="s">
        <v>116</v>
      </c>
      <c r="H100" s="2" t="s">
        <v>181</v>
      </c>
      <c r="I100" s="2" t="s">
        <v>182</v>
      </c>
      <c r="J100" s="3">
        <v>8</v>
      </c>
      <c r="K100" s="2" t="s">
        <v>119</v>
      </c>
      <c r="L100" s="3">
        <v>8</v>
      </c>
      <c r="M100" s="13">
        <v>923520</v>
      </c>
      <c r="N100" s="3">
        <v>0</v>
      </c>
      <c r="O100" s="2" t="s">
        <v>25</v>
      </c>
      <c r="P100" s="2" t="s">
        <v>26</v>
      </c>
      <c r="Q100" s="2" t="s">
        <v>29</v>
      </c>
    </row>
    <row r="101" spans="1:17" x14ac:dyDescent="0.25">
      <c r="A101" s="1">
        <v>46242</v>
      </c>
      <c r="B101" s="1">
        <v>46241</v>
      </c>
      <c r="C101" s="2" t="s">
        <v>304</v>
      </c>
      <c r="D101" s="2" t="s">
        <v>18</v>
      </c>
      <c r="E101" s="2" t="s">
        <v>305</v>
      </c>
      <c r="F101" s="2" t="s">
        <v>20</v>
      </c>
      <c r="G101" s="2" t="s">
        <v>116</v>
      </c>
      <c r="H101" s="2" t="s">
        <v>183</v>
      </c>
      <c r="I101" s="2" t="s">
        <v>184</v>
      </c>
      <c r="J101" s="3">
        <v>30</v>
      </c>
      <c r="K101" s="2" t="s">
        <v>119</v>
      </c>
      <c r="L101" s="3">
        <v>30</v>
      </c>
      <c r="M101" s="13">
        <v>2064600</v>
      </c>
      <c r="N101" s="3">
        <v>0</v>
      </c>
      <c r="O101" s="2" t="s">
        <v>25</v>
      </c>
      <c r="P101" s="2" t="s">
        <v>26</v>
      </c>
      <c r="Q101" s="2" t="s">
        <v>29</v>
      </c>
    </row>
    <row r="102" spans="1:17" x14ac:dyDescent="0.25">
      <c r="A102" s="1">
        <v>46242</v>
      </c>
      <c r="B102" s="1">
        <v>46241</v>
      </c>
      <c r="C102" s="2" t="s">
        <v>306</v>
      </c>
      <c r="D102" s="2" t="s">
        <v>18</v>
      </c>
      <c r="E102" s="2" t="s">
        <v>307</v>
      </c>
      <c r="F102" s="2" t="s">
        <v>35</v>
      </c>
      <c r="G102" s="2" t="s">
        <v>131</v>
      </c>
      <c r="H102" s="2" t="s">
        <v>122</v>
      </c>
      <c r="I102" s="2" t="s">
        <v>123</v>
      </c>
      <c r="J102" s="3">
        <v>2</v>
      </c>
      <c r="K102" s="2" t="s">
        <v>119</v>
      </c>
      <c r="L102" s="3">
        <v>2</v>
      </c>
      <c r="M102" s="13">
        <v>128400.01</v>
      </c>
      <c r="N102" s="3">
        <v>0</v>
      </c>
      <c r="O102" s="2" t="s">
        <v>25</v>
      </c>
      <c r="P102" s="2" t="s">
        <v>26</v>
      </c>
      <c r="Q102" s="2" t="s">
        <v>29</v>
      </c>
    </row>
    <row r="103" spans="1:17" x14ac:dyDescent="0.25">
      <c r="A103" s="1">
        <v>46242</v>
      </c>
      <c r="B103" s="1">
        <v>46241</v>
      </c>
      <c r="C103" s="2" t="s">
        <v>306</v>
      </c>
      <c r="D103" s="2" t="s">
        <v>18</v>
      </c>
      <c r="E103" s="2" t="s">
        <v>307</v>
      </c>
      <c r="F103" s="2" t="s">
        <v>35</v>
      </c>
      <c r="G103" s="2" t="s">
        <v>131</v>
      </c>
      <c r="H103" s="2" t="s">
        <v>181</v>
      </c>
      <c r="I103" s="2" t="s">
        <v>182</v>
      </c>
      <c r="J103" s="3">
        <v>2</v>
      </c>
      <c r="K103" s="2" t="s">
        <v>119</v>
      </c>
      <c r="L103" s="3">
        <v>2</v>
      </c>
      <c r="M103" s="13">
        <v>210000</v>
      </c>
      <c r="N103" s="3">
        <v>0</v>
      </c>
      <c r="O103" s="2" t="s">
        <v>25</v>
      </c>
      <c r="P103" s="2" t="s">
        <v>26</v>
      </c>
      <c r="Q103" s="2" t="s">
        <v>29</v>
      </c>
    </row>
    <row r="104" spans="1:17" x14ac:dyDescent="0.25">
      <c r="A104" s="1">
        <v>46242</v>
      </c>
      <c r="B104" s="1">
        <v>46241</v>
      </c>
      <c r="C104" s="2" t="s">
        <v>308</v>
      </c>
      <c r="D104" s="2" t="s">
        <v>18</v>
      </c>
      <c r="E104" s="2" t="s">
        <v>309</v>
      </c>
      <c r="F104" s="2" t="s">
        <v>20</v>
      </c>
      <c r="G104" s="2" t="s">
        <v>131</v>
      </c>
      <c r="H104" s="2" t="s">
        <v>183</v>
      </c>
      <c r="I104" s="2" t="s">
        <v>184</v>
      </c>
      <c r="J104" s="3">
        <v>5</v>
      </c>
      <c r="K104" s="2" t="s">
        <v>119</v>
      </c>
      <c r="L104" s="3">
        <v>5</v>
      </c>
      <c r="M104" s="13">
        <v>299725.02</v>
      </c>
      <c r="N104" s="3">
        <v>0</v>
      </c>
      <c r="O104" s="2" t="s">
        <v>25</v>
      </c>
      <c r="P104" s="2" t="s">
        <v>26</v>
      </c>
      <c r="Q104" s="2" t="s">
        <v>29</v>
      </c>
    </row>
    <row r="105" spans="1:17" x14ac:dyDescent="0.25">
      <c r="A105" s="1">
        <v>46242</v>
      </c>
      <c r="B105" s="1">
        <v>46241</v>
      </c>
      <c r="C105" s="2" t="s">
        <v>308</v>
      </c>
      <c r="D105" s="2" t="s">
        <v>18</v>
      </c>
      <c r="E105" s="2" t="s">
        <v>309</v>
      </c>
      <c r="F105" s="2" t="s">
        <v>20</v>
      </c>
      <c r="G105" s="2" t="s">
        <v>131</v>
      </c>
      <c r="H105" s="2" t="s">
        <v>310</v>
      </c>
      <c r="I105" s="2" t="s">
        <v>311</v>
      </c>
      <c r="J105" s="3">
        <v>2</v>
      </c>
      <c r="K105" s="2" t="s">
        <v>119</v>
      </c>
      <c r="L105" s="3">
        <v>2</v>
      </c>
      <c r="M105" s="13">
        <v>102600</v>
      </c>
      <c r="N105" s="3">
        <v>0</v>
      </c>
      <c r="O105" s="2" t="s">
        <v>25</v>
      </c>
      <c r="P105" s="2" t="s">
        <v>26</v>
      </c>
      <c r="Q105" s="2" t="s">
        <v>29</v>
      </c>
    </row>
    <row r="106" spans="1:17" x14ac:dyDescent="0.25">
      <c r="A106" s="1">
        <v>46242</v>
      </c>
      <c r="B106" s="1">
        <v>46241</v>
      </c>
      <c r="C106" s="2" t="s">
        <v>314</v>
      </c>
      <c r="D106" s="2" t="s">
        <v>18</v>
      </c>
      <c r="E106" s="2" t="s">
        <v>312</v>
      </c>
      <c r="F106" s="2" t="s">
        <v>20</v>
      </c>
      <c r="G106" s="2" t="s">
        <v>313</v>
      </c>
      <c r="H106" s="2" t="s">
        <v>276</v>
      </c>
      <c r="I106" s="2" t="s">
        <v>277</v>
      </c>
      <c r="J106" s="3">
        <v>5</v>
      </c>
      <c r="K106" s="2" t="s">
        <v>39</v>
      </c>
      <c r="L106" s="3">
        <v>5</v>
      </c>
      <c r="M106" s="13">
        <v>612000</v>
      </c>
      <c r="N106" s="3">
        <v>0</v>
      </c>
      <c r="O106" s="2" t="s">
        <v>25</v>
      </c>
      <c r="P106" s="2" t="s">
        <v>26</v>
      </c>
      <c r="Q106" s="2" t="s">
        <v>29</v>
      </c>
    </row>
    <row r="107" spans="1:17" x14ac:dyDescent="0.25">
      <c r="A107" s="1">
        <v>46242</v>
      </c>
      <c r="B107" s="1">
        <v>46241</v>
      </c>
      <c r="C107" s="2" t="s">
        <v>315</v>
      </c>
      <c r="D107" s="2" t="s">
        <v>18</v>
      </c>
      <c r="E107" s="2" t="s">
        <v>316</v>
      </c>
      <c r="F107" s="2" t="s">
        <v>20</v>
      </c>
      <c r="G107" s="2" t="s">
        <v>313</v>
      </c>
      <c r="H107" s="2" t="s">
        <v>276</v>
      </c>
      <c r="I107" s="2" t="s">
        <v>277</v>
      </c>
      <c r="J107" s="3">
        <v>10</v>
      </c>
      <c r="K107" s="2" t="s">
        <v>39</v>
      </c>
      <c r="L107" s="3">
        <v>10</v>
      </c>
      <c r="M107" s="13">
        <v>1224000</v>
      </c>
      <c r="N107" s="3">
        <v>0</v>
      </c>
      <c r="O107" s="2" t="s">
        <v>25</v>
      </c>
      <c r="P107" s="2" t="s">
        <v>26</v>
      </c>
      <c r="Q107" s="2" t="s">
        <v>29</v>
      </c>
    </row>
    <row r="108" spans="1:17" x14ac:dyDescent="0.25">
      <c r="A108" s="1">
        <v>46242</v>
      </c>
      <c r="B108" s="1">
        <v>46241</v>
      </c>
      <c r="C108" s="2" t="s">
        <v>315</v>
      </c>
      <c r="D108" s="2" t="s">
        <v>18</v>
      </c>
      <c r="E108" s="2" t="s">
        <v>316</v>
      </c>
      <c r="F108" s="2" t="s">
        <v>20</v>
      </c>
      <c r="G108" s="2" t="s">
        <v>313</v>
      </c>
      <c r="H108" s="2" t="s">
        <v>317</v>
      </c>
      <c r="I108" s="2" t="s">
        <v>318</v>
      </c>
      <c r="J108" s="3">
        <v>5</v>
      </c>
      <c r="K108" s="2" t="s">
        <v>39</v>
      </c>
      <c r="L108" s="3">
        <v>7.38</v>
      </c>
      <c r="M108" s="13">
        <v>1099620</v>
      </c>
      <c r="N108" s="3">
        <v>2.38</v>
      </c>
      <c r="O108" s="2" t="s">
        <v>25</v>
      </c>
      <c r="P108" s="2" t="s">
        <v>26</v>
      </c>
      <c r="Q108" s="2" t="s">
        <v>29</v>
      </c>
    </row>
    <row r="109" spans="1:17" x14ac:dyDescent="0.25">
      <c r="A109" s="1">
        <v>46242</v>
      </c>
      <c r="B109" s="1">
        <v>46241</v>
      </c>
      <c r="C109" s="2" t="s">
        <v>319</v>
      </c>
      <c r="D109" s="2" t="s">
        <v>18</v>
      </c>
      <c r="E109" s="2" t="s">
        <v>320</v>
      </c>
      <c r="F109" s="2" t="s">
        <v>20</v>
      </c>
      <c r="G109" s="2" t="s">
        <v>107</v>
      </c>
      <c r="H109" s="2" t="s">
        <v>37</v>
      </c>
      <c r="I109" s="2" t="s">
        <v>38</v>
      </c>
      <c r="J109" s="3">
        <v>20</v>
      </c>
      <c r="K109" s="2" t="s">
        <v>39</v>
      </c>
      <c r="L109" s="3">
        <v>20</v>
      </c>
      <c r="M109" s="13">
        <v>725940</v>
      </c>
      <c r="N109" s="3">
        <v>0</v>
      </c>
      <c r="O109" s="2" t="s">
        <v>25</v>
      </c>
      <c r="P109" s="2" t="s">
        <v>26</v>
      </c>
      <c r="Q109" s="2" t="s">
        <v>29</v>
      </c>
    </row>
    <row r="110" spans="1:17" x14ac:dyDescent="0.25">
      <c r="A110" s="1">
        <v>46242</v>
      </c>
      <c r="B110" s="1">
        <v>46241</v>
      </c>
      <c r="C110" s="2" t="s">
        <v>321</v>
      </c>
      <c r="D110" s="2" t="s">
        <v>18</v>
      </c>
      <c r="E110" s="2" t="s">
        <v>322</v>
      </c>
      <c r="F110" s="2" t="s">
        <v>20</v>
      </c>
      <c r="G110" s="2" t="s">
        <v>36</v>
      </c>
      <c r="H110" s="2" t="s">
        <v>176</v>
      </c>
      <c r="I110" s="2" t="s">
        <v>177</v>
      </c>
      <c r="J110" s="3">
        <v>4.5999999999999996</v>
      </c>
      <c r="K110" s="2" t="s">
        <v>39</v>
      </c>
      <c r="L110" s="3">
        <v>4.5999999999999996</v>
      </c>
      <c r="M110" s="13">
        <v>483000.03</v>
      </c>
      <c r="N110" s="3">
        <v>0</v>
      </c>
      <c r="O110" s="2" t="s">
        <v>25</v>
      </c>
      <c r="P110" s="2" t="s">
        <v>26</v>
      </c>
      <c r="Q110" s="2" t="s">
        <v>323</v>
      </c>
    </row>
    <row r="111" spans="1:17" x14ac:dyDescent="0.25">
      <c r="A111" s="1">
        <v>46242</v>
      </c>
      <c r="B111" s="1">
        <v>46241</v>
      </c>
      <c r="C111" s="2" t="s">
        <v>321</v>
      </c>
      <c r="D111" s="2" t="s">
        <v>18</v>
      </c>
      <c r="E111" s="2" t="s">
        <v>322</v>
      </c>
      <c r="F111" s="2" t="s">
        <v>20</v>
      </c>
      <c r="G111" s="2" t="s">
        <v>36</v>
      </c>
      <c r="H111" s="2" t="s">
        <v>324</v>
      </c>
      <c r="I111" s="2" t="s">
        <v>325</v>
      </c>
      <c r="J111" s="3">
        <v>2</v>
      </c>
      <c r="K111" s="2" t="s">
        <v>149</v>
      </c>
      <c r="L111" s="3">
        <v>2</v>
      </c>
      <c r="M111" s="13">
        <v>100000.01</v>
      </c>
      <c r="N111" s="3">
        <v>0</v>
      </c>
      <c r="O111" s="2" t="s">
        <v>25</v>
      </c>
      <c r="P111" s="2" t="s">
        <v>26</v>
      </c>
      <c r="Q111" s="2" t="s">
        <v>323</v>
      </c>
    </row>
    <row r="112" spans="1:17" x14ac:dyDescent="0.25">
      <c r="A112" s="1">
        <v>46242</v>
      </c>
      <c r="B112" s="1">
        <v>46241</v>
      </c>
      <c r="C112" s="2" t="s">
        <v>321</v>
      </c>
      <c r="D112" s="2" t="s">
        <v>18</v>
      </c>
      <c r="E112" s="2" t="s">
        <v>322</v>
      </c>
      <c r="F112" s="2" t="s">
        <v>20</v>
      </c>
      <c r="G112" s="2" t="s">
        <v>36</v>
      </c>
      <c r="H112" s="2" t="s">
        <v>326</v>
      </c>
      <c r="I112" s="2" t="s">
        <v>327</v>
      </c>
      <c r="J112" s="3">
        <v>2</v>
      </c>
      <c r="K112" s="2" t="s">
        <v>149</v>
      </c>
      <c r="L112" s="3">
        <v>2</v>
      </c>
      <c r="M112" s="13">
        <v>100000.01</v>
      </c>
      <c r="N112" s="3">
        <v>0</v>
      </c>
      <c r="O112" s="2" t="s">
        <v>25</v>
      </c>
      <c r="P112" s="2" t="s">
        <v>26</v>
      </c>
      <c r="Q112" s="2" t="s">
        <v>323</v>
      </c>
    </row>
    <row r="113" spans="1:17" x14ac:dyDescent="0.25">
      <c r="A113" s="1">
        <v>46242</v>
      </c>
      <c r="B113" s="1">
        <v>46241</v>
      </c>
      <c r="C113" s="2" t="s">
        <v>328</v>
      </c>
      <c r="D113" s="2" t="s">
        <v>18</v>
      </c>
      <c r="E113" s="2" t="s">
        <v>329</v>
      </c>
      <c r="F113" s="2" t="s">
        <v>35</v>
      </c>
      <c r="G113" s="2" t="s">
        <v>32</v>
      </c>
      <c r="H113" s="2" t="s">
        <v>330</v>
      </c>
      <c r="I113" s="2" t="s">
        <v>331</v>
      </c>
      <c r="J113" s="3">
        <v>2</v>
      </c>
      <c r="K113" s="2" t="s">
        <v>39</v>
      </c>
      <c r="L113" s="3">
        <v>2.5</v>
      </c>
      <c r="M113" s="13">
        <v>300000.01</v>
      </c>
      <c r="N113" s="3">
        <v>0.5</v>
      </c>
      <c r="O113" s="2" t="s">
        <v>25</v>
      </c>
      <c r="P113" s="2" t="s">
        <v>26</v>
      </c>
      <c r="Q113" s="2" t="s">
        <v>332</v>
      </c>
    </row>
    <row r="114" spans="1:17" x14ac:dyDescent="0.25">
      <c r="A114" s="1">
        <v>46242</v>
      </c>
      <c r="B114" s="1">
        <v>46241</v>
      </c>
      <c r="C114" s="2" t="s">
        <v>333</v>
      </c>
      <c r="D114" s="2" t="s">
        <v>18</v>
      </c>
      <c r="E114" s="2" t="s">
        <v>82</v>
      </c>
      <c r="F114" s="2" t="s">
        <v>20</v>
      </c>
      <c r="G114" s="2" t="s">
        <v>32</v>
      </c>
      <c r="H114" s="2" t="s">
        <v>22</v>
      </c>
      <c r="I114" s="2" t="s">
        <v>23</v>
      </c>
      <c r="J114" s="3">
        <v>1</v>
      </c>
      <c r="K114" s="2" t="s">
        <v>24</v>
      </c>
      <c r="L114" s="3">
        <v>1</v>
      </c>
      <c r="M114" s="13">
        <v>300000</v>
      </c>
      <c r="N114" s="3">
        <v>0</v>
      </c>
      <c r="O114" s="2" t="s">
        <v>25</v>
      </c>
      <c r="P114" s="2" t="s">
        <v>26</v>
      </c>
      <c r="Q114" s="2" t="s">
        <v>334</v>
      </c>
    </row>
    <row r="115" spans="1:17" x14ac:dyDescent="0.25">
      <c r="A115" s="1">
        <v>46242</v>
      </c>
      <c r="B115" s="1">
        <v>46241</v>
      </c>
      <c r="C115" s="2" t="s">
        <v>333</v>
      </c>
      <c r="D115" s="2" t="s">
        <v>18</v>
      </c>
      <c r="E115" s="2" t="s">
        <v>82</v>
      </c>
      <c r="F115" s="2" t="s">
        <v>20</v>
      </c>
      <c r="G115" s="2" t="s">
        <v>32</v>
      </c>
      <c r="H115" s="2" t="s">
        <v>43</v>
      </c>
      <c r="I115" s="2" t="s">
        <v>44</v>
      </c>
      <c r="J115" s="3">
        <v>1</v>
      </c>
      <c r="K115" s="2" t="s">
        <v>24</v>
      </c>
      <c r="L115" s="3">
        <v>1</v>
      </c>
      <c r="M115" s="13">
        <v>304999.99</v>
      </c>
      <c r="N115" s="3">
        <v>0</v>
      </c>
      <c r="O115" s="2" t="s">
        <v>25</v>
      </c>
      <c r="P115" s="2" t="s">
        <v>26</v>
      </c>
      <c r="Q115" s="2" t="s">
        <v>334</v>
      </c>
    </row>
    <row r="116" spans="1:17" x14ac:dyDescent="0.25">
      <c r="A116" s="1">
        <v>46242</v>
      </c>
      <c r="B116" s="1">
        <v>46241</v>
      </c>
      <c r="C116" s="2" t="s">
        <v>335</v>
      </c>
      <c r="D116" s="2" t="s">
        <v>18</v>
      </c>
      <c r="E116" s="2" t="s">
        <v>175</v>
      </c>
      <c r="F116" s="2" t="s">
        <v>20</v>
      </c>
      <c r="G116" s="2" t="s">
        <v>32</v>
      </c>
      <c r="H116" s="2" t="s">
        <v>49</v>
      </c>
      <c r="I116" s="2" t="s">
        <v>50</v>
      </c>
      <c r="J116" s="3">
        <v>2.5</v>
      </c>
      <c r="K116" s="2" t="s">
        <v>39</v>
      </c>
      <c r="L116" s="3">
        <v>2.5</v>
      </c>
      <c r="M116" s="13">
        <v>262500</v>
      </c>
      <c r="N116" s="3">
        <v>0</v>
      </c>
      <c r="O116" s="2" t="s">
        <v>25</v>
      </c>
      <c r="P116" s="2" t="s">
        <v>26</v>
      </c>
      <c r="Q116" s="2" t="s">
        <v>29</v>
      </c>
    </row>
    <row r="117" spans="1:17" x14ac:dyDescent="0.25">
      <c r="A117" s="1">
        <v>46242</v>
      </c>
      <c r="B117" s="1">
        <v>46241</v>
      </c>
      <c r="C117" s="2" t="s">
        <v>336</v>
      </c>
      <c r="D117" s="2" t="s">
        <v>18</v>
      </c>
      <c r="E117" s="2" t="s">
        <v>337</v>
      </c>
      <c r="F117" s="2" t="s">
        <v>20</v>
      </c>
      <c r="G117" s="2" t="s">
        <v>57</v>
      </c>
      <c r="H117" s="2" t="s">
        <v>22</v>
      </c>
      <c r="I117" s="2" t="s">
        <v>23</v>
      </c>
      <c r="J117" s="3">
        <v>2</v>
      </c>
      <c r="K117" s="2" t="s">
        <v>24</v>
      </c>
      <c r="L117" s="3">
        <v>2</v>
      </c>
      <c r="M117" s="13">
        <v>612000</v>
      </c>
      <c r="N117" s="3">
        <v>0</v>
      </c>
      <c r="O117" s="2" t="s">
        <v>25</v>
      </c>
      <c r="P117" s="2" t="s">
        <v>26</v>
      </c>
      <c r="Q117" s="2" t="s">
        <v>29</v>
      </c>
    </row>
    <row r="118" spans="1:17" x14ac:dyDescent="0.25">
      <c r="A118" s="1">
        <v>46242</v>
      </c>
      <c r="B118" s="1">
        <v>46241</v>
      </c>
      <c r="C118" s="2" t="s">
        <v>338</v>
      </c>
      <c r="D118" s="2" t="s">
        <v>18</v>
      </c>
      <c r="E118" s="2" t="s">
        <v>339</v>
      </c>
      <c r="F118" s="2" t="s">
        <v>20</v>
      </c>
      <c r="G118" s="2" t="s">
        <v>42</v>
      </c>
      <c r="H118" s="2" t="s">
        <v>43</v>
      </c>
      <c r="I118" s="2" t="s">
        <v>44</v>
      </c>
      <c r="J118" s="3">
        <v>4</v>
      </c>
      <c r="K118" s="2" t="s">
        <v>24</v>
      </c>
      <c r="L118" s="3">
        <v>4</v>
      </c>
      <c r="M118" s="13">
        <v>1240000</v>
      </c>
      <c r="N118" s="3">
        <v>0</v>
      </c>
      <c r="O118" s="2" t="s">
        <v>25</v>
      </c>
      <c r="P118" s="2" t="s">
        <v>26</v>
      </c>
      <c r="Q118" s="2" t="s">
        <v>29</v>
      </c>
    </row>
    <row r="119" spans="1:17" x14ac:dyDescent="0.25">
      <c r="A119" s="1">
        <v>46242</v>
      </c>
      <c r="B119" s="1">
        <v>46241</v>
      </c>
      <c r="C119" s="2" t="s">
        <v>338</v>
      </c>
      <c r="D119" s="2" t="s">
        <v>18</v>
      </c>
      <c r="E119" s="2" t="s">
        <v>339</v>
      </c>
      <c r="F119" s="2" t="s">
        <v>20</v>
      </c>
      <c r="G119" s="2" t="s">
        <v>42</v>
      </c>
      <c r="H119" s="2" t="s">
        <v>70</v>
      </c>
      <c r="I119" s="2" t="s">
        <v>71</v>
      </c>
      <c r="J119" s="3">
        <v>2</v>
      </c>
      <c r="K119" s="2" t="s">
        <v>24</v>
      </c>
      <c r="L119" s="3">
        <v>2</v>
      </c>
      <c r="M119" s="13">
        <v>570000</v>
      </c>
      <c r="N119" s="3">
        <v>0</v>
      </c>
      <c r="O119" s="2" t="s">
        <v>25</v>
      </c>
      <c r="P119" s="2" t="s">
        <v>26</v>
      </c>
      <c r="Q119" s="2" t="s">
        <v>29</v>
      </c>
    </row>
    <row r="120" spans="1:17" x14ac:dyDescent="0.25">
      <c r="A120" s="1">
        <v>46242</v>
      </c>
      <c r="B120" s="1">
        <v>46241</v>
      </c>
      <c r="C120" s="2" t="s">
        <v>340</v>
      </c>
      <c r="D120" s="2" t="s">
        <v>18</v>
      </c>
      <c r="E120" s="2" t="s">
        <v>341</v>
      </c>
      <c r="F120" s="2" t="s">
        <v>20</v>
      </c>
      <c r="G120" s="2" t="s">
        <v>57</v>
      </c>
      <c r="H120" s="2" t="s">
        <v>22</v>
      </c>
      <c r="I120" s="2" t="s">
        <v>23</v>
      </c>
      <c r="J120" s="3">
        <v>1</v>
      </c>
      <c r="K120" s="2" t="s">
        <v>24</v>
      </c>
      <c r="L120" s="3">
        <v>1</v>
      </c>
      <c r="M120" s="13">
        <v>327450</v>
      </c>
      <c r="N120" s="3">
        <v>0</v>
      </c>
      <c r="O120" s="2" t="s">
        <v>25</v>
      </c>
      <c r="P120" s="2" t="s">
        <v>26</v>
      </c>
      <c r="Q120" s="2" t="s">
        <v>29</v>
      </c>
    </row>
    <row r="121" spans="1:17" x14ac:dyDescent="0.25">
      <c r="A121" s="1">
        <v>46242</v>
      </c>
      <c r="B121" s="1">
        <v>46241</v>
      </c>
      <c r="C121" s="2" t="s">
        <v>342</v>
      </c>
      <c r="D121" s="2" t="s">
        <v>18</v>
      </c>
      <c r="E121" s="2" t="s">
        <v>343</v>
      </c>
      <c r="F121" s="2" t="s">
        <v>35</v>
      </c>
      <c r="G121" s="2" t="s">
        <v>61</v>
      </c>
      <c r="H121" s="2" t="s">
        <v>344</v>
      </c>
      <c r="I121" s="2" t="s">
        <v>345</v>
      </c>
      <c r="J121" s="3">
        <v>15</v>
      </c>
      <c r="K121" s="2" t="s">
        <v>39</v>
      </c>
      <c r="L121" s="3">
        <v>15.6099</v>
      </c>
      <c r="M121" s="13">
        <v>2263450</v>
      </c>
      <c r="N121" s="3">
        <v>0.6099</v>
      </c>
      <c r="O121" s="2" t="s">
        <v>25</v>
      </c>
      <c r="P121" s="2" t="s">
        <v>26</v>
      </c>
      <c r="Q121" s="2" t="s">
        <v>29</v>
      </c>
    </row>
    <row r="122" spans="1:17" x14ac:dyDescent="0.25">
      <c r="A122" s="1">
        <v>46242</v>
      </c>
      <c r="B122" s="1">
        <v>46241</v>
      </c>
      <c r="C122" s="2" t="s">
        <v>346</v>
      </c>
      <c r="D122" s="2" t="s">
        <v>18</v>
      </c>
      <c r="E122" s="2" t="s">
        <v>347</v>
      </c>
      <c r="F122" s="2" t="s">
        <v>20</v>
      </c>
      <c r="G122" s="2" t="s">
        <v>214</v>
      </c>
      <c r="H122" s="2" t="s">
        <v>317</v>
      </c>
      <c r="I122" s="2" t="s">
        <v>318</v>
      </c>
      <c r="J122" s="3">
        <v>6</v>
      </c>
      <c r="K122" s="2" t="s">
        <v>39</v>
      </c>
      <c r="L122" s="3">
        <v>4</v>
      </c>
      <c r="M122" s="13">
        <v>648000</v>
      </c>
      <c r="N122" s="3">
        <v>-2</v>
      </c>
      <c r="O122" s="2" t="s">
        <v>25</v>
      </c>
      <c r="P122" s="2" t="s">
        <v>26</v>
      </c>
      <c r="Q122" s="2" t="s">
        <v>29</v>
      </c>
    </row>
    <row r="123" spans="1:17" x14ac:dyDescent="0.25">
      <c r="A123" s="1">
        <v>46242</v>
      </c>
      <c r="B123" s="1">
        <v>46241</v>
      </c>
      <c r="C123" s="2" t="s">
        <v>348</v>
      </c>
      <c r="D123" s="2" t="s">
        <v>18</v>
      </c>
      <c r="E123" s="2" t="s">
        <v>349</v>
      </c>
      <c r="F123" s="2" t="s">
        <v>35</v>
      </c>
      <c r="G123" s="2" t="s">
        <v>192</v>
      </c>
      <c r="H123" s="2" t="s">
        <v>156</v>
      </c>
      <c r="I123" s="2" t="s">
        <v>157</v>
      </c>
      <c r="J123" s="3">
        <v>2</v>
      </c>
      <c r="K123" s="2" t="s">
        <v>149</v>
      </c>
      <c r="L123" s="3">
        <v>2</v>
      </c>
      <c r="M123" s="13">
        <v>89910</v>
      </c>
      <c r="N123" s="3">
        <v>0</v>
      </c>
      <c r="O123" s="2" t="s">
        <v>25</v>
      </c>
      <c r="P123" s="2" t="s">
        <v>26</v>
      </c>
      <c r="Q123" s="2" t="s">
        <v>29</v>
      </c>
    </row>
    <row r="124" spans="1:17" x14ac:dyDescent="0.25">
      <c r="A124" s="1">
        <v>46242</v>
      </c>
      <c r="B124" s="1">
        <v>46241</v>
      </c>
      <c r="C124" s="2" t="s">
        <v>348</v>
      </c>
      <c r="D124" s="2" t="s">
        <v>18</v>
      </c>
      <c r="E124" s="2" t="s">
        <v>349</v>
      </c>
      <c r="F124" s="2" t="s">
        <v>35</v>
      </c>
      <c r="G124" s="2" t="s">
        <v>192</v>
      </c>
      <c r="H124" s="2" t="s">
        <v>271</v>
      </c>
      <c r="I124" s="2" t="s">
        <v>272</v>
      </c>
      <c r="J124" s="3">
        <v>3</v>
      </c>
      <c r="K124" s="2" t="s">
        <v>149</v>
      </c>
      <c r="L124" s="3">
        <v>3</v>
      </c>
      <c r="M124" s="13">
        <v>151515</v>
      </c>
      <c r="N124" s="3">
        <v>0</v>
      </c>
      <c r="O124" s="2" t="s">
        <v>25</v>
      </c>
      <c r="P124" s="2" t="s">
        <v>26</v>
      </c>
      <c r="Q124" s="2" t="s">
        <v>29</v>
      </c>
    </row>
    <row r="125" spans="1:17" x14ac:dyDescent="0.25">
      <c r="A125" s="1">
        <v>46242</v>
      </c>
      <c r="B125" s="1">
        <v>46241</v>
      </c>
      <c r="C125" s="2" t="s">
        <v>348</v>
      </c>
      <c r="D125" s="2" t="s">
        <v>18</v>
      </c>
      <c r="E125" s="2" t="s">
        <v>349</v>
      </c>
      <c r="F125" s="2" t="s">
        <v>35</v>
      </c>
      <c r="G125" s="2" t="s">
        <v>192</v>
      </c>
      <c r="H125" s="2" t="s">
        <v>158</v>
      </c>
      <c r="I125" s="2" t="s">
        <v>159</v>
      </c>
      <c r="J125" s="3">
        <v>3</v>
      </c>
      <c r="K125" s="2" t="s">
        <v>149</v>
      </c>
      <c r="L125" s="3">
        <v>3</v>
      </c>
      <c r="M125" s="13">
        <v>151515</v>
      </c>
      <c r="N125" s="3">
        <v>0</v>
      </c>
      <c r="O125" s="2" t="s">
        <v>25</v>
      </c>
      <c r="P125" s="2" t="s">
        <v>26</v>
      </c>
      <c r="Q125" s="2" t="s">
        <v>29</v>
      </c>
    </row>
    <row r="126" spans="1:17" x14ac:dyDescent="0.25">
      <c r="A126" s="1">
        <v>46242</v>
      </c>
      <c r="B126" s="1">
        <v>46241</v>
      </c>
      <c r="C126" s="2" t="s">
        <v>350</v>
      </c>
      <c r="D126" s="2" t="s">
        <v>18</v>
      </c>
      <c r="E126" s="2" t="s">
        <v>351</v>
      </c>
      <c r="F126" s="2" t="s">
        <v>20</v>
      </c>
      <c r="G126" s="2" t="s">
        <v>107</v>
      </c>
      <c r="H126" s="2" t="s">
        <v>317</v>
      </c>
      <c r="I126" s="2" t="s">
        <v>318</v>
      </c>
      <c r="J126" s="3">
        <v>4</v>
      </c>
      <c r="K126" s="2" t="s">
        <v>39</v>
      </c>
      <c r="L126" s="3">
        <v>4.96</v>
      </c>
      <c r="M126" s="13">
        <v>783680</v>
      </c>
      <c r="N126" s="3">
        <v>0.96</v>
      </c>
      <c r="O126" s="2" t="s">
        <v>25</v>
      </c>
      <c r="P126" s="2" t="s">
        <v>26</v>
      </c>
      <c r="Q126" s="2" t="s">
        <v>29</v>
      </c>
    </row>
    <row r="127" spans="1:17" x14ac:dyDescent="0.25">
      <c r="A127" s="1">
        <v>46242</v>
      </c>
      <c r="B127" s="1">
        <v>46241</v>
      </c>
      <c r="C127" s="2" t="s">
        <v>350</v>
      </c>
      <c r="D127" s="2" t="s">
        <v>18</v>
      </c>
      <c r="E127" s="2" t="s">
        <v>351</v>
      </c>
      <c r="F127" s="2" t="s">
        <v>20</v>
      </c>
      <c r="G127" s="2" t="s">
        <v>107</v>
      </c>
      <c r="H127" s="2" t="s">
        <v>102</v>
      </c>
      <c r="I127" s="2" t="s">
        <v>103</v>
      </c>
      <c r="J127" s="3">
        <v>6</v>
      </c>
      <c r="K127" s="2" t="s">
        <v>39</v>
      </c>
      <c r="L127" s="3">
        <v>6.37</v>
      </c>
      <c r="M127" s="13">
        <v>2739100</v>
      </c>
      <c r="N127" s="3">
        <v>0.37</v>
      </c>
      <c r="O127" s="2" t="s">
        <v>25</v>
      </c>
      <c r="P127" s="2" t="s">
        <v>26</v>
      </c>
      <c r="Q127" s="2" t="s">
        <v>29</v>
      </c>
    </row>
    <row r="128" spans="1:17" x14ac:dyDescent="0.25">
      <c r="A128" s="1">
        <v>46242</v>
      </c>
      <c r="B128" s="1">
        <v>46241</v>
      </c>
      <c r="C128" s="2" t="s">
        <v>352</v>
      </c>
      <c r="D128" s="2" t="s">
        <v>18</v>
      </c>
      <c r="E128" s="2" t="s">
        <v>353</v>
      </c>
      <c r="F128" s="2" t="s">
        <v>20</v>
      </c>
      <c r="G128" s="2" t="s">
        <v>107</v>
      </c>
      <c r="H128" s="2" t="s">
        <v>102</v>
      </c>
      <c r="I128" s="2" t="s">
        <v>103</v>
      </c>
      <c r="J128" s="3">
        <v>2</v>
      </c>
      <c r="K128" s="2" t="s">
        <v>39</v>
      </c>
      <c r="L128" s="3">
        <v>2.16</v>
      </c>
      <c r="M128" s="13">
        <v>734400</v>
      </c>
      <c r="N128" s="3">
        <v>0.16</v>
      </c>
      <c r="O128" s="2" t="s">
        <v>25</v>
      </c>
      <c r="P128" s="2" t="s">
        <v>26</v>
      </c>
      <c r="Q128" s="2" t="s">
        <v>332</v>
      </c>
    </row>
    <row r="129" spans="1:17" x14ac:dyDescent="0.25">
      <c r="A129" s="1">
        <v>46242</v>
      </c>
      <c r="B129" s="1">
        <v>46241</v>
      </c>
      <c r="C129" s="2" t="s">
        <v>354</v>
      </c>
      <c r="D129" s="2" t="s">
        <v>18</v>
      </c>
      <c r="E129" s="2" t="s">
        <v>355</v>
      </c>
      <c r="F129" s="2" t="s">
        <v>20</v>
      </c>
      <c r="G129" s="2" t="s">
        <v>234</v>
      </c>
      <c r="H129" s="2" t="s">
        <v>356</v>
      </c>
      <c r="I129" s="2" t="s">
        <v>357</v>
      </c>
      <c r="J129" s="3">
        <v>3</v>
      </c>
      <c r="K129" s="2" t="s">
        <v>297</v>
      </c>
      <c r="L129" s="3">
        <v>2</v>
      </c>
      <c r="M129" s="13">
        <v>1340000</v>
      </c>
      <c r="N129" s="3">
        <v>-1</v>
      </c>
      <c r="O129" s="2" t="s">
        <v>25</v>
      </c>
      <c r="P129" s="2" t="s">
        <v>26</v>
      </c>
      <c r="Q129" s="2" t="s">
        <v>29</v>
      </c>
    </row>
    <row r="130" spans="1:17" x14ac:dyDescent="0.25">
      <c r="A130" s="1">
        <v>46242</v>
      </c>
      <c r="B130" s="1">
        <v>46241</v>
      </c>
      <c r="C130" s="2" t="s">
        <v>358</v>
      </c>
      <c r="D130" s="2" t="s">
        <v>18</v>
      </c>
      <c r="E130" s="2" t="s">
        <v>359</v>
      </c>
      <c r="F130" s="2" t="s">
        <v>20</v>
      </c>
      <c r="G130" s="2" t="s">
        <v>141</v>
      </c>
      <c r="H130" s="2" t="s">
        <v>132</v>
      </c>
      <c r="I130" s="2" t="s">
        <v>133</v>
      </c>
      <c r="J130" s="3">
        <v>18</v>
      </c>
      <c r="K130" s="2" t="s">
        <v>119</v>
      </c>
      <c r="L130" s="3">
        <v>18</v>
      </c>
      <c r="M130" s="13">
        <v>785699.92</v>
      </c>
      <c r="N130" s="3">
        <v>0</v>
      </c>
      <c r="O130" s="2" t="s">
        <v>25</v>
      </c>
      <c r="P130" s="2" t="s">
        <v>26</v>
      </c>
      <c r="Q130" s="2" t="s">
        <v>29</v>
      </c>
    </row>
    <row r="131" spans="1:17" x14ac:dyDescent="0.25">
      <c r="A131" s="1">
        <v>46242</v>
      </c>
      <c r="B131" s="1">
        <v>46241</v>
      </c>
      <c r="C131" s="2" t="s">
        <v>358</v>
      </c>
      <c r="D131" s="2" t="s">
        <v>18</v>
      </c>
      <c r="E131" s="2" t="s">
        <v>359</v>
      </c>
      <c r="F131" s="2" t="s">
        <v>20</v>
      </c>
      <c r="G131" s="2" t="s">
        <v>141</v>
      </c>
      <c r="H131" s="2" t="s">
        <v>310</v>
      </c>
      <c r="I131" s="2" t="s">
        <v>311</v>
      </c>
      <c r="J131" s="3">
        <v>240</v>
      </c>
      <c r="K131" s="2" t="s">
        <v>119</v>
      </c>
      <c r="L131" s="3">
        <v>240</v>
      </c>
      <c r="M131" s="13">
        <v>12959999.82</v>
      </c>
      <c r="N131" s="3">
        <v>0</v>
      </c>
      <c r="O131" s="2" t="s">
        <v>25</v>
      </c>
      <c r="P131" s="2" t="s">
        <v>26</v>
      </c>
      <c r="Q131" s="2" t="s">
        <v>29</v>
      </c>
    </row>
    <row r="132" spans="1:17" x14ac:dyDescent="0.25">
      <c r="A132" s="1">
        <v>46242</v>
      </c>
      <c r="B132" s="1">
        <v>46241</v>
      </c>
      <c r="C132" s="2" t="s">
        <v>358</v>
      </c>
      <c r="D132" s="2" t="s">
        <v>18</v>
      </c>
      <c r="E132" s="2" t="s">
        <v>359</v>
      </c>
      <c r="F132" s="2" t="s">
        <v>20</v>
      </c>
      <c r="G132" s="2" t="s">
        <v>141</v>
      </c>
      <c r="H132" s="2" t="s">
        <v>360</v>
      </c>
      <c r="I132" s="2" t="s">
        <v>361</v>
      </c>
      <c r="J132" s="3">
        <v>12</v>
      </c>
      <c r="K132" s="2" t="s">
        <v>119</v>
      </c>
      <c r="L132" s="3">
        <v>12</v>
      </c>
      <c r="M132" s="13">
        <v>613200.05000000005</v>
      </c>
      <c r="N132" s="3">
        <v>0</v>
      </c>
      <c r="O132" s="2" t="s">
        <v>25</v>
      </c>
      <c r="P132" s="2" t="s">
        <v>26</v>
      </c>
      <c r="Q132" s="2" t="s">
        <v>29</v>
      </c>
    </row>
    <row r="133" spans="1:17" x14ac:dyDescent="0.25">
      <c r="A133" s="1">
        <v>46242</v>
      </c>
      <c r="B133" s="1">
        <v>46241</v>
      </c>
      <c r="C133" s="2" t="s">
        <v>362</v>
      </c>
      <c r="D133" s="2" t="s">
        <v>18</v>
      </c>
      <c r="E133" s="2" t="s">
        <v>363</v>
      </c>
      <c r="F133" s="2" t="s">
        <v>20</v>
      </c>
      <c r="G133" s="2" t="s">
        <v>214</v>
      </c>
      <c r="H133" s="2" t="s">
        <v>156</v>
      </c>
      <c r="I133" s="2" t="s">
        <v>157</v>
      </c>
      <c r="J133" s="3">
        <v>8</v>
      </c>
      <c r="K133" s="2" t="s">
        <v>149</v>
      </c>
      <c r="L133" s="3">
        <v>8</v>
      </c>
      <c r="M133" s="13">
        <v>359640</v>
      </c>
      <c r="N133" s="3">
        <v>0</v>
      </c>
      <c r="O133" s="2" t="s">
        <v>25</v>
      </c>
      <c r="P133" s="2" t="s">
        <v>26</v>
      </c>
      <c r="Q133" s="2" t="s">
        <v>364</v>
      </c>
    </row>
    <row r="134" spans="1:17" x14ac:dyDescent="0.25">
      <c r="A134" s="1">
        <v>46242</v>
      </c>
      <c r="B134" s="1">
        <v>46241</v>
      </c>
      <c r="C134" s="2" t="s">
        <v>365</v>
      </c>
      <c r="D134" s="2" t="s">
        <v>18</v>
      </c>
      <c r="E134" s="2" t="s">
        <v>366</v>
      </c>
      <c r="F134" s="2" t="s">
        <v>35</v>
      </c>
      <c r="G134" s="2" t="s">
        <v>32</v>
      </c>
      <c r="H134" s="2" t="s">
        <v>367</v>
      </c>
      <c r="I134" s="2" t="s">
        <v>368</v>
      </c>
      <c r="J134" s="3">
        <v>6</v>
      </c>
      <c r="K134" s="2" t="s">
        <v>369</v>
      </c>
      <c r="L134" s="3">
        <v>4</v>
      </c>
      <c r="M134" s="13">
        <v>1966920</v>
      </c>
      <c r="N134" s="3">
        <v>-2</v>
      </c>
      <c r="O134" s="2" t="s">
        <v>25</v>
      </c>
      <c r="P134" s="2" t="s">
        <v>26</v>
      </c>
      <c r="Q134" s="2" t="s">
        <v>370</v>
      </c>
    </row>
    <row r="135" spans="1:17" x14ac:dyDescent="0.25">
      <c r="A135" s="1">
        <v>46242</v>
      </c>
      <c r="B135" s="1">
        <v>46241</v>
      </c>
      <c r="C135" s="2" t="s">
        <v>374</v>
      </c>
      <c r="D135" s="2" t="s">
        <v>18</v>
      </c>
      <c r="E135" s="2" t="s">
        <v>371</v>
      </c>
      <c r="F135" s="2" t="s">
        <v>20</v>
      </c>
      <c r="G135" s="2" t="s">
        <v>214</v>
      </c>
      <c r="H135" s="2" t="s">
        <v>372</v>
      </c>
      <c r="I135" s="2" t="s">
        <v>373</v>
      </c>
      <c r="J135" s="3">
        <v>3</v>
      </c>
      <c r="K135" s="2" t="s">
        <v>39</v>
      </c>
      <c r="L135" s="3">
        <v>5.33</v>
      </c>
      <c r="M135" s="13">
        <v>719550</v>
      </c>
      <c r="N135" s="3">
        <v>2.33</v>
      </c>
      <c r="O135" s="2" t="s">
        <v>25</v>
      </c>
      <c r="P135" s="2" t="s">
        <v>26</v>
      </c>
      <c r="Q135" s="2" t="s">
        <v>29</v>
      </c>
    </row>
    <row r="136" spans="1:17" x14ac:dyDescent="0.25">
      <c r="A136" s="1">
        <v>46242</v>
      </c>
      <c r="B136" s="1">
        <v>46241</v>
      </c>
      <c r="C136" s="2" t="s">
        <v>375</v>
      </c>
      <c r="D136" s="2" t="s">
        <v>18</v>
      </c>
      <c r="E136" s="2" t="s">
        <v>376</v>
      </c>
      <c r="F136" s="2" t="s">
        <v>35</v>
      </c>
      <c r="G136" s="2" t="s">
        <v>32</v>
      </c>
      <c r="H136" s="2" t="s">
        <v>22</v>
      </c>
      <c r="I136" s="2" t="s">
        <v>23</v>
      </c>
      <c r="J136" s="3">
        <v>1</v>
      </c>
      <c r="K136" s="2" t="s">
        <v>24</v>
      </c>
      <c r="L136" s="3">
        <v>1</v>
      </c>
      <c r="M136" s="13">
        <v>327450</v>
      </c>
      <c r="N136" s="3">
        <v>0</v>
      </c>
      <c r="O136" s="2" t="s">
        <v>25</v>
      </c>
      <c r="P136" s="2" t="s">
        <v>26</v>
      </c>
      <c r="Q136" s="2" t="s">
        <v>377</v>
      </c>
    </row>
    <row r="137" spans="1:17" x14ac:dyDescent="0.25">
      <c r="A137" s="1">
        <v>46242</v>
      </c>
      <c r="B137" s="1">
        <v>46241</v>
      </c>
      <c r="C137" s="2" t="s">
        <v>378</v>
      </c>
      <c r="D137" s="2" t="s">
        <v>18</v>
      </c>
      <c r="E137" s="2" t="s">
        <v>376</v>
      </c>
      <c r="F137" s="2" t="s">
        <v>35</v>
      </c>
      <c r="G137" s="2" t="s">
        <v>32</v>
      </c>
      <c r="H137" s="2" t="s">
        <v>176</v>
      </c>
      <c r="I137" s="2" t="s">
        <v>177</v>
      </c>
      <c r="J137" s="3">
        <v>6.9</v>
      </c>
      <c r="K137" s="2" t="s">
        <v>39</v>
      </c>
      <c r="L137" s="3">
        <v>6.9</v>
      </c>
      <c r="M137" s="13">
        <v>759000.01</v>
      </c>
      <c r="N137" s="3">
        <v>0</v>
      </c>
      <c r="O137" s="2" t="s">
        <v>25</v>
      </c>
      <c r="P137" s="2" t="s">
        <v>26</v>
      </c>
      <c r="Q137" s="2" t="s">
        <v>377</v>
      </c>
    </row>
    <row r="138" spans="1:17" x14ac:dyDescent="0.25">
      <c r="A138" s="1">
        <v>46242</v>
      </c>
      <c r="B138" s="1">
        <v>46241</v>
      </c>
      <c r="C138" s="2" t="s">
        <v>379</v>
      </c>
      <c r="D138" s="2" t="s">
        <v>18</v>
      </c>
      <c r="E138" s="2" t="s">
        <v>186</v>
      </c>
      <c r="F138" s="2" t="s">
        <v>35</v>
      </c>
      <c r="G138" s="2" t="s">
        <v>90</v>
      </c>
      <c r="H138" s="2" t="s">
        <v>188</v>
      </c>
      <c r="I138" s="2" t="s">
        <v>189</v>
      </c>
      <c r="J138" s="3">
        <v>1</v>
      </c>
      <c r="K138" s="2" t="s">
        <v>119</v>
      </c>
      <c r="L138" s="3">
        <v>1</v>
      </c>
      <c r="M138" s="13">
        <v>130000</v>
      </c>
      <c r="N138" s="3">
        <v>0</v>
      </c>
      <c r="O138" s="2" t="s">
        <v>25</v>
      </c>
      <c r="P138" s="2" t="s">
        <v>26</v>
      </c>
      <c r="Q138" s="2" t="s">
        <v>380</v>
      </c>
    </row>
    <row r="139" spans="1:17" x14ac:dyDescent="0.25">
      <c r="A139" s="1">
        <v>46242</v>
      </c>
      <c r="B139" s="1">
        <v>46241</v>
      </c>
      <c r="C139" s="2" t="s">
        <v>381</v>
      </c>
      <c r="D139" s="2" t="s">
        <v>18</v>
      </c>
      <c r="E139" s="2" t="s">
        <v>382</v>
      </c>
      <c r="F139" s="2" t="s">
        <v>20</v>
      </c>
      <c r="G139" s="2" t="s">
        <v>234</v>
      </c>
      <c r="H139" s="2" t="s">
        <v>205</v>
      </c>
      <c r="I139" s="2" t="s">
        <v>206</v>
      </c>
      <c r="J139" s="3">
        <v>32</v>
      </c>
      <c r="K139" s="2" t="s">
        <v>39</v>
      </c>
      <c r="L139" s="3">
        <v>32.78</v>
      </c>
      <c r="M139" s="13">
        <v>4982560.1100000003</v>
      </c>
      <c r="N139" s="3">
        <v>0.78</v>
      </c>
      <c r="O139" s="2" t="s">
        <v>25</v>
      </c>
      <c r="P139" s="2" t="s">
        <v>26</v>
      </c>
      <c r="Q139" s="2" t="s">
        <v>383</v>
      </c>
    </row>
    <row r="140" spans="1:17" x14ac:dyDescent="0.25">
      <c r="A140" s="1">
        <v>46242</v>
      </c>
      <c r="B140" s="1">
        <v>46241</v>
      </c>
      <c r="C140" s="2" t="s">
        <v>384</v>
      </c>
      <c r="D140" s="2" t="s">
        <v>385</v>
      </c>
      <c r="E140" s="2" t="s">
        <v>386</v>
      </c>
      <c r="F140" s="2" t="s">
        <v>35</v>
      </c>
      <c r="G140" s="2" t="s">
        <v>36</v>
      </c>
      <c r="H140" s="2" t="s">
        <v>387</v>
      </c>
      <c r="I140" s="2" t="s">
        <v>388</v>
      </c>
      <c r="J140" s="3">
        <v>20</v>
      </c>
      <c r="K140" s="2" t="s">
        <v>39</v>
      </c>
      <c r="L140" s="3">
        <v>20</v>
      </c>
      <c r="M140" s="13">
        <v>2000000</v>
      </c>
      <c r="N140" s="3">
        <v>0</v>
      </c>
      <c r="O140" s="2" t="s">
        <v>25</v>
      </c>
      <c r="P140" s="2" t="s">
        <v>26</v>
      </c>
      <c r="Q140" s="2" t="s">
        <v>29</v>
      </c>
    </row>
    <row r="141" spans="1:17" x14ac:dyDescent="0.25">
      <c r="A141" s="1">
        <v>46242</v>
      </c>
      <c r="B141" s="1">
        <v>46241</v>
      </c>
      <c r="C141" s="2" t="s">
        <v>389</v>
      </c>
      <c r="D141" s="2" t="s">
        <v>385</v>
      </c>
      <c r="E141" s="2" t="s">
        <v>73</v>
      </c>
      <c r="F141" s="2" t="s">
        <v>20</v>
      </c>
      <c r="G141" s="2" t="s">
        <v>32</v>
      </c>
      <c r="H141" s="2" t="s">
        <v>390</v>
      </c>
      <c r="I141" s="2" t="s">
        <v>391</v>
      </c>
      <c r="J141" s="3">
        <v>25</v>
      </c>
      <c r="K141" s="2" t="s">
        <v>39</v>
      </c>
      <c r="L141" s="3">
        <v>25</v>
      </c>
      <c r="M141" s="13">
        <v>4125000.04</v>
      </c>
      <c r="N141" s="3">
        <v>0</v>
      </c>
      <c r="O141" s="2" t="s">
        <v>25</v>
      </c>
      <c r="P141" s="2" t="s">
        <v>26</v>
      </c>
      <c r="Q141" s="2" t="s">
        <v>29</v>
      </c>
    </row>
    <row r="142" spans="1:17" x14ac:dyDescent="0.25">
      <c r="A142" s="1">
        <v>46242</v>
      </c>
      <c r="B142" s="1">
        <v>46241</v>
      </c>
      <c r="C142" s="2" t="s">
        <v>392</v>
      </c>
      <c r="D142" s="2" t="s">
        <v>385</v>
      </c>
      <c r="E142" s="2" t="s">
        <v>393</v>
      </c>
      <c r="F142" s="2" t="s">
        <v>35</v>
      </c>
      <c r="G142" s="2" t="s">
        <v>61</v>
      </c>
      <c r="H142" s="2" t="s">
        <v>394</v>
      </c>
      <c r="I142" s="2" t="s">
        <v>395</v>
      </c>
      <c r="J142" s="3">
        <v>1</v>
      </c>
      <c r="K142" s="2" t="s">
        <v>396</v>
      </c>
      <c r="L142" s="3">
        <v>1</v>
      </c>
      <c r="M142" s="13">
        <v>640000</v>
      </c>
      <c r="N142" s="3">
        <v>0</v>
      </c>
      <c r="O142" s="2" t="s">
        <v>25</v>
      </c>
      <c r="P142" s="2" t="s">
        <v>26</v>
      </c>
      <c r="Q142" s="2" t="s">
        <v>29</v>
      </c>
    </row>
    <row r="143" spans="1:17" x14ac:dyDescent="0.25">
      <c r="A143" s="1">
        <v>46242</v>
      </c>
      <c r="B143" s="1">
        <v>46241</v>
      </c>
      <c r="C143" s="2" t="s">
        <v>397</v>
      </c>
      <c r="D143" s="2" t="s">
        <v>385</v>
      </c>
      <c r="E143" s="2" t="s">
        <v>398</v>
      </c>
      <c r="F143" s="2" t="s">
        <v>35</v>
      </c>
      <c r="G143" s="2" t="s">
        <v>57</v>
      </c>
      <c r="H143" s="2" t="s">
        <v>399</v>
      </c>
      <c r="I143" s="2" t="s">
        <v>400</v>
      </c>
      <c r="J143" s="3">
        <v>4</v>
      </c>
      <c r="K143" s="2" t="s">
        <v>60</v>
      </c>
      <c r="L143" s="3">
        <v>4</v>
      </c>
      <c r="M143" s="13">
        <v>659340</v>
      </c>
      <c r="N143" s="3">
        <v>0</v>
      </c>
      <c r="O143" s="2" t="s">
        <v>25</v>
      </c>
      <c r="P143" s="2" t="s">
        <v>26</v>
      </c>
      <c r="Q143" s="2" t="s">
        <v>29</v>
      </c>
    </row>
    <row r="144" spans="1:17" x14ac:dyDescent="0.25">
      <c r="A144" s="1">
        <v>46242</v>
      </c>
      <c r="B144" s="1">
        <v>46241</v>
      </c>
      <c r="C144" s="2" t="s">
        <v>401</v>
      </c>
      <c r="D144" s="2" t="s">
        <v>385</v>
      </c>
      <c r="E144" s="2" t="s">
        <v>402</v>
      </c>
      <c r="F144" s="2" t="s">
        <v>35</v>
      </c>
      <c r="G144" s="2" t="s">
        <v>32</v>
      </c>
      <c r="H144" s="2" t="s">
        <v>403</v>
      </c>
      <c r="I144" s="2" t="s">
        <v>404</v>
      </c>
      <c r="J144" s="3">
        <v>5</v>
      </c>
      <c r="K144" s="2" t="s">
        <v>119</v>
      </c>
      <c r="L144" s="3">
        <v>5</v>
      </c>
      <c r="M144" s="13">
        <v>430125</v>
      </c>
      <c r="N144" s="3">
        <v>0</v>
      </c>
      <c r="O144" s="2" t="s">
        <v>25</v>
      </c>
      <c r="P144" s="2" t="s">
        <v>26</v>
      </c>
      <c r="Q144" s="2" t="s">
        <v>29</v>
      </c>
    </row>
    <row r="145" spans="1:17" x14ac:dyDescent="0.25">
      <c r="A145" s="1">
        <v>46242</v>
      </c>
      <c r="B145" s="1">
        <v>46241</v>
      </c>
      <c r="C145" s="2" t="s">
        <v>405</v>
      </c>
      <c r="D145" s="2" t="s">
        <v>385</v>
      </c>
      <c r="E145" s="2" t="s">
        <v>406</v>
      </c>
      <c r="F145" s="2" t="s">
        <v>20</v>
      </c>
      <c r="G145" s="2" t="s">
        <v>90</v>
      </c>
      <c r="H145" s="2" t="s">
        <v>407</v>
      </c>
      <c r="I145" s="2" t="s">
        <v>408</v>
      </c>
      <c r="J145" s="3">
        <v>26</v>
      </c>
      <c r="K145" s="2" t="s">
        <v>39</v>
      </c>
      <c r="L145" s="3">
        <v>26.079899999999999</v>
      </c>
      <c r="M145" s="13">
        <v>2477600.13</v>
      </c>
      <c r="N145" s="3">
        <v>7.9899999999999999E-2</v>
      </c>
      <c r="O145" s="2" t="s">
        <v>25</v>
      </c>
      <c r="P145" s="2" t="s">
        <v>26</v>
      </c>
      <c r="Q145" s="2" t="s">
        <v>29</v>
      </c>
    </row>
    <row r="146" spans="1:17" x14ac:dyDescent="0.25">
      <c r="A146" s="1">
        <v>46242</v>
      </c>
      <c r="B146" s="1">
        <v>46241</v>
      </c>
      <c r="C146" s="2" t="s">
        <v>409</v>
      </c>
      <c r="D146" s="2" t="s">
        <v>385</v>
      </c>
      <c r="E146" s="2" t="s">
        <v>410</v>
      </c>
      <c r="F146" s="2" t="s">
        <v>20</v>
      </c>
      <c r="G146" s="2" t="s">
        <v>234</v>
      </c>
      <c r="H146" s="2" t="s">
        <v>411</v>
      </c>
      <c r="I146" s="2" t="s">
        <v>412</v>
      </c>
      <c r="J146" s="3">
        <v>100</v>
      </c>
      <c r="K146" s="2" t="s">
        <v>413</v>
      </c>
      <c r="L146" s="3">
        <v>40</v>
      </c>
      <c r="M146" s="13">
        <v>2699999.96</v>
      </c>
      <c r="N146" s="3">
        <v>-60</v>
      </c>
      <c r="O146" s="2" t="s">
        <v>25</v>
      </c>
      <c r="P146" s="2" t="s">
        <v>26</v>
      </c>
      <c r="Q146" s="2" t="s">
        <v>29</v>
      </c>
    </row>
    <row r="147" spans="1:17" x14ac:dyDescent="0.25">
      <c r="A147" s="1">
        <v>46242</v>
      </c>
      <c r="B147" s="1">
        <v>46241</v>
      </c>
      <c r="C147" s="2" t="s">
        <v>409</v>
      </c>
      <c r="D147" s="2" t="s">
        <v>385</v>
      </c>
      <c r="E147" s="2" t="s">
        <v>410</v>
      </c>
      <c r="F147" s="2" t="s">
        <v>20</v>
      </c>
      <c r="G147" s="2" t="s">
        <v>234</v>
      </c>
      <c r="H147" s="2" t="s">
        <v>414</v>
      </c>
      <c r="I147" s="2" t="s">
        <v>415</v>
      </c>
      <c r="J147" s="3">
        <v>100</v>
      </c>
      <c r="K147" s="2" t="s">
        <v>413</v>
      </c>
      <c r="L147" s="3">
        <v>100</v>
      </c>
      <c r="M147" s="13">
        <v>6749999.9100000001</v>
      </c>
      <c r="N147" s="3">
        <v>0</v>
      </c>
      <c r="O147" s="2" t="s">
        <v>25</v>
      </c>
      <c r="P147" s="2" t="s">
        <v>26</v>
      </c>
      <c r="Q147" s="2" t="s">
        <v>29</v>
      </c>
    </row>
    <row r="148" spans="1:17" x14ac:dyDescent="0.25">
      <c r="A148" s="1">
        <v>46242</v>
      </c>
      <c r="B148" s="1">
        <v>46241</v>
      </c>
      <c r="C148" s="2" t="s">
        <v>409</v>
      </c>
      <c r="D148" s="2" t="s">
        <v>385</v>
      </c>
      <c r="E148" s="2" t="s">
        <v>410</v>
      </c>
      <c r="F148" s="2" t="s">
        <v>20</v>
      </c>
      <c r="G148" s="2" t="s">
        <v>234</v>
      </c>
      <c r="H148" s="2" t="s">
        <v>416</v>
      </c>
      <c r="I148" s="2" t="s">
        <v>417</v>
      </c>
      <c r="J148" s="3">
        <v>100</v>
      </c>
      <c r="K148" s="2" t="s">
        <v>413</v>
      </c>
      <c r="L148" s="3">
        <v>100</v>
      </c>
      <c r="M148" s="13">
        <v>6749999.9100000001</v>
      </c>
      <c r="N148" s="3">
        <v>0</v>
      </c>
      <c r="O148" s="2" t="s">
        <v>25</v>
      </c>
      <c r="P148" s="2" t="s">
        <v>26</v>
      </c>
      <c r="Q148" s="2" t="s">
        <v>29</v>
      </c>
    </row>
    <row r="149" spans="1:17" x14ac:dyDescent="0.25">
      <c r="A149" s="1">
        <v>46242</v>
      </c>
      <c r="B149" s="1">
        <v>46241</v>
      </c>
      <c r="C149" s="2" t="s">
        <v>418</v>
      </c>
      <c r="D149" s="2" t="s">
        <v>385</v>
      </c>
      <c r="E149" s="2" t="s">
        <v>419</v>
      </c>
      <c r="F149" s="2" t="s">
        <v>20</v>
      </c>
      <c r="G149" s="2" t="s">
        <v>420</v>
      </c>
      <c r="H149" s="2" t="s">
        <v>421</v>
      </c>
      <c r="I149" s="2" t="s">
        <v>422</v>
      </c>
      <c r="J149" s="3">
        <v>8</v>
      </c>
      <c r="K149" s="2" t="s">
        <v>119</v>
      </c>
      <c r="L149" s="3">
        <v>8</v>
      </c>
      <c r="M149" s="13">
        <v>480000</v>
      </c>
      <c r="N149" s="3">
        <v>0</v>
      </c>
      <c r="O149" s="2" t="s">
        <v>25</v>
      </c>
      <c r="P149" s="2" t="s">
        <v>26</v>
      </c>
      <c r="Q149" s="2" t="s">
        <v>29</v>
      </c>
    </row>
    <row r="150" spans="1:17" x14ac:dyDescent="0.25">
      <c r="A150" s="1">
        <v>46242</v>
      </c>
      <c r="B150" s="1">
        <v>46241</v>
      </c>
      <c r="C150" s="2" t="s">
        <v>423</v>
      </c>
      <c r="D150" s="2" t="s">
        <v>385</v>
      </c>
      <c r="E150" s="2" t="s">
        <v>424</v>
      </c>
      <c r="F150" s="2" t="s">
        <v>20</v>
      </c>
      <c r="G150" s="2" t="s">
        <v>21</v>
      </c>
      <c r="H150" s="2" t="s">
        <v>425</v>
      </c>
      <c r="I150" s="2" t="s">
        <v>426</v>
      </c>
      <c r="J150" s="3">
        <v>2</v>
      </c>
      <c r="K150" s="2" t="s">
        <v>119</v>
      </c>
      <c r="L150" s="3">
        <v>2</v>
      </c>
      <c r="M150" s="13">
        <v>2297700</v>
      </c>
      <c r="N150" s="3">
        <v>0</v>
      </c>
      <c r="O150" s="2" t="s">
        <v>25</v>
      </c>
      <c r="P150" s="2" t="s">
        <v>26</v>
      </c>
      <c r="Q150" s="2" t="s">
        <v>29</v>
      </c>
    </row>
    <row r="151" spans="1:17" x14ac:dyDescent="0.25">
      <c r="A151" s="1">
        <v>46242</v>
      </c>
      <c r="B151" s="1">
        <v>46241</v>
      </c>
      <c r="C151" s="2" t="s">
        <v>427</v>
      </c>
      <c r="D151" s="2" t="s">
        <v>385</v>
      </c>
      <c r="E151" s="2" t="s">
        <v>428</v>
      </c>
      <c r="F151" s="2" t="s">
        <v>35</v>
      </c>
      <c r="G151" s="2" t="s">
        <v>107</v>
      </c>
      <c r="H151" s="2" t="s">
        <v>429</v>
      </c>
      <c r="I151" s="2" t="s">
        <v>430</v>
      </c>
      <c r="J151" s="3">
        <v>2</v>
      </c>
      <c r="K151" s="2" t="s">
        <v>119</v>
      </c>
      <c r="L151" s="3">
        <v>2</v>
      </c>
      <c r="M151" s="13">
        <v>412000</v>
      </c>
      <c r="N151" s="3">
        <v>0</v>
      </c>
      <c r="O151" s="2" t="s">
        <v>25</v>
      </c>
      <c r="P151" s="2" t="s">
        <v>26</v>
      </c>
      <c r="Q151" s="2" t="s">
        <v>29</v>
      </c>
    </row>
    <row r="152" spans="1:17" x14ac:dyDescent="0.25">
      <c r="A152" s="1">
        <v>46242</v>
      </c>
      <c r="B152" s="1">
        <v>46241</v>
      </c>
      <c r="C152" s="2" t="s">
        <v>431</v>
      </c>
      <c r="D152" s="2" t="s">
        <v>385</v>
      </c>
      <c r="E152" s="2" t="s">
        <v>432</v>
      </c>
      <c r="F152" s="2" t="s">
        <v>35</v>
      </c>
      <c r="G152" s="2" t="s">
        <v>61</v>
      </c>
      <c r="H152" s="2" t="s">
        <v>411</v>
      </c>
      <c r="I152" s="2" t="s">
        <v>412</v>
      </c>
      <c r="J152" s="3">
        <v>10</v>
      </c>
      <c r="K152" s="2" t="s">
        <v>413</v>
      </c>
      <c r="L152" s="3">
        <v>10</v>
      </c>
      <c r="M152" s="13">
        <v>674999.99</v>
      </c>
      <c r="N152" s="3">
        <v>0</v>
      </c>
      <c r="O152" s="2" t="s">
        <v>25</v>
      </c>
      <c r="P152" s="2" t="s">
        <v>26</v>
      </c>
      <c r="Q152" s="2" t="s">
        <v>29</v>
      </c>
    </row>
    <row r="153" spans="1:17" x14ac:dyDescent="0.25">
      <c r="A153" s="1">
        <v>46242</v>
      </c>
      <c r="B153" s="1">
        <v>46241</v>
      </c>
      <c r="C153" s="2" t="s">
        <v>433</v>
      </c>
      <c r="D153" s="2" t="s">
        <v>385</v>
      </c>
      <c r="E153" s="2" t="s">
        <v>434</v>
      </c>
      <c r="F153" s="2" t="s">
        <v>35</v>
      </c>
      <c r="G153" s="2" t="s">
        <v>57</v>
      </c>
      <c r="H153" s="2" t="s">
        <v>435</v>
      </c>
      <c r="I153" s="2" t="s">
        <v>436</v>
      </c>
      <c r="J153" s="3">
        <v>1</v>
      </c>
      <c r="K153" s="2" t="s">
        <v>119</v>
      </c>
      <c r="L153" s="3">
        <v>1</v>
      </c>
      <c r="M153" s="13">
        <v>66600</v>
      </c>
      <c r="N153" s="3">
        <v>0</v>
      </c>
      <c r="O153" s="2" t="s">
        <v>25</v>
      </c>
      <c r="P153" s="2" t="s">
        <v>26</v>
      </c>
      <c r="Q153" s="2" t="s">
        <v>29</v>
      </c>
    </row>
    <row r="154" spans="1:17" x14ac:dyDescent="0.25">
      <c r="A154" s="1">
        <v>46242</v>
      </c>
      <c r="B154" s="1">
        <v>46241</v>
      </c>
      <c r="C154" s="2" t="s">
        <v>433</v>
      </c>
      <c r="D154" s="2" t="s">
        <v>385</v>
      </c>
      <c r="E154" s="2" t="s">
        <v>434</v>
      </c>
      <c r="F154" s="2" t="s">
        <v>35</v>
      </c>
      <c r="G154" s="2" t="s">
        <v>57</v>
      </c>
      <c r="H154" s="2" t="s">
        <v>437</v>
      </c>
      <c r="I154" s="2" t="s">
        <v>438</v>
      </c>
      <c r="J154" s="3">
        <v>1</v>
      </c>
      <c r="K154" s="2" t="s">
        <v>119</v>
      </c>
      <c r="L154" s="3">
        <v>1</v>
      </c>
      <c r="M154" s="13">
        <v>73815</v>
      </c>
      <c r="N154" s="3">
        <v>0</v>
      </c>
      <c r="O154" s="2" t="s">
        <v>25</v>
      </c>
      <c r="P154" s="2" t="s">
        <v>26</v>
      </c>
      <c r="Q154" s="2" t="s">
        <v>29</v>
      </c>
    </row>
    <row r="155" spans="1:17" x14ac:dyDescent="0.25">
      <c r="A155" s="1">
        <v>46242</v>
      </c>
      <c r="B155" s="1">
        <v>46241</v>
      </c>
      <c r="C155" s="2" t="s">
        <v>439</v>
      </c>
      <c r="D155" s="2" t="s">
        <v>385</v>
      </c>
      <c r="E155" s="2" t="s">
        <v>281</v>
      </c>
      <c r="F155" s="2" t="s">
        <v>20</v>
      </c>
      <c r="G155" s="2" t="s">
        <v>192</v>
      </c>
      <c r="H155" s="2" t="s">
        <v>425</v>
      </c>
      <c r="I155" s="2" t="s">
        <v>426</v>
      </c>
      <c r="J155" s="3">
        <v>4</v>
      </c>
      <c r="K155" s="2" t="s">
        <v>119</v>
      </c>
      <c r="L155" s="3">
        <v>4</v>
      </c>
      <c r="M155" s="13">
        <v>4365630</v>
      </c>
      <c r="N155" s="3">
        <v>0</v>
      </c>
      <c r="O155" s="2" t="s">
        <v>25</v>
      </c>
      <c r="P155" s="2" t="s">
        <v>26</v>
      </c>
      <c r="Q155" s="2" t="s">
        <v>29</v>
      </c>
    </row>
    <row r="156" spans="1:17" x14ac:dyDescent="0.25">
      <c r="A156" s="1">
        <v>46242</v>
      </c>
      <c r="B156" s="1">
        <v>46241</v>
      </c>
      <c r="C156" s="2" t="s">
        <v>440</v>
      </c>
      <c r="D156" s="2" t="s">
        <v>385</v>
      </c>
      <c r="E156" s="2" t="s">
        <v>441</v>
      </c>
      <c r="F156" s="2" t="s">
        <v>20</v>
      </c>
      <c r="G156" s="2" t="s">
        <v>42</v>
      </c>
      <c r="H156" s="2" t="s">
        <v>442</v>
      </c>
      <c r="I156" s="2" t="s">
        <v>443</v>
      </c>
      <c r="J156" s="3">
        <v>5</v>
      </c>
      <c r="K156" s="2" t="s">
        <v>39</v>
      </c>
      <c r="L156" s="3">
        <v>5.76</v>
      </c>
      <c r="M156" s="13">
        <v>662400.04</v>
      </c>
      <c r="N156" s="3">
        <v>0.76</v>
      </c>
      <c r="O156" s="2" t="s">
        <v>25</v>
      </c>
      <c r="P156" s="2" t="s">
        <v>26</v>
      </c>
      <c r="Q156" s="2" t="s">
        <v>29</v>
      </c>
    </row>
    <row r="157" spans="1:17" x14ac:dyDescent="0.25">
      <c r="A157" s="1">
        <v>46242</v>
      </c>
      <c r="B157" s="1">
        <v>46241</v>
      </c>
      <c r="C157" s="2" t="s">
        <v>444</v>
      </c>
      <c r="D157" s="2" t="s">
        <v>385</v>
      </c>
      <c r="E157" s="2" t="s">
        <v>191</v>
      </c>
      <c r="F157" s="2" t="s">
        <v>20</v>
      </c>
      <c r="G157" s="2" t="s">
        <v>192</v>
      </c>
      <c r="H157" s="2" t="s">
        <v>445</v>
      </c>
      <c r="I157" s="2" t="s">
        <v>446</v>
      </c>
      <c r="J157" s="3">
        <v>12</v>
      </c>
      <c r="K157" s="2" t="s">
        <v>39</v>
      </c>
      <c r="L157" s="3">
        <v>11.57</v>
      </c>
      <c r="M157" s="13">
        <v>1261130.02</v>
      </c>
      <c r="N157" s="3">
        <v>-0.43</v>
      </c>
      <c r="O157" s="2" t="s">
        <v>25</v>
      </c>
      <c r="P157" s="2" t="s">
        <v>26</v>
      </c>
      <c r="Q157" s="2" t="s">
        <v>447</v>
      </c>
    </row>
    <row r="158" spans="1:17" x14ac:dyDescent="0.25">
      <c r="A158" s="1">
        <v>46242</v>
      </c>
      <c r="B158" s="1">
        <v>46241</v>
      </c>
      <c r="C158" s="2" t="s">
        <v>448</v>
      </c>
      <c r="D158" s="2" t="s">
        <v>385</v>
      </c>
      <c r="E158" s="2" t="s">
        <v>191</v>
      </c>
      <c r="F158" s="2" t="s">
        <v>20</v>
      </c>
      <c r="G158" s="2" t="s">
        <v>192</v>
      </c>
      <c r="H158" s="2" t="s">
        <v>445</v>
      </c>
      <c r="I158" s="2" t="s">
        <v>446</v>
      </c>
      <c r="J158" s="3">
        <v>4</v>
      </c>
      <c r="K158" s="2" t="s">
        <v>39</v>
      </c>
      <c r="L158" s="3">
        <v>3.8</v>
      </c>
      <c r="M158" s="13">
        <v>414200.01</v>
      </c>
      <c r="N158" s="3">
        <v>-0.2</v>
      </c>
      <c r="O158" s="2" t="s">
        <v>25</v>
      </c>
      <c r="P158" s="2" t="s">
        <v>26</v>
      </c>
      <c r="Q158" s="2" t="s">
        <v>449</v>
      </c>
    </row>
    <row r="159" spans="1:17" x14ac:dyDescent="0.25">
      <c r="A159" s="1">
        <v>46242</v>
      </c>
      <c r="B159" s="1">
        <v>46241</v>
      </c>
      <c r="C159" s="2" t="s">
        <v>450</v>
      </c>
      <c r="D159" s="2" t="s">
        <v>385</v>
      </c>
      <c r="E159" s="2" t="s">
        <v>191</v>
      </c>
      <c r="F159" s="2" t="s">
        <v>20</v>
      </c>
      <c r="G159" s="2" t="s">
        <v>192</v>
      </c>
      <c r="H159" s="2" t="s">
        <v>451</v>
      </c>
      <c r="I159" s="2" t="s">
        <v>452</v>
      </c>
      <c r="J159" s="3">
        <v>1</v>
      </c>
      <c r="K159" s="2" t="s">
        <v>453</v>
      </c>
      <c r="L159" s="3">
        <v>1</v>
      </c>
      <c r="M159" s="13">
        <v>95000.01</v>
      </c>
      <c r="N159" s="3">
        <v>0</v>
      </c>
      <c r="O159" s="2" t="s">
        <v>25</v>
      </c>
      <c r="P159" s="2" t="s">
        <v>26</v>
      </c>
      <c r="Q159" s="2" t="s">
        <v>449</v>
      </c>
    </row>
    <row r="160" spans="1:17" x14ac:dyDescent="0.25">
      <c r="A160" s="1">
        <v>46242</v>
      </c>
      <c r="B160" s="1">
        <v>46241</v>
      </c>
      <c r="C160" s="2" t="s">
        <v>450</v>
      </c>
      <c r="D160" s="2" t="s">
        <v>385</v>
      </c>
      <c r="E160" s="2" t="s">
        <v>191</v>
      </c>
      <c r="F160" s="2" t="s">
        <v>20</v>
      </c>
      <c r="G160" s="2" t="s">
        <v>192</v>
      </c>
      <c r="H160" s="2" t="s">
        <v>454</v>
      </c>
      <c r="I160" s="2" t="s">
        <v>455</v>
      </c>
      <c r="J160" s="3">
        <v>1</v>
      </c>
      <c r="K160" s="2" t="s">
        <v>453</v>
      </c>
      <c r="L160" s="3">
        <v>1</v>
      </c>
      <c r="M160" s="13">
        <v>87500</v>
      </c>
      <c r="N160" s="3">
        <v>0</v>
      </c>
      <c r="O160" s="2" t="s">
        <v>25</v>
      </c>
      <c r="P160" s="2" t="s">
        <v>26</v>
      </c>
      <c r="Q160" s="2" t="s">
        <v>449</v>
      </c>
    </row>
    <row r="161" spans="1:17" x14ac:dyDescent="0.25">
      <c r="A161" s="1">
        <v>46242</v>
      </c>
      <c r="B161" s="1">
        <v>46241</v>
      </c>
      <c r="C161" s="2" t="s">
        <v>456</v>
      </c>
      <c r="D161" s="2" t="s">
        <v>385</v>
      </c>
      <c r="E161" s="2" t="s">
        <v>191</v>
      </c>
      <c r="F161" s="2" t="s">
        <v>20</v>
      </c>
      <c r="G161" s="2" t="s">
        <v>192</v>
      </c>
      <c r="H161" s="2" t="s">
        <v>445</v>
      </c>
      <c r="I161" s="2" t="s">
        <v>446</v>
      </c>
      <c r="J161" s="3">
        <v>5</v>
      </c>
      <c r="K161" s="2" t="s">
        <v>39</v>
      </c>
      <c r="L161" s="3">
        <v>5.16</v>
      </c>
      <c r="M161" s="13">
        <v>562440.01</v>
      </c>
      <c r="N161" s="3">
        <v>0.16</v>
      </c>
      <c r="O161" s="2" t="s">
        <v>25</v>
      </c>
      <c r="P161" s="2" t="s">
        <v>26</v>
      </c>
      <c r="Q161" s="2" t="s">
        <v>202</v>
      </c>
    </row>
    <row r="162" spans="1:17" x14ac:dyDescent="0.25">
      <c r="A162" s="1">
        <v>46242</v>
      </c>
      <c r="B162" s="1">
        <v>46241</v>
      </c>
      <c r="C162" s="2" t="s">
        <v>457</v>
      </c>
      <c r="D162" s="2" t="s">
        <v>385</v>
      </c>
      <c r="E162" s="2" t="s">
        <v>199</v>
      </c>
      <c r="F162" s="2" t="s">
        <v>20</v>
      </c>
      <c r="G162" s="2" t="s">
        <v>21</v>
      </c>
      <c r="H162" s="2" t="s">
        <v>458</v>
      </c>
      <c r="I162" s="2" t="s">
        <v>459</v>
      </c>
      <c r="J162" s="3">
        <v>36</v>
      </c>
      <c r="K162" s="2" t="s">
        <v>369</v>
      </c>
      <c r="L162" s="3">
        <v>36</v>
      </c>
      <c r="M162" s="13">
        <v>2880000.32</v>
      </c>
      <c r="N162" s="3">
        <v>0</v>
      </c>
      <c r="O162" s="2" t="s">
        <v>25</v>
      </c>
      <c r="P162" s="2" t="s">
        <v>26</v>
      </c>
      <c r="Q162" s="2" t="s">
        <v>218</v>
      </c>
    </row>
    <row r="163" spans="1:17" x14ac:dyDescent="0.25">
      <c r="A163" s="1">
        <v>46242</v>
      </c>
      <c r="B163" s="1">
        <v>46241</v>
      </c>
      <c r="C163" s="2" t="s">
        <v>460</v>
      </c>
      <c r="D163" s="2" t="s">
        <v>385</v>
      </c>
      <c r="E163" s="2" t="s">
        <v>199</v>
      </c>
      <c r="F163" s="2" t="s">
        <v>20</v>
      </c>
      <c r="G163" s="2" t="s">
        <v>21</v>
      </c>
      <c r="H163" s="2" t="s">
        <v>461</v>
      </c>
      <c r="I163" s="2" t="s">
        <v>462</v>
      </c>
      <c r="J163" s="3">
        <v>10</v>
      </c>
      <c r="K163" s="2" t="s">
        <v>39</v>
      </c>
      <c r="L163" s="3">
        <v>11.8</v>
      </c>
      <c r="M163" s="13">
        <v>1498600</v>
      </c>
      <c r="N163" s="3">
        <v>1.8</v>
      </c>
      <c r="O163" s="2" t="s">
        <v>25</v>
      </c>
      <c r="P163" s="2" t="s">
        <v>26</v>
      </c>
      <c r="Q163" s="2" t="s">
        <v>218</v>
      </c>
    </row>
    <row r="164" spans="1:17" x14ac:dyDescent="0.25">
      <c r="A164" s="1">
        <v>46242</v>
      </c>
      <c r="B164" s="1">
        <v>46241</v>
      </c>
      <c r="C164" s="2" t="s">
        <v>460</v>
      </c>
      <c r="D164" s="2" t="s">
        <v>385</v>
      </c>
      <c r="E164" s="2" t="s">
        <v>199</v>
      </c>
      <c r="F164" s="2" t="s">
        <v>20</v>
      </c>
      <c r="G164" s="2" t="s">
        <v>21</v>
      </c>
      <c r="H164" s="2" t="s">
        <v>463</v>
      </c>
      <c r="I164" s="2" t="s">
        <v>464</v>
      </c>
      <c r="J164" s="3">
        <v>30</v>
      </c>
      <c r="K164" s="2" t="s">
        <v>39</v>
      </c>
      <c r="L164" s="3">
        <v>32.03</v>
      </c>
      <c r="M164" s="13">
        <v>3843600</v>
      </c>
      <c r="N164" s="3">
        <v>2.0299999999999998</v>
      </c>
      <c r="O164" s="2" t="s">
        <v>25</v>
      </c>
      <c r="P164" s="2" t="s">
        <v>26</v>
      </c>
      <c r="Q164" s="2" t="s">
        <v>218</v>
      </c>
    </row>
    <row r="165" spans="1:17" x14ac:dyDescent="0.25">
      <c r="A165" s="1">
        <v>46242</v>
      </c>
      <c r="B165" s="1">
        <v>46241</v>
      </c>
      <c r="C165" s="2" t="s">
        <v>465</v>
      </c>
      <c r="D165" s="2" t="s">
        <v>385</v>
      </c>
      <c r="E165" s="2" t="s">
        <v>466</v>
      </c>
      <c r="F165" s="2" t="s">
        <v>35</v>
      </c>
      <c r="G165" s="2" t="s">
        <v>234</v>
      </c>
      <c r="H165" s="2" t="s">
        <v>387</v>
      </c>
      <c r="I165" s="2" t="s">
        <v>388</v>
      </c>
      <c r="J165" s="3">
        <v>4</v>
      </c>
      <c r="K165" s="2" t="s">
        <v>39</v>
      </c>
      <c r="L165" s="3">
        <v>4</v>
      </c>
      <c r="M165" s="13">
        <v>400000</v>
      </c>
      <c r="N165" s="3">
        <v>0</v>
      </c>
      <c r="O165" s="2" t="s">
        <v>25</v>
      </c>
      <c r="P165" s="2" t="s">
        <v>26</v>
      </c>
      <c r="Q165" s="2" t="s">
        <v>29</v>
      </c>
    </row>
    <row r="166" spans="1:17" x14ac:dyDescent="0.25">
      <c r="A166" s="1">
        <v>46242</v>
      </c>
      <c r="B166" s="1">
        <v>46241</v>
      </c>
      <c r="C166" s="2" t="s">
        <v>467</v>
      </c>
      <c r="D166" s="2" t="s">
        <v>385</v>
      </c>
      <c r="E166" s="2" t="s">
        <v>468</v>
      </c>
      <c r="F166" s="2" t="s">
        <v>20</v>
      </c>
      <c r="G166" s="2" t="s">
        <v>214</v>
      </c>
      <c r="H166" s="2" t="s">
        <v>421</v>
      </c>
      <c r="I166" s="2" t="s">
        <v>422</v>
      </c>
      <c r="J166" s="3">
        <v>10</v>
      </c>
      <c r="K166" s="2" t="s">
        <v>119</v>
      </c>
      <c r="L166" s="3">
        <v>10</v>
      </c>
      <c r="M166" s="13">
        <v>660000</v>
      </c>
      <c r="N166" s="3">
        <v>0</v>
      </c>
      <c r="O166" s="2" t="s">
        <v>25</v>
      </c>
      <c r="P166" s="2" t="s">
        <v>26</v>
      </c>
      <c r="Q166" s="2" t="s">
        <v>29</v>
      </c>
    </row>
    <row r="167" spans="1:17" x14ac:dyDescent="0.25">
      <c r="A167" s="1">
        <v>46242</v>
      </c>
      <c r="B167" s="1">
        <v>46241</v>
      </c>
      <c r="C167" s="2" t="s">
        <v>469</v>
      </c>
      <c r="D167" s="2" t="s">
        <v>385</v>
      </c>
      <c r="E167" s="2" t="s">
        <v>470</v>
      </c>
      <c r="F167" s="2" t="s">
        <v>35</v>
      </c>
      <c r="G167" s="2" t="s">
        <v>234</v>
      </c>
      <c r="H167" s="2" t="s">
        <v>387</v>
      </c>
      <c r="I167" s="2" t="s">
        <v>388</v>
      </c>
      <c r="J167" s="3">
        <v>10</v>
      </c>
      <c r="K167" s="2" t="s">
        <v>39</v>
      </c>
      <c r="L167" s="3">
        <v>10</v>
      </c>
      <c r="M167" s="13">
        <v>1000000</v>
      </c>
      <c r="N167" s="3">
        <v>0</v>
      </c>
      <c r="O167" s="2" t="s">
        <v>25</v>
      </c>
      <c r="P167" s="2" t="s">
        <v>26</v>
      </c>
      <c r="Q167" s="2" t="s">
        <v>29</v>
      </c>
    </row>
    <row r="168" spans="1:17" x14ac:dyDescent="0.25">
      <c r="A168" s="1">
        <v>46242</v>
      </c>
      <c r="B168" s="1">
        <v>46241</v>
      </c>
      <c r="C168" s="2" t="s">
        <v>469</v>
      </c>
      <c r="D168" s="2" t="s">
        <v>385</v>
      </c>
      <c r="E168" s="2" t="s">
        <v>470</v>
      </c>
      <c r="F168" s="2" t="s">
        <v>35</v>
      </c>
      <c r="G168" s="2" t="s">
        <v>234</v>
      </c>
      <c r="H168" s="2" t="s">
        <v>471</v>
      </c>
      <c r="I168" s="2" t="s">
        <v>472</v>
      </c>
      <c r="J168" s="3">
        <v>30</v>
      </c>
      <c r="K168" s="2" t="s">
        <v>119</v>
      </c>
      <c r="L168" s="3">
        <v>30</v>
      </c>
      <c r="M168" s="13">
        <v>1125000</v>
      </c>
      <c r="N168" s="3">
        <v>0</v>
      </c>
      <c r="O168" s="2" t="s">
        <v>25</v>
      </c>
      <c r="P168" s="2" t="s">
        <v>26</v>
      </c>
      <c r="Q168" s="2" t="s">
        <v>29</v>
      </c>
    </row>
    <row r="169" spans="1:17" x14ac:dyDescent="0.25">
      <c r="A169" s="1">
        <v>46242</v>
      </c>
      <c r="B169" s="1">
        <v>46241</v>
      </c>
      <c r="C169" s="2" t="s">
        <v>473</v>
      </c>
      <c r="D169" s="2" t="s">
        <v>385</v>
      </c>
      <c r="E169" s="2" t="s">
        <v>474</v>
      </c>
      <c r="F169" s="2" t="s">
        <v>20</v>
      </c>
      <c r="G169" s="2" t="s">
        <v>214</v>
      </c>
      <c r="H169" s="2" t="s">
        <v>475</v>
      </c>
      <c r="I169" s="2" t="s">
        <v>476</v>
      </c>
      <c r="J169" s="3">
        <v>12</v>
      </c>
      <c r="K169" s="2" t="s">
        <v>477</v>
      </c>
      <c r="L169" s="3">
        <v>12</v>
      </c>
      <c r="M169" s="13">
        <v>840000</v>
      </c>
      <c r="N169" s="3">
        <v>0</v>
      </c>
      <c r="O169" s="2" t="s">
        <v>25</v>
      </c>
      <c r="P169" s="2" t="s">
        <v>26</v>
      </c>
      <c r="Q169" s="2" t="s">
        <v>29</v>
      </c>
    </row>
    <row r="170" spans="1:17" x14ac:dyDescent="0.25">
      <c r="A170" s="1">
        <v>46242</v>
      </c>
      <c r="B170" s="1">
        <v>46241</v>
      </c>
      <c r="C170" s="2" t="s">
        <v>478</v>
      </c>
      <c r="D170" s="2" t="s">
        <v>385</v>
      </c>
      <c r="E170" s="2" t="s">
        <v>474</v>
      </c>
      <c r="F170" s="2" t="s">
        <v>20</v>
      </c>
      <c r="G170" s="2" t="s">
        <v>214</v>
      </c>
      <c r="H170" s="2" t="s">
        <v>407</v>
      </c>
      <c r="I170" s="2" t="s">
        <v>408</v>
      </c>
      <c r="J170" s="3">
        <v>7.56</v>
      </c>
      <c r="K170" s="2" t="s">
        <v>39</v>
      </c>
      <c r="L170" s="3">
        <v>6.54</v>
      </c>
      <c r="M170" s="13">
        <v>719400</v>
      </c>
      <c r="N170" s="3">
        <v>-1.02</v>
      </c>
      <c r="O170" s="2" t="s">
        <v>25</v>
      </c>
      <c r="P170" s="2" t="s">
        <v>26</v>
      </c>
      <c r="Q170" s="2" t="s">
        <v>29</v>
      </c>
    </row>
    <row r="171" spans="1:17" x14ac:dyDescent="0.25">
      <c r="A171" s="1">
        <v>46242</v>
      </c>
      <c r="B171" s="1">
        <v>46241</v>
      </c>
      <c r="C171" s="2" t="s">
        <v>479</v>
      </c>
      <c r="D171" s="2" t="s">
        <v>385</v>
      </c>
      <c r="E171" s="2" t="s">
        <v>480</v>
      </c>
      <c r="F171" s="2" t="s">
        <v>20</v>
      </c>
      <c r="G171" s="2" t="s">
        <v>214</v>
      </c>
      <c r="H171" s="2" t="s">
        <v>481</v>
      </c>
      <c r="I171" s="2" t="s">
        <v>482</v>
      </c>
      <c r="J171" s="3">
        <v>6</v>
      </c>
      <c r="K171" s="2" t="s">
        <v>477</v>
      </c>
      <c r="L171" s="3">
        <v>6</v>
      </c>
      <c r="M171" s="13">
        <v>360000</v>
      </c>
      <c r="N171" s="3">
        <v>0</v>
      </c>
      <c r="O171" s="2" t="s">
        <v>25</v>
      </c>
      <c r="P171" s="2" t="s">
        <v>26</v>
      </c>
      <c r="Q171" s="2" t="s">
        <v>29</v>
      </c>
    </row>
    <row r="172" spans="1:17" x14ac:dyDescent="0.25">
      <c r="A172" s="1">
        <v>46242</v>
      </c>
      <c r="B172" s="1">
        <v>46241</v>
      </c>
      <c r="C172" s="2" t="s">
        <v>483</v>
      </c>
      <c r="D172" s="2" t="s">
        <v>385</v>
      </c>
      <c r="E172" s="2" t="s">
        <v>484</v>
      </c>
      <c r="F172" s="2" t="s">
        <v>35</v>
      </c>
      <c r="G172" s="2" t="s">
        <v>107</v>
      </c>
      <c r="H172" s="2" t="s">
        <v>485</v>
      </c>
      <c r="I172" s="2" t="s">
        <v>486</v>
      </c>
      <c r="J172" s="3">
        <v>1</v>
      </c>
      <c r="K172" s="2" t="s">
        <v>453</v>
      </c>
      <c r="L172" s="3">
        <v>1</v>
      </c>
      <c r="M172" s="13">
        <v>112200</v>
      </c>
      <c r="N172" s="3">
        <v>0</v>
      </c>
      <c r="O172" s="2" t="s">
        <v>25</v>
      </c>
      <c r="P172" s="2" t="s">
        <v>26</v>
      </c>
      <c r="Q172" s="2" t="s">
        <v>487</v>
      </c>
    </row>
    <row r="173" spans="1:17" x14ac:dyDescent="0.25">
      <c r="A173" s="1">
        <v>46242</v>
      </c>
      <c r="B173" s="1">
        <v>46241</v>
      </c>
      <c r="C173" s="2" t="s">
        <v>483</v>
      </c>
      <c r="D173" s="2" t="s">
        <v>385</v>
      </c>
      <c r="E173" s="2" t="s">
        <v>484</v>
      </c>
      <c r="F173" s="2" t="s">
        <v>35</v>
      </c>
      <c r="G173" s="2" t="s">
        <v>107</v>
      </c>
      <c r="H173" s="2" t="s">
        <v>488</v>
      </c>
      <c r="I173" s="2" t="s">
        <v>489</v>
      </c>
      <c r="J173" s="3">
        <v>1</v>
      </c>
      <c r="K173" s="2" t="s">
        <v>453</v>
      </c>
      <c r="L173" s="3">
        <v>1</v>
      </c>
      <c r="M173" s="13">
        <v>106590</v>
      </c>
      <c r="N173" s="3">
        <v>0</v>
      </c>
      <c r="O173" s="2" t="s">
        <v>25</v>
      </c>
      <c r="P173" s="2" t="s">
        <v>26</v>
      </c>
      <c r="Q173" s="2" t="s">
        <v>487</v>
      </c>
    </row>
    <row r="174" spans="1:17" x14ac:dyDescent="0.25">
      <c r="A174" s="1">
        <v>46242</v>
      </c>
      <c r="B174" s="1">
        <v>46241</v>
      </c>
      <c r="C174" s="2" t="s">
        <v>483</v>
      </c>
      <c r="D174" s="2" t="s">
        <v>385</v>
      </c>
      <c r="E174" s="2" t="s">
        <v>484</v>
      </c>
      <c r="F174" s="2" t="s">
        <v>35</v>
      </c>
      <c r="G174" s="2" t="s">
        <v>107</v>
      </c>
      <c r="H174" s="2" t="s">
        <v>490</v>
      </c>
      <c r="I174" s="2" t="s">
        <v>491</v>
      </c>
      <c r="J174" s="3">
        <v>1</v>
      </c>
      <c r="K174" s="2" t="s">
        <v>453</v>
      </c>
      <c r="L174" s="3">
        <v>1</v>
      </c>
      <c r="M174" s="13">
        <v>106590.01</v>
      </c>
      <c r="N174" s="3">
        <v>0</v>
      </c>
      <c r="O174" s="2" t="s">
        <v>25</v>
      </c>
      <c r="P174" s="2" t="s">
        <v>26</v>
      </c>
      <c r="Q174" s="2" t="s">
        <v>487</v>
      </c>
    </row>
    <row r="175" spans="1:17" x14ac:dyDescent="0.25">
      <c r="A175" s="1">
        <v>46242</v>
      </c>
      <c r="B175" s="1">
        <v>46241</v>
      </c>
      <c r="C175" s="2" t="s">
        <v>492</v>
      </c>
      <c r="D175" s="2" t="s">
        <v>385</v>
      </c>
      <c r="E175" s="2" t="s">
        <v>493</v>
      </c>
      <c r="F175" s="2" t="s">
        <v>35</v>
      </c>
      <c r="G175" s="2" t="s">
        <v>61</v>
      </c>
      <c r="H175" s="2" t="s">
        <v>394</v>
      </c>
      <c r="I175" s="2" t="s">
        <v>395</v>
      </c>
      <c r="J175" s="3">
        <v>2</v>
      </c>
      <c r="K175" s="2" t="s">
        <v>396</v>
      </c>
      <c r="L175" s="3">
        <v>2</v>
      </c>
      <c r="M175" s="13">
        <v>1280000.01</v>
      </c>
      <c r="N175" s="3">
        <v>0</v>
      </c>
      <c r="O175" s="2" t="s">
        <v>25</v>
      </c>
      <c r="P175" s="2" t="s">
        <v>26</v>
      </c>
      <c r="Q175" s="2" t="s">
        <v>29</v>
      </c>
    </row>
    <row r="176" spans="1:17" x14ac:dyDescent="0.25">
      <c r="A176" s="1">
        <v>46242</v>
      </c>
      <c r="B176" s="1">
        <v>46241</v>
      </c>
      <c r="C176" s="2" t="s">
        <v>494</v>
      </c>
      <c r="D176" s="2" t="s">
        <v>385</v>
      </c>
      <c r="E176" s="2" t="s">
        <v>493</v>
      </c>
      <c r="F176" s="2" t="s">
        <v>35</v>
      </c>
      <c r="G176" s="2" t="s">
        <v>61</v>
      </c>
      <c r="H176" s="2" t="s">
        <v>407</v>
      </c>
      <c r="I176" s="2" t="s">
        <v>408</v>
      </c>
      <c r="J176" s="3">
        <v>30</v>
      </c>
      <c r="K176" s="2" t="s">
        <v>39</v>
      </c>
      <c r="L176" s="3">
        <v>30.39</v>
      </c>
      <c r="M176" s="13">
        <v>3646800.06</v>
      </c>
      <c r="N176" s="3">
        <v>0.39</v>
      </c>
      <c r="O176" s="2" t="s">
        <v>25</v>
      </c>
      <c r="P176" s="2" t="s">
        <v>26</v>
      </c>
      <c r="Q176" s="2" t="s">
        <v>29</v>
      </c>
    </row>
    <row r="177" spans="1:17" x14ac:dyDescent="0.25">
      <c r="A177" s="1">
        <v>46242</v>
      </c>
      <c r="B177" s="1">
        <v>46241</v>
      </c>
      <c r="C177" s="2" t="s">
        <v>495</v>
      </c>
      <c r="D177" s="2" t="s">
        <v>385</v>
      </c>
      <c r="E177" s="2" t="s">
        <v>496</v>
      </c>
      <c r="F177" s="2" t="s">
        <v>35</v>
      </c>
      <c r="G177" s="2" t="s">
        <v>42</v>
      </c>
      <c r="H177" s="2" t="s">
        <v>497</v>
      </c>
      <c r="I177" s="2" t="s">
        <v>498</v>
      </c>
      <c r="J177" s="3">
        <v>1</v>
      </c>
      <c r="K177" s="2" t="s">
        <v>60</v>
      </c>
      <c r="L177" s="3">
        <v>1</v>
      </c>
      <c r="M177" s="13">
        <v>156510</v>
      </c>
      <c r="N177" s="3">
        <v>0</v>
      </c>
      <c r="O177" s="2" t="s">
        <v>25</v>
      </c>
      <c r="P177" s="2" t="s">
        <v>26</v>
      </c>
      <c r="Q177" s="2" t="s">
        <v>29</v>
      </c>
    </row>
    <row r="178" spans="1:17" x14ac:dyDescent="0.25">
      <c r="A178" s="1">
        <v>46242</v>
      </c>
      <c r="B178" s="1">
        <v>46241</v>
      </c>
      <c r="C178" s="2" t="s">
        <v>495</v>
      </c>
      <c r="D178" s="2" t="s">
        <v>385</v>
      </c>
      <c r="E178" s="2" t="s">
        <v>496</v>
      </c>
      <c r="F178" s="2" t="s">
        <v>35</v>
      </c>
      <c r="G178" s="2" t="s">
        <v>42</v>
      </c>
      <c r="H178" s="2" t="s">
        <v>499</v>
      </c>
      <c r="I178" s="2" t="s">
        <v>500</v>
      </c>
      <c r="J178" s="3">
        <v>1</v>
      </c>
      <c r="K178" s="2" t="s">
        <v>413</v>
      </c>
      <c r="L178" s="3">
        <v>1</v>
      </c>
      <c r="M178" s="13">
        <v>110000</v>
      </c>
      <c r="N178" s="3">
        <v>0</v>
      </c>
      <c r="O178" s="2" t="s">
        <v>25</v>
      </c>
      <c r="P178" s="2" t="s">
        <v>26</v>
      </c>
      <c r="Q178" s="2" t="s">
        <v>29</v>
      </c>
    </row>
    <row r="179" spans="1:17" x14ac:dyDescent="0.25">
      <c r="A179" s="1">
        <v>46242</v>
      </c>
      <c r="B179" s="1">
        <v>46241</v>
      </c>
      <c r="C179" s="2" t="s">
        <v>501</v>
      </c>
      <c r="D179" s="2" t="s">
        <v>385</v>
      </c>
      <c r="E179" s="2" t="s">
        <v>502</v>
      </c>
      <c r="F179" s="2" t="s">
        <v>20</v>
      </c>
      <c r="G179" s="2" t="s">
        <v>21</v>
      </c>
      <c r="H179" s="2" t="s">
        <v>503</v>
      </c>
      <c r="I179" s="2" t="s">
        <v>504</v>
      </c>
      <c r="J179" s="3">
        <v>2</v>
      </c>
      <c r="K179" s="2" t="s">
        <v>60</v>
      </c>
      <c r="L179" s="3">
        <v>2</v>
      </c>
      <c r="M179" s="13">
        <v>313020</v>
      </c>
      <c r="N179" s="3">
        <v>0</v>
      </c>
      <c r="O179" s="2" t="s">
        <v>25</v>
      </c>
      <c r="P179" s="2" t="s">
        <v>26</v>
      </c>
      <c r="Q179" s="2" t="s">
        <v>29</v>
      </c>
    </row>
    <row r="180" spans="1:17" x14ac:dyDescent="0.25">
      <c r="A180" s="1">
        <v>46242</v>
      </c>
      <c r="B180" s="1">
        <v>46241</v>
      </c>
      <c r="C180" s="2" t="s">
        <v>505</v>
      </c>
      <c r="D180" s="2" t="s">
        <v>385</v>
      </c>
      <c r="E180" s="2" t="s">
        <v>506</v>
      </c>
      <c r="F180" s="2" t="s">
        <v>20</v>
      </c>
      <c r="G180" s="2" t="s">
        <v>313</v>
      </c>
      <c r="H180" s="2" t="s">
        <v>394</v>
      </c>
      <c r="I180" s="2" t="s">
        <v>395</v>
      </c>
      <c r="J180" s="3">
        <v>20</v>
      </c>
      <c r="K180" s="2" t="s">
        <v>396</v>
      </c>
      <c r="L180" s="3">
        <v>20</v>
      </c>
      <c r="M180" s="13">
        <v>16716600</v>
      </c>
      <c r="N180" s="3">
        <v>0</v>
      </c>
      <c r="O180" s="2" t="s">
        <v>25</v>
      </c>
      <c r="P180" s="2" t="s">
        <v>26</v>
      </c>
      <c r="Q180" s="2" t="s">
        <v>507</v>
      </c>
    </row>
    <row r="181" spans="1:17" x14ac:dyDescent="0.25">
      <c r="A181" s="1">
        <v>46242</v>
      </c>
      <c r="B181" s="1">
        <v>46241</v>
      </c>
      <c r="C181" s="2" t="s">
        <v>508</v>
      </c>
      <c r="D181" s="2" t="s">
        <v>385</v>
      </c>
      <c r="E181" s="2" t="s">
        <v>231</v>
      </c>
      <c r="F181" s="2" t="s">
        <v>20</v>
      </c>
      <c r="G181" s="2" t="s">
        <v>420</v>
      </c>
      <c r="H181" s="2" t="s">
        <v>509</v>
      </c>
      <c r="I181" s="2" t="s">
        <v>510</v>
      </c>
      <c r="J181" s="3">
        <v>1.5</v>
      </c>
      <c r="K181" s="2" t="s">
        <v>39</v>
      </c>
      <c r="L181" s="3">
        <v>1.5</v>
      </c>
      <c r="M181" s="13">
        <v>165000</v>
      </c>
      <c r="N181" s="3">
        <v>0</v>
      </c>
      <c r="O181" s="2" t="s">
        <v>25</v>
      </c>
      <c r="P181" s="2" t="s">
        <v>26</v>
      </c>
      <c r="Q181" s="2" t="s">
        <v>29</v>
      </c>
    </row>
    <row r="182" spans="1:17" x14ac:dyDescent="0.25">
      <c r="A182" s="1">
        <v>46242</v>
      </c>
      <c r="B182" s="1">
        <v>46241</v>
      </c>
      <c r="C182" s="2" t="s">
        <v>511</v>
      </c>
      <c r="D182" s="2" t="s">
        <v>385</v>
      </c>
      <c r="E182" s="2" t="s">
        <v>231</v>
      </c>
      <c r="F182" s="2" t="s">
        <v>20</v>
      </c>
      <c r="G182" s="2" t="s">
        <v>420</v>
      </c>
      <c r="H182" s="2" t="s">
        <v>509</v>
      </c>
      <c r="I182" s="2" t="s">
        <v>510</v>
      </c>
      <c r="J182" s="3">
        <v>4.5</v>
      </c>
      <c r="K182" s="2" t="s">
        <v>39</v>
      </c>
      <c r="L182" s="3">
        <v>4.5</v>
      </c>
      <c r="M182" s="13">
        <v>495000</v>
      </c>
      <c r="N182" s="3">
        <v>0</v>
      </c>
      <c r="O182" s="2" t="s">
        <v>25</v>
      </c>
      <c r="P182" s="2" t="s">
        <v>26</v>
      </c>
      <c r="Q182" s="2" t="s">
        <v>29</v>
      </c>
    </row>
    <row r="183" spans="1:17" x14ac:dyDescent="0.25">
      <c r="A183" s="1">
        <v>46242</v>
      </c>
      <c r="B183" s="1">
        <v>46241</v>
      </c>
      <c r="C183" s="2" t="s">
        <v>512</v>
      </c>
      <c r="D183" s="2" t="s">
        <v>385</v>
      </c>
      <c r="E183" s="2" t="s">
        <v>513</v>
      </c>
      <c r="F183" s="2" t="s">
        <v>20</v>
      </c>
      <c r="G183" s="2" t="s">
        <v>420</v>
      </c>
      <c r="H183" s="2" t="s">
        <v>390</v>
      </c>
      <c r="I183" s="2" t="s">
        <v>391</v>
      </c>
      <c r="J183" s="3">
        <v>25</v>
      </c>
      <c r="K183" s="2" t="s">
        <v>39</v>
      </c>
      <c r="L183" s="3">
        <v>25</v>
      </c>
      <c r="M183" s="13">
        <v>4124995.6</v>
      </c>
      <c r="N183" s="3">
        <v>0</v>
      </c>
      <c r="O183" s="2" t="s">
        <v>25</v>
      </c>
      <c r="P183" s="2" t="s">
        <v>26</v>
      </c>
      <c r="Q183" s="2" t="s">
        <v>29</v>
      </c>
    </row>
    <row r="184" spans="1:17" x14ac:dyDescent="0.25">
      <c r="A184" s="1">
        <v>46242</v>
      </c>
      <c r="B184" s="1">
        <v>46241</v>
      </c>
      <c r="C184" s="2" t="s">
        <v>514</v>
      </c>
      <c r="D184" s="2" t="s">
        <v>385</v>
      </c>
      <c r="E184" s="2" t="s">
        <v>515</v>
      </c>
      <c r="F184" s="2" t="s">
        <v>35</v>
      </c>
      <c r="G184" s="2" t="s">
        <v>42</v>
      </c>
      <c r="H184" s="2" t="s">
        <v>516</v>
      </c>
      <c r="I184" s="2" t="s">
        <v>517</v>
      </c>
      <c r="J184" s="3">
        <v>4</v>
      </c>
      <c r="K184" s="2" t="s">
        <v>413</v>
      </c>
      <c r="L184" s="3">
        <v>4</v>
      </c>
      <c r="M184" s="13">
        <v>440000</v>
      </c>
      <c r="N184" s="3">
        <v>0</v>
      </c>
      <c r="O184" s="2" t="s">
        <v>25</v>
      </c>
      <c r="P184" s="2" t="s">
        <v>26</v>
      </c>
      <c r="Q184" s="2" t="s">
        <v>29</v>
      </c>
    </row>
    <row r="185" spans="1:17" x14ac:dyDescent="0.25">
      <c r="A185" s="1">
        <v>46242</v>
      </c>
      <c r="B185" s="1">
        <v>46241</v>
      </c>
      <c r="C185" s="2" t="s">
        <v>518</v>
      </c>
      <c r="D185" s="2" t="s">
        <v>385</v>
      </c>
      <c r="E185" s="2" t="s">
        <v>519</v>
      </c>
      <c r="F185" s="2" t="s">
        <v>20</v>
      </c>
      <c r="G185" s="2" t="s">
        <v>313</v>
      </c>
      <c r="H185" s="2" t="s">
        <v>458</v>
      </c>
      <c r="I185" s="2" t="s">
        <v>459</v>
      </c>
      <c r="J185" s="3">
        <v>6</v>
      </c>
      <c r="K185" s="2" t="s">
        <v>369</v>
      </c>
      <c r="L185" s="3">
        <v>6</v>
      </c>
      <c r="M185" s="13">
        <v>420000</v>
      </c>
      <c r="N185" s="3">
        <v>0</v>
      </c>
      <c r="O185" s="2" t="s">
        <v>25</v>
      </c>
      <c r="P185" s="2" t="s">
        <v>26</v>
      </c>
      <c r="Q185" s="2" t="s">
        <v>29</v>
      </c>
    </row>
    <row r="186" spans="1:17" x14ac:dyDescent="0.25">
      <c r="A186" s="1">
        <v>46242</v>
      </c>
      <c r="B186" s="1">
        <v>46241</v>
      </c>
      <c r="C186" s="2" t="s">
        <v>520</v>
      </c>
      <c r="D186" s="2" t="s">
        <v>385</v>
      </c>
      <c r="E186" s="2" t="s">
        <v>521</v>
      </c>
      <c r="F186" s="2" t="s">
        <v>35</v>
      </c>
      <c r="G186" s="2" t="s">
        <v>171</v>
      </c>
      <c r="H186" s="2" t="s">
        <v>522</v>
      </c>
      <c r="I186" s="2" t="s">
        <v>523</v>
      </c>
      <c r="J186" s="3">
        <v>6</v>
      </c>
      <c r="K186" s="2" t="s">
        <v>413</v>
      </c>
      <c r="L186" s="3">
        <v>3</v>
      </c>
      <c r="M186" s="13">
        <v>202500</v>
      </c>
      <c r="N186" s="3">
        <v>-3</v>
      </c>
      <c r="O186" s="2" t="s">
        <v>25</v>
      </c>
      <c r="P186" s="2" t="s">
        <v>26</v>
      </c>
      <c r="Q186" s="2" t="s">
        <v>524</v>
      </c>
    </row>
    <row r="187" spans="1:17" x14ac:dyDescent="0.25">
      <c r="A187" s="1">
        <v>46242</v>
      </c>
      <c r="B187" s="1">
        <v>46241</v>
      </c>
      <c r="C187" s="2" t="s">
        <v>520</v>
      </c>
      <c r="D187" s="2" t="s">
        <v>385</v>
      </c>
      <c r="E187" s="2" t="s">
        <v>521</v>
      </c>
      <c r="F187" s="2" t="s">
        <v>35</v>
      </c>
      <c r="G187" s="2" t="s">
        <v>171</v>
      </c>
      <c r="H187" s="2" t="s">
        <v>411</v>
      </c>
      <c r="I187" s="2" t="s">
        <v>412</v>
      </c>
      <c r="J187" s="3">
        <v>6</v>
      </c>
      <c r="K187" s="2" t="s">
        <v>413</v>
      </c>
      <c r="L187" s="3">
        <v>1</v>
      </c>
      <c r="M187" s="13">
        <v>67500</v>
      </c>
      <c r="N187" s="3">
        <v>-5</v>
      </c>
      <c r="O187" s="2" t="s">
        <v>25</v>
      </c>
      <c r="P187" s="2" t="s">
        <v>26</v>
      </c>
      <c r="Q187" s="2" t="s">
        <v>524</v>
      </c>
    </row>
    <row r="188" spans="1:17" x14ac:dyDescent="0.25">
      <c r="A188" s="1">
        <v>46242</v>
      </c>
      <c r="B188" s="1">
        <v>46241</v>
      </c>
      <c r="C188" s="2" t="s">
        <v>520</v>
      </c>
      <c r="D188" s="2" t="s">
        <v>385</v>
      </c>
      <c r="E188" s="2" t="s">
        <v>521</v>
      </c>
      <c r="F188" s="2" t="s">
        <v>35</v>
      </c>
      <c r="G188" s="2" t="s">
        <v>171</v>
      </c>
      <c r="H188" s="2" t="s">
        <v>414</v>
      </c>
      <c r="I188" s="2" t="s">
        <v>415</v>
      </c>
      <c r="J188" s="3">
        <v>6</v>
      </c>
      <c r="K188" s="2" t="s">
        <v>413</v>
      </c>
      <c r="L188" s="3">
        <v>6</v>
      </c>
      <c r="M188" s="13">
        <v>404999.99</v>
      </c>
      <c r="N188" s="3">
        <v>0</v>
      </c>
      <c r="O188" s="2" t="s">
        <v>25</v>
      </c>
      <c r="P188" s="2" t="s">
        <v>26</v>
      </c>
      <c r="Q188" s="2" t="s">
        <v>524</v>
      </c>
    </row>
    <row r="189" spans="1:17" x14ac:dyDescent="0.25">
      <c r="A189" s="1">
        <v>46242</v>
      </c>
      <c r="B189" s="1">
        <v>46241</v>
      </c>
      <c r="C189" s="2" t="s">
        <v>520</v>
      </c>
      <c r="D189" s="2" t="s">
        <v>385</v>
      </c>
      <c r="E189" s="2" t="s">
        <v>521</v>
      </c>
      <c r="F189" s="2" t="s">
        <v>35</v>
      </c>
      <c r="G189" s="2" t="s">
        <v>171</v>
      </c>
      <c r="H189" s="2" t="s">
        <v>525</v>
      </c>
      <c r="I189" s="2" t="s">
        <v>526</v>
      </c>
      <c r="J189" s="3">
        <v>6</v>
      </c>
      <c r="K189" s="2" t="s">
        <v>413</v>
      </c>
      <c r="L189" s="3">
        <v>6</v>
      </c>
      <c r="M189" s="13">
        <v>404999.99</v>
      </c>
      <c r="N189" s="3">
        <v>0</v>
      </c>
      <c r="O189" s="2" t="s">
        <v>25</v>
      </c>
      <c r="P189" s="2" t="s">
        <v>26</v>
      </c>
      <c r="Q189" s="2" t="s">
        <v>524</v>
      </c>
    </row>
    <row r="190" spans="1:17" x14ac:dyDescent="0.25">
      <c r="A190" s="1">
        <v>46242</v>
      </c>
      <c r="B190" s="1">
        <v>46241</v>
      </c>
      <c r="C190" s="2" t="s">
        <v>520</v>
      </c>
      <c r="D190" s="2" t="s">
        <v>385</v>
      </c>
      <c r="E190" s="2" t="s">
        <v>521</v>
      </c>
      <c r="F190" s="2" t="s">
        <v>35</v>
      </c>
      <c r="G190" s="2" t="s">
        <v>171</v>
      </c>
      <c r="H190" s="2" t="s">
        <v>527</v>
      </c>
      <c r="I190" s="2" t="s">
        <v>528</v>
      </c>
      <c r="J190" s="3">
        <v>6</v>
      </c>
      <c r="K190" s="2" t="s">
        <v>413</v>
      </c>
      <c r="L190" s="3">
        <v>6</v>
      </c>
      <c r="M190" s="13">
        <v>404999.99</v>
      </c>
      <c r="N190" s="3">
        <v>0</v>
      </c>
      <c r="O190" s="2" t="s">
        <v>25</v>
      </c>
      <c r="P190" s="2" t="s">
        <v>26</v>
      </c>
      <c r="Q190" s="2" t="s">
        <v>524</v>
      </c>
    </row>
    <row r="191" spans="1:17" x14ac:dyDescent="0.25">
      <c r="A191" s="1">
        <v>46242</v>
      </c>
      <c r="B191" s="1">
        <v>46241</v>
      </c>
      <c r="C191" s="2" t="s">
        <v>520</v>
      </c>
      <c r="D191" s="2" t="s">
        <v>385</v>
      </c>
      <c r="E191" s="2" t="s">
        <v>521</v>
      </c>
      <c r="F191" s="2" t="s">
        <v>35</v>
      </c>
      <c r="G191" s="2" t="s">
        <v>171</v>
      </c>
      <c r="H191" s="2" t="s">
        <v>416</v>
      </c>
      <c r="I191" s="2" t="s">
        <v>417</v>
      </c>
      <c r="J191" s="3">
        <v>6</v>
      </c>
      <c r="K191" s="2" t="s">
        <v>413</v>
      </c>
      <c r="L191" s="3">
        <v>6</v>
      </c>
      <c r="M191" s="13">
        <v>405000</v>
      </c>
      <c r="N191" s="3">
        <v>0</v>
      </c>
      <c r="O191" s="2" t="s">
        <v>25</v>
      </c>
      <c r="P191" s="2" t="s">
        <v>26</v>
      </c>
      <c r="Q191" s="2" t="s">
        <v>524</v>
      </c>
    </row>
    <row r="192" spans="1:17" x14ac:dyDescent="0.25">
      <c r="A192" s="1">
        <v>46242</v>
      </c>
      <c r="B192" s="1">
        <v>46241</v>
      </c>
      <c r="C192" s="2" t="s">
        <v>529</v>
      </c>
      <c r="D192" s="2" t="s">
        <v>385</v>
      </c>
      <c r="E192" s="2" t="s">
        <v>312</v>
      </c>
      <c r="F192" s="2" t="s">
        <v>20</v>
      </c>
      <c r="G192" s="2" t="s">
        <v>313</v>
      </c>
      <c r="H192" s="2" t="s">
        <v>475</v>
      </c>
      <c r="I192" s="2" t="s">
        <v>476</v>
      </c>
      <c r="J192" s="3">
        <v>6</v>
      </c>
      <c r="K192" s="2" t="s">
        <v>477</v>
      </c>
      <c r="L192" s="3">
        <v>6</v>
      </c>
      <c r="M192" s="13">
        <v>326340</v>
      </c>
      <c r="N192" s="3">
        <v>0</v>
      </c>
      <c r="O192" s="2" t="s">
        <v>25</v>
      </c>
      <c r="P192" s="2" t="s">
        <v>26</v>
      </c>
      <c r="Q192" s="2" t="s">
        <v>29</v>
      </c>
    </row>
    <row r="193" spans="1:17" x14ac:dyDescent="0.25">
      <c r="A193" s="1">
        <v>46242</v>
      </c>
      <c r="B193" s="1">
        <v>46241</v>
      </c>
      <c r="C193" s="2" t="s">
        <v>529</v>
      </c>
      <c r="D193" s="2" t="s">
        <v>385</v>
      </c>
      <c r="E193" s="2" t="s">
        <v>312</v>
      </c>
      <c r="F193" s="2" t="s">
        <v>20</v>
      </c>
      <c r="G193" s="2" t="s">
        <v>313</v>
      </c>
      <c r="H193" s="2" t="s">
        <v>458</v>
      </c>
      <c r="I193" s="2" t="s">
        <v>459</v>
      </c>
      <c r="J193" s="3">
        <v>2</v>
      </c>
      <c r="K193" s="2" t="s">
        <v>369</v>
      </c>
      <c r="L193" s="3">
        <v>2</v>
      </c>
      <c r="M193" s="13">
        <v>134310</v>
      </c>
      <c r="N193" s="3">
        <v>0</v>
      </c>
      <c r="O193" s="2" t="s">
        <v>25</v>
      </c>
      <c r="P193" s="2" t="s">
        <v>26</v>
      </c>
      <c r="Q193" s="2" t="s">
        <v>29</v>
      </c>
    </row>
    <row r="194" spans="1:17" x14ac:dyDescent="0.25">
      <c r="A194" s="1">
        <v>46242</v>
      </c>
      <c r="B194" s="1">
        <v>46241</v>
      </c>
      <c r="C194" s="2" t="s">
        <v>530</v>
      </c>
      <c r="D194" s="2" t="s">
        <v>385</v>
      </c>
      <c r="E194" s="2" t="s">
        <v>312</v>
      </c>
      <c r="F194" s="2" t="s">
        <v>20</v>
      </c>
      <c r="G194" s="2" t="s">
        <v>313</v>
      </c>
      <c r="H194" s="2" t="s">
        <v>461</v>
      </c>
      <c r="I194" s="2" t="s">
        <v>462</v>
      </c>
      <c r="J194" s="3">
        <v>7</v>
      </c>
      <c r="K194" s="2" t="s">
        <v>39</v>
      </c>
      <c r="L194" s="3">
        <v>6.83</v>
      </c>
      <c r="M194" s="13">
        <v>833260</v>
      </c>
      <c r="N194" s="3">
        <v>-0.17</v>
      </c>
      <c r="O194" s="2" t="s">
        <v>25</v>
      </c>
      <c r="P194" s="2" t="s">
        <v>26</v>
      </c>
      <c r="Q194" s="2" t="s">
        <v>29</v>
      </c>
    </row>
    <row r="195" spans="1:17" x14ac:dyDescent="0.25">
      <c r="A195" s="1">
        <v>46242</v>
      </c>
      <c r="B195" s="1">
        <v>46241</v>
      </c>
      <c r="C195" s="2" t="s">
        <v>531</v>
      </c>
      <c r="D195" s="2" t="s">
        <v>385</v>
      </c>
      <c r="E195" s="2" t="s">
        <v>532</v>
      </c>
      <c r="F195" s="2" t="s">
        <v>20</v>
      </c>
      <c r="G195" s="2" t="s">
        <v>420</v>
      </c>
      <c r="H195" s="2" t="s">
        <v>421</v>
      </c>
      <c r="I195" s="2" t="s">
        <v>422</v>
      </c>
      <c r="J195" s="3">
        <v>5</v>
      </c>
      <c r="K195" s="2" t="s">
        <v>119</v>
      </c>
      <c r="L195" s="3">
        <v>5</v>
      </c>
      <c r="M195" s="13">
        <v>300000</v>
      </c>
      <c r="N195" s="3">
        <v>0</v>
      </c>
      <c r="O195" s="2" t="s">
        <v>25</v>
      </c>
      <c r="P195" s="2" t="s">
        <v>26</v>
      </c>
      <c r="Q195" s="2" t="s">
        <v>29</v>
      </c>
    </row>
    <row r="196" spans="1:17" x14ac:dyDescent="0.25">
      <c r="A196" s="1">
        <v>46242</v>
      </c>
      <c r="B196" s="1">
        <v>46241</v>
      </c>
      <c r="C196" s="2" t="s">
        <v>531</v>
      </c>
      <c r="D196" s="2" t="s">
        <v>385</v>
      </c>
      <c r="E196" s="2" t="s">
        <v>532</v>
      </c>
      <c r="F196" s="2" t="s">
        <v>20</v>
      </c>
      <c r="G196" s="2" t="s">
        <v>420</v>
      </c>
      <c r="H196" s="2" t="s">
        <v>407</v>
      </c>
      <c r="I196" s="2" t="s">
        <v>408</v>
      </c>
      <c r="J196" s="3">
        <v>2.2999999999999998</v>
      </c>
      <c r="K196" s="2" t="s">
        <v>39</v>
      </c>
      <c r="L196" s="3">
        <v>2.1800000000000002</v>
      </c>
      <c r="M196" s="13">
        <v>218000</v>
      </c>
      <c r="N196" s="3">
        <v>-0.12</v>
      </c>
      <c r="O196" s="2" t="s">
        <v>25</v>
      </c>
      <c r="P196" s="2" t="s">
        <v>26</v>
      </c>
      <c r="Q196" s="2" t="s">
        <v>29</v>
      </c>
    </row>
    <row r="197" spans="1:17" x14ac:dyDescent="0.25">
      <c r="A197" s="1">
        <v>46242</v>
      </c>
      <c r="B197" s="1">
        <v>46241</v>
      </c>
      <c r="C197" s="2" t="s">
        <v>533</v>
      </c>
      <c r="D197" s="2" t="s">
        <v>385</v>
      </c>
      <c r="E197" s="2" t="s">
        <v>532</v>
      </c>
      <c r="F197" s="2" t="s">
        <v>20</v>
      </c>
      <c r="G197" s="2" t="s">
        <v>420</v>
      </c>
      <c r="H197" s="2" t="s">
        <v>407</v>
      </c>
      <c r="I197" s="2" t="s">
        <v>408</v>
      </c>
      <c r="J197" s="3">
        <v>2.2999999999999998</v>
      </c>
      <c r="K197" s="2" t="s">
        <v>39</v>
      </c>
      <c r="L197" s="3">
        <v>2.16</v>
      </c>
      <c r="M197" s="13">
        <v>215999.99</v>
      </c>
      <c r="N197" s="3">
        <v>-0.14000000000000001</v>
      </c>
      <c r="O197" s="2" t="s">
        <v>25</v>
      </c>
      <c r="P197" s="2" t="s">
        <v>26</v>
      </c>
      <c r="Q197" s="2" t="s">
        <v>29</v>
      </c>
    </row>
    <row r="198" spans="1:17" x14ac:dyDescent="0.25">
      <c r="A198" s="1">
        <v>46242</v>
      </c>
      <c r="B198" s="1">
        <v>46241</v>
      </c>
      <c r="C198" s="2" t="s">
        <v>534</v>
      </c>
      <c r="D198" s="2" t="s">
        <v>385</v>
      </c>
      <c r="E198" s="2" t="s">
        <v>535</v>
      </c>
      <c r="F198" s="2" t="s">
        <v>35</v>
      </c>
      <c r="G198" s="2" t="s">
        <v>192</v>
      </c>
      <c r="H198" s="2" t="s">
        <v>387</v>
      </c>
      <c r="I198" s="2" t="s">
        <v>388</v>
      </c>
      <c r="J198" s="3">
        <v>5</v>
      </c>
      <c r="K198" s="2" t="s">
        <v>39</v>
      </c>
      <c r="L198" s="3">
        <v>5</v>
      </c>
      <c r="M198" s="13">
        <v>500000</v>
      </c>
      <c r="N198" s="3">
        <v>0</v>
      </c>
      <c r="O198" s="2" t="s">
        <v>25</v>
      </c>
      <c r="P198" s="2" t="s">
        <v>26</v>
      </c>
      <c r="Q198" s="2" t="s">
        <v>29</v>
      </c>
    </row>
    <row r="199" spans="1:17" x14ac:dyDescent="0.25">
      <c r="A199" s="1">
        <v>46242</v>
      </c>
      <c r="B199" s="1">
        <v>46241</v>
      </c>
      <c r="C199" s="2" t="s">
        <v>536</v>
      </c>
      <c r="D199" s="2" t="s">
        <v>385</v>
      </c>
      <c r="E199" s="2" t="s">
        <v>347</v>
      </c>
      <c r="F199" s="2" t="s">
        <v>20</v>
      </c>
      <c r="G199" s="2" t="s">
        <v>214</v>
      </c>
      <c r="H199" s="2" t="s">
        <v>461</v>
      </c>
      <c r="I199" s="2" t="s">
        <v>462</v>
      </c>
      <c r="J199" s="3">
        <v>10</v>
      </c>
      <c r="K199" s="2" t="s">
        <v>39</v>
      </c>
      <c r="L199" s="3">
        <v>6.66</v>
      </c>
      <c r="M199" s="13">
        <v>845820</v>
      </c>
      <c r="N199" s="3">
        <v>-3.34</v>
      </c>
      <c r="O199" s="2" t="s">
        <v>25</v>
      </c>
      <c r="P199" s="2" t="s">
        <v>26</v>
      </c>
      <c r="Q199" s="2" t="s">
        <v>29</v>
      </c>
    </row>
    <row r="200" spans="1:17" x14ac:dyDescent="0.25">
      <c r="A200" s="1">
        <v>46242</v>
      </c>
      <c r="B200" s="1">
        <v>46241</v>
      </c>
      <c r="C200" s="2" t="s">
        <v>537</v>
      </c>
      <c r="D200" s="2" t="s">
        <v>385</v>
      </c>
      <c r="E200" s="2" t="s">
        <v>371</v>
      </c>
      <c r="F200" s="2" t="s">
        <v>20</v>
      </c>
      <c r="G200" s="2" t="s">
        <v>214</v>
      </c>
      <c r="H200" s="2" t="s">
        <v>538</v>
      </c>
      <c r="I200" s="2" t="s">
        <v>539</v>
      </c>
      <c r="J200" s="3">
        <v>1</v>
      </c>
      <c r="K200" s="2" t="s">
        <v>413</v>
      </c>
      <c r="L200" s="3">
        <v>1</v>
      </c>
      <c r="M200" s="13">
        <v>105000</v>
      </c>
      <c r="N200" s="3">
        <v>0</v>
      </c>
      <c r="O200" s="2" t="s">
        <v>25</v>
      </c>
      <c r="P200" s="2" t="s">
        <v>26</v>
      </c>
      <c r="Q200" s="2" t="s">
        <v>29</v>
      </c>
    </row>
    <row r="201" spans="1:17" x14ac:dyDescent="0.25">
      <c r="A201" s="1">
        <v>46242</v>
      </c>
      <c r="B201" s="1">
        <v>46241</v>
      </c>
      <c r="C201" s="2" t="s">
        <v>537</v>
      </c>
      <c r="D201" s="2" t="s">
        <v>385</v>
      </c>
      <c r="E201" s="2" t="s">
        <v>371</v>
      </c>
      <c r="F201" s="2" t="s">
        <v>20</v>
      </c>
      <c r="G201" s="2" t="s">
        <v>214</v>
      </c>
      <c r="H201" s="2" t="s">
        <v>516</v>
      </c>
      <c r="I201" s="2" t="s">
        <v>517</v>
      </c>
      <c r="J201" s="3">
        <v>1</v>
      </c>
      <c r="K201" s="2" t="s">
        <v>413</v>
      </c>
      <c r="L201" s="3">
        <v>1</v>
      </c>
      <c r="M201" s="13">
        <v>104999.99</v>
      </c>
      <c r="N201" s="3">
        <v>0</v>
      </c>
      <c r="O201" s="2" t="s">
        <v>25</v>
      </c>
      <c r="P201" s="2" t="s">
        <v>26</v>
      </c>
      <c r="Q201" s="2" t="s">
        <v>29</v>
      </c>
    </row>
    <row r="202" spans="1:17" x14ac:dyDescent="0.25">
      <c r="A202" s="1">
        <v>46242</v>
      </c>
      <c r="B202" s="1">
        <v>46241</v>
      </c>
      <c r="C202" s="2" t="s">
        <v>540</v>
      </c>
      <c r="D202" s="2" t="s">
        <v>385</v>
      </c>
      <c r="E202" s="2" t="s">
        <v>349</v>
      </c>
      <c r="F202" s="2" t="s">
        <v>35</v>
      </c>
      <c r="G202" s="2" t="s">
        <v>192</v>
      </c>
      <c r="H202" s="2" t="s">
        <v>499</v>
      </c>
      <c r="I202" s="2" t="s">
        <v>500</v>
      </c>
      <c r="J202" s="3">
        <v>2</v>
      </c>
      <c r="K202" s="2" t="s">
        <v>413</v>
      </c>
      <c r="L202" s="3">
        <v>2</v>
      </c>
      <c r="M202" s="13">
        <v>220000</v>
      </c>
      <c r="N202" s="3">
        <v>0</v>
      </c>
      <c r="O202" s="2" t="s">
        <v>25</v>
      </c>
      <c r="P202" s="2" t="s">
        <v>26</v>
      </c>
      <c r="Q202" s="2" t="s">
        <v>29</v>
      </c>
    </row>
    <row r="203" spans="1:17" x14ac:dyDescent="0.25">
      <c r="A203" s="1">
        <v>46242</v>
      </c>
      <c r="B203" s="1">
        <v>46241</v>
      </c>
      <c r="C203" s="2" t="s">
        <v>541</v>
      </c>
      <c r="D203" s="2" t="s">
        <v>385</v>
      </c>
      <c r="E203" s="2" t="s">
        <v>542</v>
      </c>
      <c r="F203" s="2" t="s">
        <v>35</v>
      </c>
      <c r="G203" s="2" t="s">
        <v>32</v>
      </c>
      <c r="H203" s="2" t="s">
        <v>543</v>
      </c>
      <c r="I203" s="2" t="s">
        <v>544</v>
      </c>
      <c r="J203" s="3">
        <v>3</v>
      </c>
      <c r="K203" s="2" t="s">
        <v>119</v>
      </c>
      <c r="L203" s="3">
        <v>3</v>
      </c>
      <c r="M203" s="13">
        <v>390000</v>
      </c>
      <c r="N203" s="3">
        <v>0</v>
      </c>
      <c r="O203" s="2" t="s">
        <v>25</v>
      </c>
      <c r="P203" s="2" t="s">
        <v>26</v>
      </c>
      <c r="Q203" s="2" t="s">
        <v>29</v>
      </c>
    </row>
    <row r="204" spans="1:17" x14ac:dyDescent="0.25">
      <c r="A204" s="1">
        <v>46242</v>
      </c>
      <c r="B204" s="1">
        <v>46241</v>
      </c>
      <c r="C204" s="2" t="s">
        <v>545</v>
      </c>
      <c r="D204" s="2" t="s">
        <v>385</v>
      </c>
      <c r="E204" s="2" t="s">
        <v>546</v>
      </c>
      <c r="F204" s="2" t="s">
        <v>35</v>
      </c>
      <c r="G204" s="2" t="s">
        <v>21</v>
      </c>
      <c r="H204" s="2" t="s">
        <v>485</v>
      </c>
      <c r="I204" s="2" t="s">
        <v>486</v>
      </c>
      <c r="J204" s="3">
        <v>1</v>
      </c>
      <c r="K204" s="2" t="s">
        <v>453</v>
      </c>
      <c r="L204" s="3">
        <v>1</v>
      </c>
      <c r="M204" s="13">
        <v>104999.99</v>
      </c>
      <c r="N204" s="3">
        <v>0</v>
      </c>
      <c r="O204" s="2" t="s">
        <v>25</v>
      </c>
      <c r="P204" s="2" t="s">
        <v>26</v>
      </c>
      <c r="Q204" s="2" t="s">
        <v>29</v>
      </c>
    </row>
    <row r="205" spans="1:17" x14ac:dyDescent="0.25">
      <c r="A205" s="1">
        <v>46242</v>
      </c>
      <c r="B205" s="1">
        <v>46241</v>
      </c>
      <c r="C205" s="2" t="s">
        <v>545</v>
      </c>
      <c r="D205" s="2" t="s">
        <v>385</v>
      </c>
      <c r="E205" s="2" t="s">
        <v>546</v>
      </c>
      <c r="F205" s="2" t="s">
        <v>35</v>
      </c>
      <c r="G205" s="2" t="s">
        <v>21</v>
      </c>
      <c r="H205" s="2" t="s">
        <v>547</v>
      </c>
      <c r="I205" s="2" t="s">
        <v>548</v>
      </c>
      <c r="J205" s="3">
        <v>1</v>
      </c>
      <c r="K205" s="2" t="s">
        <v>453</v>
      </c>
      <c r="L205" s="3">
        <v>1</v>
      </c>
      <c r="M205" s="13">
        <v>104999.99</v>
      </c>
      <c r="N205" s="3">
        <v>0</v>
      </c>
      <c r="O205" s="2" t="s">
        <v>25</v>
      </c>
      <c r="P205" s="2" t="s">
        <v>26</v>
      </c>
      <c r="Q205" s="2" t="s">
        <v>29</v>
      </c>
    </row>
    <row r="206" spans="1:17" x14ac:dyDescent="0.25">
      <c r="A206" s="1">
        <v>46242</v>
      </c>
      <c r="B206" s="1">
        <v>46241</v>
      </c>
      <c r="C206" s="2" t="s">
        <v>545</v>
      </c>
      <c r="D206" s="2" t="s">
        <v>385</v>
      </c>
      <c r="E206" s="2" t="s">
        <v>546</v>
      </c>
      <c r="F206" s="2" t="s">
        <v>35</v>
      </c>
      <c r="G206" s="2" t="s">
        <v>21</v>
      </c>
      <c r="H206" s="2" t="s">
        <v>549</v>
      </c>
      <c r="I206" s="2" t="s">
        <v>550</v>
      </c>
      <c r="J206" s="3">
        <v>1</v>
      </c>
      <c r="K206" s="2" t="s">
        <v>453</v>
      </c>
      <c r="L206" s="3">
        <v>1</v>
      </c>
      <c r="M206" s="13">
        <v>105000</v>
      </c>
      <c r="N206" s="3">
        <v>0</v>
      </c>
      <c r="O206" s="2" t="s">
        <v>25</v>
      </c>
      <c r="P206" s="2" t="s">
        <v>26</v>
      </c>
      <c r="Q206" s="2" t="s">
        <v>29</v>
      </c>
    </row>
    <row r="207" spans="1:17" x14ac:dyDescent="0.25">
      <c r="A207" s="1">
        <v>46242</v>
      </c>
      <c r="B207" s="1">
        <v>46241</v>
      </c>
      <c r="C207" s="2" t="s">
        <v>551</v>
      </c>
      <c r="D207" s="2" t="s">
        <v>385</v>
      </c>
      <c r="E207" s="2" t="s">
        <v>106</v>
      </c>
      <c r="F207" s="2" t="s">
        <v>20</v>
      </c>
      <c r="G207" s="2" t="s">
        <v>107</v>
      </c>
      <c r="H207" s="2" t="s">
        <v>552</v>
      </c>
      <c r="I207" s="2" t="s">
        <v>553</v>
      </c>
      <c r="J207" s="3">
        <v>1</v>
      </c>
      <c r="K207" s="2" t="s">
        <v>369</v>
      </c>
      <c r="L207" s="3">
        <v>1</v>
      </c>
      <c r="M207" s="13">
        <v>265000</v>
      </c>
      <c r="N207" s="3">
        <v>0</v>
      </c>
      <c r="O207" s="2" t="s">
        <v>25</v>
      </c>
      <c r="P207" s="2" t="s">
        <v>26</v>
      </c>
      <c r="Q207" s="2" t="s">
        <v>29</v>
      </c>
    </row>
    <row r="208" spans="1:17" x14ac:dyDescent="0.25">
      <c r="A208" s="1">
        <v>46242</v>
      </c>
      <c r="B208" s="1">
        <v>46241</v>
      </c>
      <c r="C208" s="2" t="s">
        <v>554</v>
      </c>
      <c r="D208" s="2" t="s">
        <v>385</v>
      </c>
      <c r="E208" s="2" t="s">
        <v>239</v>
      </c>
      <c r="F208" s="2" t="s">
        <v>20</v>
      </c>
      <c r="G208" s="2" t="s">
        <v>21</v>
      </c>
      <c r="H208" s="2" t="s">
        <v>497</v>
      </c>
      <c r="I208" s="2" t="s">
        <v>498</v>
      </c>
      <c r="J208" s="3">
        <v>1</v>
      </c>
      <c r="K208" s="2" t="s">
        <v>60</v>
      </c>
      <c r="L208" s="3">
        <v>1</v>
      </c>
      <c r="M208" s="13">
        <v>156510</v>
      </c>
      <c r="N208" s="3">
        <v>0</v>
      </c>
      <c r="O208" s="2" t="s">
        <v>25</v>
      </c>
      <c r="P208" s="2" t="s">
        <v>26</v>
      </c>
      <c r="Q208" s="2" t="s">
        <v>29</v>
      </c>
    </row>
    <row r="209" spans="1:17" x14ac:dyDescent="0.25">
      <c r="A209" s="1">
        <v>46242</v>
      </c>
      <c r="B209" s="1">
        <v>46241</v>
      </c>
      <c r="C209" s="2" t="s">
        <v>555</v>
      </c>
      <c r="D209" s="2" t="s">
        <v>385</v>
      </c>
      <c r="E209" s="2" t="s">
        <v>556</v>
      </c>
      <c r="F209" s="2" t="s">
        <v>20</v>
      </c>
      <c r="G209" s="2" t="s">
        <v>234</v>
      </c>
      <c r="H209" s="2" t="s">
        <v>414</v>
      </c>
      <c r="I209" s="2" t="s">
        <v>415</v>
      </c>
      <c r="J209" s="3">
        <v>20</v>
      </c>
      <c r="K209" s="2" t="s">
        <v>413</v>
      </c>
      <c r="L209" s="3">
        <v>20</v>
      </c>
      <c r="M209" s="13">
        <v>1239999.98</v>
      </c>
      <c r="N209" s="3">
        <v>0</v>
      </c>
      <c r="O209" s="2" t="s">
        <v>25</v>
      </c>
      <c r="P209" s="2" t="s">
        <v>26</v>
      </c>
      <c r="Q209" s="2" t="s">
        <v>29</v>
      </c>
    </row>
    <row r="210" spans="1:17" x14ac:dyDescent="0.25">
      <c r="A210" s="1">
        <v>46242</v>
      </c>
      <c r="B210" s="1">
        <v>46241</v>
      </c>
      <c r="C210" s="2" t="s">
        <v>555</v>
      </c>
      <c r="D210" s="2" t="s">
        <v>385</v>
      </c>
      <c r="E210" s="2" t="s">
        <v>556</v>
      </c>
      <c r="F210" s="2" t="s">
        <v>20</v>
      </c>
      <c r="G210" s="2" t="s">
        <v>234</v>
      </c>
      <c r="H210" s="2" t="s">
        <v>525</v>
      </c>
      <c r="I210" s="2" t="s">
        <v>526</v>
      </c>
      <c r="J210" s="3">
        <v>20</v>
      </c>
      <c r="K210" s="2" t="s">
        <v>413</v>
      </c>
      <c r="L210" s="3">
        <v>20</v>
      </c>
      <c r="M210" s="13">
        <v>1239999.98</v>
      </c>
      <c r="N210" s="3">
        <v>0</v>
      </c>
      <c r="O210" s="2" t="s">
        <v>25</v>
      </c>
      <c r="P210" s="2" t="s">
        <v>26</v>
      </c>
      <c r="Q210" s="2" t="s">
        <v>29</v>
      </c>
    </row>
    <row r="211" spans="1:17" x14ac:dyDescent="0.25">
      <c r="A211" s="1">
        <v>46242</v>
      </c>
      <c r="B211" s="1">
        <v>46241</v>
      </c>
      <c r="C211" s="2" t="s">
        <v>555</v>
      </c>
      <c r="D211" s="2" t="s">
        <v>385</v>
      </c>
      <c r="E211" s="2" t="s">
        <v>556</v>
      </c>
      <c r="F211" s="2" t="s">
        <v>20</v>
      </c>
      <c r="G211" s="2" t="s">
        <v>234</v>
      </c>
      <c r="H211" s="2" t="s">
        <v>527</v>
      </c>
      <c r="I211" s="2" t="s">
        <v>528</v>
      </c>
      <c r="J211" s="3">
        <v>20</v>
      </c>
      <c r="K211" s="2" t="s">
        <v>413</v>
      </c>
      <c r="L211" s="3">
        <v>20</v>
      </c>
      <c r="M211" s="13">
        <v>1239999.98</v>
      </c>
      <c r="N211" s="3">
        <v>0</v>
      </c>
      <c r="O211" s="2" t="s">
        <v>25</v>
      </c>
      <c r="P211" s="2" t="s">
        <v>26</v>
      </c>
      <c r="Q211" s="2" t="s">
        <v>29</v>
      </c>
    </row>
    <row r="212" spans="1:17" x14ac:dyDescent="0.25">
      <c r="A212" s="1">
        <v>46242</v>
      </c>
      <c r="B212" s="1">
        <v>46241</v>
      </c>
      <c r="C212" s="2" t="s">
        <v>555</v>
      </c>
      <c r="D212" s="2" t="s">
        <v>385</v>
      </c>
      <c r="E212" s="2" t="s">
        <v>556</v>
      </c>
      <c r="F212" s="2" t="s">
        <v>20</v>
      </c>
      <c r="G212" s="2" t="s">
        <v>234</v>
      </c>
      <c r="H212" s="2" t="s">
        <v>416</v>
      </c>
      <c r="I212" s="2" t="s">
        <v>417</v>
      </c>
      <c r="J212" s="3">
        <v>20</v>
      </c>
      <c r="K212" s="2" t="s">
        <v>413</v>
      </c>
      <c r="L212" s="3">
        <v>20</v>
      </c>
      <c r="M212" s="13">
        <v>1239999.98</v>
      </c>
      <c r="N212" s="3">
        <v>0</v>
      </c>
      <c r="O212" s="2" t="s">
        <v>25</v>
      </c>
      <c r="P212" s="2" t="s">
        <v>26</v>
      </c>
      <c r="Q212" s="2" t="s">
        <v>29</v>
      </c>
    </row>
    <row r="213" spans="1:17" x14ac:dyDescent="0.25">
      <c r="A213" s="1">
        <v>46242</v>
      </c>
      <c r="B213" s="1">
        <v>46241</v>
      </c>
      <c r="C213" s="2" t="s">
        <v>555</v>
      </c>
      <c r="D213" s="2" t="s">
        <v>385</v>
      </c>
      <c r="E213" s="2" t="s">
        <v>556</v>
      </c>
      <c r="F213" s="2" t="s">
        <v>20</v>
      </c>
      <c r="G213" s="2" t="s">
        <v>234</v>
      </c>
      <c r="H213" s="2" t="s">
        <v>557</v>
      </c>
      <c r="I213" s="2" t="s">
        <v>558</v>
      </c>
      <c r="J213" s="3">
        <v>12</v>
      </c>
      <c r="K213" s="2" t="s">
        <v>413</v>
      </c>
      <c r="L213" s="3">
        <v>12</v>
      </c>
      <c r="M213" s="13">
        <v>767999.99</v>
      </c>
      <c r="N213" s="3">
        <v>0</v>
      </c>
      <c r="O213" s="2" t="s">
        <v>25</v>
      </c>
      <c r="P213" s="2" t="s">
        <v>26</v>
      </c>
      <c r="Q213" s="2" t="s">
        <v>29</v>
      </c>
    </row>
    <row r="214" spans="1:17" x14ac:dyDescent="0.25">
      <c r="A214" s="1">
        <v>46242</v>
      </c>
      <c r="B214" s="1">
        <v>46241</v>
      </c>
      <c r="C214" s="2" t="s">
        <v>555</v>
      </c>
      <c r="D214" s="2" t="s">
        <v>385</v>
      </c>
      <c r="E214" s="2" t="s">
        <v>556</v>
      </c>
      <c r="F214" s="2" t="s">
        <v>20</v>
      </c>
      <c r="G214" s="2" t="s">
        <v>234</v>
      </c>
      <c r="H214" s="2" t="s">
        <v>559</v>
      </c>
      <c r="I214" s="2" t="s">
        <v>560</v>
      </c>
      <c r="J214" s="3">
        <v>12</v>
      </c>
      <c r="K214" s="2" t="s">
        <v>413</v>
      </c>
      <c r="L214" s="3">
        <v>12</v>
      </c>
      <c r="M214" s="13">
        <v>683999.99</v>
      </c>
      <c r="N214" s="3">
        <v>0</v>
      </c>
      <c r="O214" s="2" t="s">
        <v>25</v>
      </c>
      <c r="P214" s="2" t="s">
        <v>26</v>
      </c>
      <c r="Q214" s="2" t="s">
        <v>29</v>
      </c>
    </row>
    <row r="215" spans="1:17" x14ac:dyDescent="0.25">
      <c r="A215" s="1">
        <v>46242</v>
      </c>
      <c r="B215" s="1">
        <v>46241</v>
      </c>
      <c r="C215" s="2" t="s">
        <v>555</v>
      </c>
      <c r="D215" s="2" t="s">
        <v>385</v>
      </c>
      <c r="E215" s="2" t="s">
        <v>556</v>
      </c>
      <c r="F215" s="2" t="s">
        <v>20</v>
      </c>
      <c r="G215" s="2" t="s">
        <v>234</v>
      </c>
      <c r="H215" s="2" t="s">
        <v>561</v>
      </c>
      <c r="I215" s="2" t="s">
        <v>562</v>
      </c>
      <c r="J215" s="3">
        <v>12</v>
      </c>
      <c r="K215" s="2" t="s">
        <v>413</v>
      </c>
      <c r="L215" s="3">
        <v>10</v>
      </c>
      <c r="M215" s="13">
        <v>600000</v>
      </c>
      <c r="N215" s="3">
        <v>-2</v>
      </c>
      <c r="O215" s="2" t="s">
        <v>25</v>
      </c>
      <c r="P215" s="2" t="s">
        <v>26</v>
      </c>
      <c r="Q215" s="2" t="s">
        <v>29</v>
      </c>
    </row>
    <row r="216" spans="1:17" x14ac:dyDescent="0.25">
      <c r="A216" s="1">
        <v>46242</v>
      </c>
      <c r="B216" s="1">
        <v>46241</v>
      </c>
      <c r="C216" s="2" t="s">
        <v>555</v>
      </c>
      <c r="D216" s="2" t="s">
        <v>385</v>
      </c>
      <c r="E216" s="2" t="s">
        <v>556</v>
      </c>
      <c r="F216" s="2" t="s">
        <v>20</v>
      </c>
      <c r="G216" s="2" t="s">
        <v>234</v>
      </c>
      <c r="H216" s="2" t="s">
        <v>563</v>
      </c>
      <c r="I216" s="2" t="s">
        <v>564</v>
      </c>
      <c r="J216" s="3">
        <v>12</v>
      </c>
      <c r="K216" s="2" t="s">
        <v>413</v>
      </c>
      <c r="L216" s="3">
        <v>12</v>
      </c>
      <c r="M216" s="13">
        <v>750000</v>
      </c>
      <c r="N216" s="3">
        <v>0</v>
      </c>
      <c r="O216" s="2" t="s">
        <v>25</v>
      </c>
      <c r="P216" s="2" t="s">
        <v>26</v>
      </c>
      <c r="Q216" s="2" t="s">
        <v>29</v>
      </c>
    </row>
    <row r="217" spans="1:17" x14ac:dyDescent="0.25">
      <c r="A217" s="1">
        <v>46242</v>
      </c>
      <c r="B217" s="1">
        <v>46241</v>
      </c>
      <c r="C217" s="2" t="s">
        <v>565</v>
      </c>
      <c r="D217" s="2" t="s">
        <v>385</v>
      </c>
      <c r="E217" s="2" t="s">
        <v>566</v>
      </c>
      <c r="F217" s="2" t="s">
        <v>35</v>
      </c>
      <c r="G217" s="2" t="s">
        <v>21</v>
      </c>
      <c r="H217" s="2" t="s">
        <v>567</v>
      </c>
      <c r="I217" s="2" t="s">
        <v>568</v>
      </c>
      <c r="J217" s="3">
        <v>2</v>
      </c>
      <c r="K217" s="2" t="s">
        <v>413</v>
      </c>
      <c r="L217" s="3">
        <v>2</v>
      </c>
      <c r="M217" s="13">
        <v>220000</v>
      </c>
      <c r="N217" s="3">
        <v>0</v>
      </c>
      <c r="O217" s="2" t="s">
        <v>25</v>
      </c>
      <c r="P217" s="2" t="s">
        <v>26</v>
      </c>
      <c r="Q217" s="2" t="s">
        <v>29</v>
      </c>
    </row>
    <row r="218" spans="1:17" x14ac:dyDescent="0.25">
      <c r="A218" s="1">
        <v>46242</v>
      </c>
      <c r="B218" s="1">
        <v>46241</v>
      </c>
      <c r="C218" s="2" t="s">
        <v>569</v>
      </c>
      <c r="D218" s="2" t="s">
        <v>385</v>
      </c>
      <c r="E218" s="2" t="s">
        <v>376</v>
      </c>
      <c r="F218" s="2" t="s">
        <v>35</v>
      </c>
      <c r="G218" s="2" t="s">
        <v>32</v>
      </c>
      <c r="H218" s="2" t="s">
        <v>442</v>
      </c>
      <c r="I218" s="2" t="s">
        <v>443</v>
      </c>
      <c r="J218" s="3">
        <v>5</v>
      </c>
      <c r="K218" s="2" t="s">
        <v>39</v>
      </c>
      <c r="L218" s="3">
        <v>5</v>
      </c>
      <c r="M218" s="13">
        <v>674999.99</v>
      </c>
      <c r="N218" s="3">
        <v>0</v>
      </c>
      <c r="O218" s="2" t="s">
        <v>25</v>
      </c>
      <c r="P218" s="2" t="s">
        <v>26</v>
      </c>
      <c r="Q218" s="2" t="s">
        <v>29</v>
      </c>
    </row>
    <row r="219" spans="1:17" x14ac:dyDescent="0.25">
      <c r="M219" s="14">
        <f>SUM(M2:M218)</f>
        <v>302619575.43000007</v>
      </c>
    </row>
  </sheetData>
  <autoFilter ref="A1:Q139" xr:uid="{00000000-0009-0000-0000-000000000000}"/>
  <pageMargins left="0.7" right="0.7" top="0.75" bottom="0.75" header="0.3" footer="0.3"/>
  <ignoredErrors>
    <ignoredError sqref="A1:Q2 A135:Q139 A126:Q128 A106:Q106 A98:Q105 A92:Q97 A75:Q77 A65:Q66 A63:Q64 A28:Q37 A27:Q27 A10:Q10 A130:Q134 A129:Q129 A121:Q125 A107:Q120 A88:Q91 A78:Q87 A71:Q74 A67:Q70 A59:Q62 A52:Q58 A49:Q51 A47:Q48 A46:Q46 A43:Q45 A41:Q42 A38:Q40 A17:Q26 A15:Q16 A12:Q14 A11:Q11 A3:Q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2026-08-08T00:33:19Z</dcterms:created>
  <dcterms:modified xsi:type="dcterms:W3CDTF">2026-08-08T00:44:37Z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