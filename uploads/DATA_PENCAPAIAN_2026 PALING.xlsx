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7" l="1"/>
  <c r="D83" i="7"/>
  <c r="D75" i="7"/>
  <c r="D81" i="7"/>
  <c r="D80" i="7"/>
  <c r="D79" i="7"/>
  <c r="D78" i="7"/>
  <c r="D77" i="7"/>
  <c r="D76" i="7"/>
  <c r="D74" i="7"/>
  <c r="D73" i="7"/>
  <c r="D72" i="7"/>
  <c r="D71" i="7"/>
  <c r="D70" i="7"/>
  <c r="D70" i="6"/>
  <c r="D79" i="6"/>
  <c r="E3" i="14" l="1"/>
  <c r="C3" i="14"/>
  <c r="E3" i="13"/>
  <c r="C3" i="13"/>
  <c r="E3" i="12"/>
  <c r="C3" i="12"/>
  <c r="E3" i="11"/>
  <c r="C3" i="11"/>
  <c r="E3" i="10"/>
  <c r="C3" i="10"/>
  <c r="E3" i="9"/>
  <c r="C3" i="9"/>
  <c r="E3" i="8"/>
  <c r="C3" i="8"/>
  <c r="E3" i="6"/>
  <c r="C3" i="6"/>
  <c r="E3" i="5"/>
  <c r="C3" i="5"/>
  <c r="E3" i="4"/>
  <c r="C3" i="4"/>
  <c r="E3" i="3"/>
  <c r="C3" i="3"/>
  <c r="E3" i="7"/>
  <c r="C3" i="7"/>
  <c r="N19" i="7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F58" i="14" s="1"/>
  <c r="D57" i="14"/>
  <c r="D56" i="14"/>
  <c r="D55" i="14"/>
  <c r="D54" i="14"/>
  <c r="D53" i="14"/>
  <c r="D52" i="14"/>
  <c r="D51" i="14"/>
  <c r="F41" i="14"/>
  <c r="D93" i="13"/>
  <c r="D92" i="13"/>
  <c r="D91" i="13"/>
  <c r="D90" i="13"/>
  <c r="D89" i="13"/>
  <c r="D45" i="13"/>
  <c r="D44" i="13"/>
  <c r="D43" i="13"/>
  <c r="D46" i="13" s="1"/>
  <c r="E64" i="13"/>
  <c r="E63" i="13"/>
  <c r="E62" i="13"/>
  <c r="E61" i="13"/>
  <c r="E60" i="13"/>
  <c r="E59" i="13"/>
  <c r="E58" i="13"/>
  <c r="E57" i="13"/>
  <c r="E65" i="13" s="1"/>
  <c r="E56" i="13"/>
  <c r="E55" i="13"/>
  <c r="E54" i="13"/>
  <c r="E53" i="13"/>
  <c r="E52" i="13"/>
  <c r="E51" i="13"/>
  <c r="D64" i="13"/>
  <c r="D63" i="13"/>
  <c r="F63" i="13" s="1"/>
  <c r="D62" i="13"/>
  <c r="D61" i="13"/>
  <c r="D60" i="13"/>
  <c r="D59" i="13"/>
  <c r="D58" i="13"/>
  <c r="D57" i="13"/>
  <c r="D56" i="13"/>
  <c r="D55" i="13"/>
  <c r="F55" i="13" s="1"/>
  <c r="D54" i="13"/>
  <c r="D53" i="13"/>
  <c r="D52" i="13"/>
  <c r="D51" i="13"/>
  <c r="F41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65" i="12" s="1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65" i="12" s="1"/>
  <c r="D51" i="12"/>
  <c r="F41" i="12"/>
  <c r="D93" i="11"/>
  <c r="D92" i="11"/>
  <c r="D91" i="11"/>
  <c r="D90" i="11"/>
  <c r="D89" i="11"/>
  <c r="D45" i="11"/>
  <c r="D44" i="11"/>
  <c r="D43" i="11"/>
  <c r="D46" i="11" s="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F51" i="11" s="1"/>
  <c r="D64" i="11"/>
  <c r="D63" i="11"/>
  <c r="D62" i="11"/>
  <c r="D61" i="11"/>
  <c r="D60" i="11"/>
  <c r="D59" i="11"/>
  <c r="D58" i="11"/>
  <c r="D57" i="11"/>
  <c r="F57" i="11" s="1"/>
  <c r="D56" i="11"/>
  <c r="D55" i="11"/>
  <c r="F55" i="11" s="1"/>
  <c r="D54" i="11"/>
  <c r="D53" i="11"/>
  <c r="D52" i="11"/>
  <c r="D51" i="11"/>
  <c r="F41" i="11"/>
  <c r="D93" i="10"/>
  <c r="D92" i="10"/>
  <c r="D91" i="10"/>
  <c r="D90" i="10"/>
  <c r="D89" i="10"/>
  <c r="D45" i="10"/>
  <c r="D44" i="10"/>
  <c r="D43" i="10"/>
  <c r="E64" i="10"/>
  <c r="F64" i="10" s="1"/>
  <c r="E63" i="10"/>
  <c r="E62" i="10"/>
  <c r="E61" i="10"/>
  <c r="E60" i="10"/>
  <c r="E59" i="10"/>
  <c r="E58" i="10"/>
  <c r="E57" i="10"/>
  <c r="F57" i="10" s="1"/>
  <c r="E56" i="10"/>
  <c r="F56" i="10" s="1"/>
  <c r="E55" i="10"/>
  <c r="E54" i="10"/>
  <c r="E65" i="10" s="1"/>
  <c r="E53" i="10"/>
  <c r="E52" i="10"/>
  <c r="E51" i="10"/>
  <c r="D64" i="10"/>
  <c r="D63" i="10"/>
  <c r="F63" i="10" s="1"/>
  <c r="D62" i="10"/>
  <c r="F62" i="10" s="1"/>
  <c r="D61" i="10"/>
  <c r="D60" i="10"/>
  <c r="D59" i="10"/>
  <c r="D58" i="10"/>
  <c r="D57" i="10"/>
  <c r="D56" i="10"/>
  <c r="D55" i="10"/>
  <c r="D54" i="10"/>
  <c r="D53" i="10"/>
  <c r="D52" i="10"/>
  <c r="D65" i="10" s="1"/>
  <c r="D51" i="10"/>
  <c r="F41" i="10"/>
  <c r="D93" i="9"/>
  <c r="D92" i="9"/>
  <c r="D91" i="9"/>
  <c r="D90" i="9"/>
  <c r="D94" i="9" s="1"/>
  <c r="D89" i="9"/>
  <c r="D45" i="9"/>
  <c r="D46" i="9" s="1"/>
  <c r="D44" i="9"/>
  <c r="D43" i="9"/>
  <c r="E64" i="9"/>
  <c r="E63" i="9"/>
  <c r="E62" i="9"/>
  <c r="F62" i="9" s="1"/>
  <c r="E61" i="9"/>
  <c r="F61" i="9" s="1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F60" i="9" s="1"/>
  <c r="D59" i="9"/>
  <c r="D58" i="9"/>
  <c r="D57" i="9"/>
  <c r="F57" i="9" s="1"/>
  <c r="D56" i="9"/>
  <c r="D55" i="9"/>
  <c r="D54" i="9"/>
  <c r="D53" i="9"/>
  <c r="D52" i="9"/>
  <c r="D51" i="9"/>
  <c r="F51" i="9" s="1"/>
  <c r="F41" i="9"/>
  <c r="D93" i="8"/>
  <c r="F93" i="8" s="1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F57" i="8" s="1"/>
  <c r="E56" i="8"/>
  <c r="E65" i="8" s="1"/>
  <c r="E55" i="8"/>
  <c r="E54" i="8"/>
  <c r="E53" i="8"/>
  <c r="E52" i="8"/>
  <c r="E51" i="8"/>
  <c r="D64" i="8"/>
  <c r="D63" i="8"/>
  <c r="D62" i="8"/>
  <c r="F62" i="8" s="1"/>
  <c r="D61" i="8"/>
  <c r="D60" i="8"/>
  <c r="D59" i="8"/>
  <c r="D58" i="8"/>
  <c r="D57" i="8"/>
  <c r="D56" i="8"/>
  <c r="F56" i="8" s="1"/>
  <c r="D55" i="8"/>
  <c r="F55" i="8" s="1"/>
  <c r="D54" i="8"/>
  <c r="F54" i="8" s="1"/>
  <c r="D53" i="8"/>
  <c r="D52" i="8"/>
  <c r="D51" i="8"/>
  <c r="F41" i="8"/>
  <c r="D93" i="7"/>
  <c r="D92" i="7"/>
  <c r="D91" i="7"/>
  <c r="D90" i="7"/>
  <c r="D89" i="7"/>
  <c r="D45" i="7"/>
  <c r="D44" i="7"/>
  <c r="D43" i="7"/>
  <c r="E64" i="7"/>
  <c r="E63" i="7"/>
  <c r="F63" i="7" s="1"/>
  <c r="E62" i="7"/>
  <c r="E61" i="7"/>
  <c r="E60" i="7"/>
  <c r="E59" i="7"/>
  <c r="E58" i="7"/>
  <c r="E57" i="7"/>
  <c r="E56" i="7"/>
  <c r="E55" i="7"/>
  <c r="F55" i="7" s="1"/>
  <c r="E54" i="7"/>
  <c r="E53" i="7"/>
  <c r="E52" i="7"/>
  <c r="E51" i="7"/>
  <c r="D64" i="7"/>
  <c r="D63" i="7"/>
  <c r="D62" i="7"/>
  <c r="D61" i="7"/>
  <c r="F61" i="7" s="1"/>
  <c r="D60" i="7"/>
  <c r="F60" i="7" s="1"/>
  <c r="D59" i="7"/>
  <c r="D58" i="7"/>
  <c r="D57" i="7"/>
  <c r="D56" i="7"/>
  <c r="D55" i="7"/>
  <c r="D54" i="7"/>
  <c r="D53" i="7"/>
  <c r="F53" i="7" s="1"/>
  <c r="D52" i="7"/>
  <c r="F52" i="7" s="1"/>
  <c r="D51" i="7"/>
  <c r="F41" i="7"/>
  <c r="D94" i="14"/>
  <c r="E93" i="14"/>
  <c r="F93" i="14" s="1"/>
  <c r="E92" i="14"/>
  <c r="F92" i="14" s="1"/>
  <c r="G90" i="14"/>
  <c r="F90" i="14"/>
  <c r="E90" i="14"/>
  <c r="E89" i="14"/>
  <c r="F89" i="14" s="1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H59" i="14"/>
  <c r="L59" i="14" s="1"/>
  <c r="G59" i="14"/>
  <c r="K59" i="14" s="1"/>
  <c r="F59" i="14"/>
  <c r="F57" i="14"/>
  <c r="F56" i="14"/>
  <c r="F55" i="14"/>
  <c r="F54" i="14"/>
  <c r="H53" i="14"/>
  <c r="L53" i="14" s="1"/>
  <c r="G53" i="14"/>
  <c r="K53" i="14" s="1"/>
  <c r="F53" i="14"/>
  <c r="F52" i="14"/>
  <c r="F51" i="14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H58" i="14" s="1"/>
  <c r="L58" i="14" s="1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M8" i="14"/>
  <c r="G51" i="14" s="1"/>
  <c r="N7" i="14"/>
  <c r="M7" i="14"/>
  <c r="D94" i="13"/>
  <c r="E93" i="13"/>
  <c r="G93" i="13" s="1"/>
  <c r="E92" i="13"/>
  <c r="E90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5" i="13"/>
  <c r="F64" i="13"/>
  <c r="F62" i="13"/>
  <c r="F61" i="13"/>
  <c r="F60" i="13"/>
  <c r="H59" i="13"/>
  <c r="L59" i="13" s="1"/>
  <c r="G59" i="13"/>
  <c r="F59" i="13"/>
  <c r="F58" i="13"/>
  <c r="F57" i="13"/>
  <c r="F56" i="13"/>
  <c r="F54" i="13"/>
  <c r="H53" i="13"/>
  <c r="L53" i="13" s="1"/>
  <c r="G53" i="13"/>
  <c r="F53" i="13"/>
  <c r="F52" i="13"/>
  <c r="F51" i="13"/>
  <c r="M20" i="13"/>
  <c r="M21" i="13" s="1"/>
  <c r="E45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N7" i="13"/>
  <c r="M7" i="13"/>
  <c r="D94" i="12"/>
  <c r="E93" i="12"/>
  <c r="F93" i="12" s="1"/>
  <c r="E92" i="12"/>
  <c r="G92" i="12" s="1"/>
  <c r="E90" i="12"/>
  <c r="G90" i="12" s="1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E92" i="11"/>
  <c r="G92" i="11" s="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G59" i="11"/>
  <c r="K59" i="11" s="1"/>
  <c r="F59" i="11"/>
  <c r="F58" i="11"/>
  <c r="F56" i="11"/>
  <c r="F54" i="11"/>
  <c r="H53" i="11"/>
  <c r="L53" i="11" s="1"/>
  <c r="G53" i="11"/>
  <c r="F53" i="11"/>
  <c r="F52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G58" i="11" s="1"/>
  <c r="K58" i="11" s="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F61" i="10"/>
  <c r="F60" i="10"/>
  <c r="H59" i="10"/>
  <c r="L59" i="10" s="1"/>
  <c r="G59" i="10"/>
  <c r="F59" i="10"/>
  <c r="F58" i="10"/>
  <c r="F55" i="10"/>
  <c r="F54" i="10"/>
  <c r="H53" i="10"/>
  <c r="L53" i="10" s="1"/>
  <c r="G53" i="10"/>
  <c r="K53" i="10" s="1"/>
  <c r="F53" i="10"/>
  <c r="F51" i="10"/>
  <c r="D46" i="10"/>
  <c r="M20" i="10"/>
  <c r="M21" i="10" s="1"/>
  <c r="E45" i="10" s="1"/>
  <c r="F45" i="10" s="1"/>
  <c r="N19" i="10"/>
  <c r="H64" i="10" s="1"/>
  <c r="L64" i="10" s="1"/>
  <c r="M19" i="10"/>
  <c r="G64" i="10" s="1"/>
  <c r="K64" i="10" s="1"/>
  <c r="N18" i="10"/>
  <c r="H63" i="10" s="1"/>
  <c r="L63" i="10" s="1"/>
  <c r="M18" i="10"/>
  <c r="G63" i="10" s="1"/>
  <c r="N17" i="10"/>
  <c r="H62" i="10" s="1"/>
  <c r="M17" i="10"/>
  <c r="G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N14" i="10"/>
  <c r="H58" i="10" s="1"/>
  <c r="L58" i="10" s="1"/>
  <c r="M14" i="10"/>
  <c r="G58" i="10" s="1"/>
  <c r="N13" i="10"/>
  <c r="H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G55" i="10" s="1"/>
  <c r="N10" i="10"/>
  <c r="H54" i="10" s="1"/>
  <c r="M10" i="10"/>
  <c r="G54" i="10" s="1"/>
  <c r="N9" i="10"/>
  <c r="H52" i="10" s="1"/>
  <c r="L52" i="10" s="1"/>
  <c r="M9" i="10"/>
  <c r="G52" i="10" s="1"/>
  <c r="N8" i="10"/>
  <c r="M8" i="10"/>
  <c r="G51" i="10" s="1"/>
  <c r="N7" i="10"/>
  <c r="M7" i="10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F63" i="9"/>
  <c r="H59" i="9"/>
  <c r="G59" i="9"/>
  <c r="K59" i="9" s="1"/>
  <c r="F59" i="9"/>
  <c r="F58" i="9"/>
  <c r="F56" i="9"/>
  <c r="F55" i="9"/>
  <c r="F54" i="9"/>
  <c r="H53" i="9"/>
  <c r="L53" i="9" s="1"/>
  <c r="G53" i="9"/>
  <c r="F53" i="9"/>
  <c r="F52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H56" i="9" s="1"/>
  <c r="L56" i="9" s="1"/>
  <c r="M12" i="9"/>
  <c r="G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N9" i="9"/>
  <c r="M9" i="9"/>
  <c r="G52" i="9" s="1"/>
  <c r="N8" i="9"/>
  <c r="H51" i="9" s="1"/>
  <c r="L51" i="9" s="1"/>
  <c r="M8" i="9"/>
  <c r="G51" i="9" s="1"/>
  <c r="N7" i="9"/>
  <c r="M7" i="9"/>
  <c r="D94" i="8"/>
  <c r="E93" i="8"/>
  <c r="E92" i="8"/>
  <c r="G92" i="8" s="1"/>
  <c r="E90" i="8"/>
  <c r="G90" i="8" s="1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F64" i="8"/>
  <c r="F63" i="8"/>
  <c r="F61" i="8"/>
  <c r="F60" i="8"/>
  <c r="H59" i="8"/>
  <c r="G59" i="8"/>
  <c r="K59" i="8" s="1"/>
  <c r="F59" i="8"/>
  <c r="F58" i="8"/>
  <c r="K57" i="8"/>
  <c r="H53" i="8"/>
  <c r="L53" i="8" s="1"/>
  <c r="G53" i="8"/>
  <c r="F53" i="8"/>
  <c r="F52" i="8"/>
  <c r="F51" i="8"/>
  <c r="M20" i="8"/>
  <c r="M21" i="8" s="1"/>
  <c r="E45" i="8" s="1"/>
  <c r="F45" i="8" s="1"/>
  <c r="N19" i="8"/>
  <c r="H64" i="8" s="1"/>
  <c r="M19" i="8"/>
  <c r="G64" i="8" s="1"/>
  <c r="N18" i="8"/>
  <c r="H63" i="8" s="1"/>
  <c r="L63" i="8" s="1"/>
  <c r="M18" i="8"/>
  <c r="G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N11" i="8"/>
  <c r="H55" i="8" s="1"/>
  <c r="L55" i="8" s="1"/>
  <c r="M11" i="8"/>
  <c r="G55" i="8" s="1"/>
  <c r="N10" i="8"/>
  <c r="H54" i="8" s="1"/>
  <c r="L54" i="8" s="1"/>
  <c r="M10" i="8"/>
  <c r="G54" i="8" s="1"/>
  <c r="N9" i="8"/>
  <c r="M9" i="8"/>
  <c r="G52" i="8" s="1"/>
  <c r="N8" i="8"/>
  <c r="H51" i="8" s="1"/>
  <c r="M8" i="8"/>
  <c r="G51" i="8" s="1"/>
  <c r="N7" i="8"/>
  <c r="M7" i="8"/>
  <c r="E93" i="7"/>
  <c r="G92" i="7"/>
  <c r="E92" i="7"/>
  <c r="F92" i="7" s="1"/>
  <c r="E90" i="7"/>
  <c r="F90" i="7" s="1"/>
  <c r="E89" i="7"/>
  <c r="H59" i="7"/>
  <c r="G59" i="7"/>
  <c r="F59" i="7"/>
  <c r="F58" i="7"/>
  <c r="H53" i="7"/>
  <c r="G53" i="7"/>
  <c r="K53" i="7" s="1"/>
  <c r="M20" i="7"/>
  <c r="M21" i="7" s="1"/>
  <c r="E45" i="7" s="1"/>
  <c r="H64" i="7"/>
  <c r="M19" i="7"/>
  <c r="G64" i="7" s="1"/>
  <c r="N18" i="7"/>
  <c r="H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M10" i="7"/>
  <c r="G54" i="7" s="1"/>
  <c r="N9" i="7"/>
  <c r="H52" i="7" s="1"/>
  <c r="L52" i="7" s="1"/>
  <c r="M9" i="7"/>
  <c r="G52" i="7" s="1"/>
  <c r="N8" i="7"/>
  <c r="M8" i="7"/>
  <c r="G51" i="7" s="1"/>
  <c r="N7" i="7"/>
  <c r="M7" i="7"/>
  <c r="G59" i="6"/>
  <c r="G53" i="6"/>
  <c r="D78" i="6"/>
  <c r="D72" i="6"/>
  <c r="H59" i="6"/>
  <c r="H53" i="6"/>
  <c r="D59" i="6"/>
  <c r="D53" i="6"/>
  <c r="D43" i="6"/>
  <c r="D44" i="6"/>
  <c r="D83" i="6"/>
  <c r="D82" i="6"/>
  <c r="D81" i="6"/>
  <c r="D80" i="6"/>
  <c r="D77" i="6"/>
  <c r="D76" i="6"/>
  <c r="D74" i="6"/>
  <c r="D73" i="6"/>
  <c r="D71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E49" i="3"/>
  <c r="D49" i="3"/>
  <c r="D43" i="3"/>
  <c r="D42" i="3"/>
  <c r="D41" i="3"/>
  <c r="E69" i="3"/>
  <c r="E68" i="3"/>
  <c r="E66" i="3"/>
  <c r="E65" i="3"/>
  <c r="G65" i="3" s="1"/>
  <c r="G57" i="3"/>
  <c r="P20" i="3"/>
  <c r="P21" i="3" s="1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L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D46" i="8" l="1"/>
  <c r="D65" i="8"/>
  <c r="K63" i="8"/>
  <c r="L59" i="9"/>
  <c r="K62" i="10"/>
  <c r="G90" i="11"/>
  <c r="K55" i="13"/>
  <c r="G89" i="13"/>
  <c r="F62" i="7"/>
  <c r="L59" i="8"/>
  <c r="L61" i="9"/>
  <c r="L57" i="10"/>
  <c r="F52" i="12"/>
  <c r="G92" i="14"/>
  <c r="H92" i="14" s="1"/>
  <c r="G65" i="7"/>
  <c r="E43" i="7" s="1"/>
  <c r="G43" i="7" s="1"/>
  <c r="H43" i="7" s="1"/>
  <c r="K64" i="8"/>
  <c r="F93" i="9"/>
  <c r="K54" i="8"/>
  <c r="F89" i="8"/>
  <c r="K52" i="10"/>
  <c r="L59" i="11"/>
  <c r="F54" i="7"/>
  <c r="L52" i="3"/>
  <c r="G93" i="7"/>
  <c r="L58" i="8"/>
  <c r="L62" i="10"/>
  <c r="F52" i="10"/>
  <c r="L62" i="12"/>
  <c r="K58" i="3"/>
  <c r="F54" i="3"/>
  <c r="L61" i="7"/>
  <c r="L64" i="8"/>
  <c r="G93" i="8"/>
  <c r="L62" i="9"/>
  <c r="L54" i="10"/>
  <c r="G89" i="12"/>
  <c r="F57" i="7"/>
  <c r="K56" i="8"/>
  <c r="I54" i="9"/>
  <c r="J54" i="9" s="1"/>
  <c r="I63" i="9"/>
  <c r="J63" i="9" s="1"/>
  <c r="I55" i="10"/>
  <c r="J55" i="10" s="1"/>
  <c r="I60" i="10"/>
  <c r="J60" i="10" s="1"/>
  <c r="L53" i="7"/>
  <c r="G93" i="12"/>
  <c r="H93" i="12" s="1"/>
  <c r="F68" i="3"/>
  <c r="F60" i="3"/>
  <c r="L54" i="7"/>
  <c r="L63" i="7"/>
  <c r="G66" i="3"/>
  <c r="H66" i="3" s="1"/>
  <c r="K60" i="7"/>
  <c r="K59" i="6"/>
  <c r="L60" i="7"/>
  <c r="L64" i="7"/>
  <c r="I62" i="9"/>
  <c r="M62" i="9" s="1"/>
  <c r="K60" i="10"/>
  <c r="F65" i="14"/>
  <c r="E65" i="7"/>
  <c r="I51" i="13"/>
  <c r="I61" i="13"/>
  <c r="D94" i="7"/>
  <c r="I55" i="8"/>
  <c r="M55" i="8" s="1"/>
  <c r="F92" i="12"/>
  <c r="F65" i="13"/>
  <c r="K63" i="9"/>
  <c r="F90" i="8"/>
  <c r="I56" i="9"/>
  <c r="F92" i="11"/>
  <c r="I59" i="14"/>
  <c r="M59" i="14" s="1"/>
  <c r="N59" i="14" s="1"/>
  <c r="E44" i="10"/>
  <c r="G44" i="10" s="1"/>
  <c r="H44" i="10" s="1"/>
  <c r="E44" i="14"/>
  <c r="G44" i="14" s="1"/>
  <c r="H44" i="14" s="1"/>
  <c r="F56" i="7"/>
  <c r="F64" i="7"/>
  <c r="D84" i="7"/>
  <c r="H55" i="7"/>
  <c r="L55" i="7" s="1"/>
  <c r="E44" i="7"/>
  <c r="I54" i="7"/>
  <c r="J54" i="7" s="1"/>
  <c r="I52" i="7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L60" i="13"/>
  <c r="I60" i="13"/>
  <c r="J60" i="13" s="1"/>
  <c r="I55" i="11"/>
  <c r="K55" i="11"/>
  <c r="K51" i="9"/>
  <c r="I51" i="9"/>
  <c r="G45" i="9"/>
  <c r="H45" i="9" s="1"/>
  <c r="F45" i="9"/>
  <c r="I53" i="7"/>
  <c r="J53" i="7" s="1"/>
  <c r="K54" i="7"/>
  <c r="D84" i="8"/>
  <c r="H51" i="10"/>
  <c r="L51" i="10" s="1"/>
  <c r="L65" i="10" s="1"/>
  <c r="E44" i="13"/>
  <c r="G44" i="13" s="1"/>
  <c r="H44" i="13" s="1"/>
  <c r="K50" i="3"/>
  <c r="K49" i="3"/>
  <c r="I62" i="7"/>
  <c r="J62" i="7" s="1"/>
  <c r="E44" i="8"/>
  <c r="G44" i="8" s="1"/>
  <c r="H44" i="8" s="1"/>
  <c r="E91" i="9"/>
  <c r="F91" i="9" s="1"/>
  <c r="I55" i="9"/>
  <c r="J55" i="9" s="1"/>
  <c r="I64" i="9"/>
  <c r="M64" i="9" s="1"/>
  <c r="N64" i="9" s="1"/>
  <c r="F65" i="10"/>
  <c r="F93" i="10"/>
  <c r="I59" i="11"/>
  <c r="J59" i="11" s="1"/>
  <c r="I63" i="11"/>
  <c r="I53" i="14"/>
  <c r="M53" i="14" s="1"/>
  <c r="N53" i="14" s="1"/>
  <c r="H93" i="13"/>
  <c r="F66" i="3"/>
  <c r="K57" i="3"/>
  <c r="I56" i="10"/>
  <c r="J56" i="10" s="1"/>
  <c r="I59" i="12"/>
  <c r="J59" i="12" s="1"/>
  <c r="K53" i="3"/>
  <c r="I64" i="11"/>
  <c r="J64" i="11" s="1"/>
  <c r="D84" i="14"/>
  <c r="H92" i="11"/>
  <c r="M52" i="7"/>
  <c r="N52" i="7" s="1"/>
  <c r="F92" i="8"/>
  <c r="I59" i="9"/>
  <c r="J59" i="9" s="1"/>
  <c r="I57" i="10"/>
  <c r="J57" i="10" s="1"/>
  <c r="G45" i="10"/>
  <c r="I58" i="11"/>
  <c r="M58" i="11" s="1"/>
  <c r="N58" i="11" s="1"/>
  <c r="D84" i="11"/>
  <c r="I53" i="12"/>
  <c r="M53" i="12" s="1"/>
  <c r="N53" i="12" s="1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62" i="9"/>
  <c r="H92" i="9"/>
  <c r="H90" i="11"/>
  <c r="N55" i="8"/>
  <c r="H89" i="8"/>
  <c r="H93" i="8"/>
  <c r="H45" i="8"/>
  <c r="H90" i="8"/>
  <c r="H45" i="10"/>
  <c r="H90" i="10"/>
  <c r="H89" i="12"/>
  <c r="H92" i="12"/>
  <c r="H90" i="14"/>
  <c r="L57" i="8"/>
  <c r="I57" i="8"/>
  <c r="L56" i="7"/>
  <c r="I56" i="7"/>
  <c r="J56" i="7" s="1"/>
  <c r="G45" i="7"/>
  <c r="H45" i="7" s="1"/>
  <c r="F45" i="7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I61" i="9"/>
  <c r="J61" i="9" s="1"/>
  <c r="K61" i="9"/>
  <c r="I52" i="12"/>
  <c r="J52" i="12" s="1"/>
  <c r="K52" i="12"/>
  <c r="G65" i="12"/>
  <c r="E43" i="12" s="1"/>
  <c r="L51" i="8"/>
  <c r="I62" i="8"/>
  <c r="I58" i="9"/>
  <c r="J58" i="9" s="1"/>
  <c r="K61" i="10"/>
  <c r="I61" i="10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H51" i="7"/>
  <c r="I51" i="7" s="1"/>
  <c r="K52" i="8"/>
  <c r="I52" i="8"/>
  <c r="J52" i="8" s="1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J52" i="7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3" i="11"/>
  <c r="N63" i="11" s="1"/>
  <c r="J63" i="11"/>
  <c r="D84" i="9"/>
  <c r="K51" i="7"/>
  <c r="K58" i="7"/>
  <c r="I58" i="7"/>
  <c r="M56" i="8"/>
  <c r="N56" i="8" s="1"/>
  <c r="E91" i="8"/>
  <c r="E94" i="8" s="1"/>
  <c r="F94" i="8" s="1"/>
  <c r="K52" i="9"/>
  <c r="K62" i="9"/>
  <c r="G91" i="9"/>
  <c r="H91" i="9" s="1"/>
  <c r="G89" i="10"/>
  <c r="F89" i="10"/>
  <c r="I60" i="7"/>
  <c r="K61" i="7"/>
  <c r="I64" i="7"/>
  <c r="G89" i="7"/>
  <c r="I54" i="8"/>
  <c r="J54" i="8" s="1"/>
  <c r="I51" i="8"/>
  <c r="M51" i="8" s="1"/>
  <c r="I53" i="8"/>
  <c r="K53" i="8"/>
  <c r="I59" i="8"/>
  <c r="J59" i="8" s="1"/>
  <c r="E44" i="9"/>
  <c r="H52" i="9"/>
  <c r="G65" i="10"/>
  <c r="E43" i="10" s="1"/>
  <c r="K51" i="10"/>
  <c r="K55" i="10"/>
  <c r="I62" i="10"/>
  <c r="J62" i="10" s="1"/>
  <c r="K61" i="11"/>
  <c r="I61" i="11"/>
  <c r="J61" i="11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L58" i="12"/>
  <c r="I58" i="12"/>
  <c r="J58" i="12" s="1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I62" i="11"/>
  <c r="G65" i="9"/>
  <c r="E43" i="9" s="1"/>
  <c r="E91" i="10"/>
  <c r="E94" i="10" s="1"/>
  <c r="F94" i="10" s="1"/>
  <c r="M59" i="11"/>
  <c r="N59" i="11" s="1"/>
  <c r="I58" i="13"/>
  <c r="J58" i="13" s="1"/>
  <c r="K58" i="13"/>
  <c r="K63" i="13"/>
  <c r="I63" i="13"/>
  <c r="J63" i="13" s="1"/>
  <c r="F45" i="13"/>
  <c r="G45" i="13"/>
  <c r="H45" i="13" s="1"/>
  <c r="K59" i="13"/>
  <c r="I59" i="13"/>
  <c r="M57" i="11"/>
  <c r="N57" i="11" s="1"/>
  <c r="K59" i="12"/>
  <c r="I61" i="12"/>
  <c r="J61" i="12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5" i="12"/>
  <c r="I60" i="12"/>
  <c r="J60" i="12" s="1"/>
  <c r="K60" i="12"/>
  <c r="G90" i="13"/>
  <c r="F90" i="13"/>
  <c r="K54" i="14"/>
  <c r="I54" i="14"/>
  <c r="J54" i="14" s="1"/>
  <c r="K58" i="14"/>
  <c r="I58" i="14"/>
  <c r="E94" i="14"/>
  <c r="F94" i="14" s="1"/>
  <c r="F90" i="9"/>
  <c r="F92" i="9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F51" i="3"/>
  <c r="F69" i="3"/>
  <c r="L53" i="3"/>
  <c r="L57" i="3"/>
  <c r="D61" i="3"/>
  <c r="D44" i="3"/>
  <c r="I49" i="3"/>
  <c r="I54" i="3"/>
  <c r="J54" i="3" s="1"/>
  <c r="K54" i="3"/>
  <c r="I57" i="3"/>
  <c r="G61" i="3"/>
  <c r="H65" i="3"/>
  <c r="I52" i="3"/>
  <c r="K52" i="3"/>
  <c r="K56" i="3"/>
  <c r="I56" i="3"/>
  <c r="I60" i="3"/>
  <c r="J60" i="3" s="1"/>
  <c r="K60" i="3"/>
  <c r="H61" i="3"/>
  <c r="L49" i="3"/>
  <c r="I55" i="3"/>
  <c r="K55" i="3"/>
  <c r="I50" i="3"/>
  <c r="F65" i="3"/>
  <c r="F50" i="3"/>
  <c r="K51" i="3"/>
  <c r="L56" i="3"/>
  <c r="F58" i="3"/>
  <c r="M58" i="3" s="1"/>
  <c r="N58" i="3" s="1"/>
  <c r="K59" i="3"/>
  <c r="D70" i="3"/>
  <c r="I53" i="3"/>
  <c r="E42" i="3"/>
  <c r="F42" i="3" s="1"/>
  <c r="F49" i="3"/>
  <c r="L55" i="3"/>
  <c r="G42" i="3" l="1"/>
  <c r="H42" i="3" s="1"/>
  <c r="M52" i="10"/>
  <c r="N52" i="10" s="1"/>
  <c r="M52" i="13"/>
  <c r="N52" i="13" s="1"/>
  <c r="M60" i="14"/>
  <c r="N60" i="14" s="1"/>
  <c r="M59" i="10"/>
  <c r="N59" i="10" s="1"/>
  <c r="L65" i="12"/>
  <c r="F65" i="7"/>
  <c r="M63" i="9"/>
  <c r="N63" i="9" s="1"/>
  <c r="M64" i="8"/>
  <c r="N64" i="8" s="1"/>
  <c r="I51" i="10"/>
  <c r="M51" i="10" s="1"/>
  <c r="H65" i="10"/>
  <c r="M54" i="9"/>
  <c r="N54" i="9" s="1"/>
  <c r="M53" i="3"/>
  <c r="N53" i="3" s="1"/>
  <c r="M60" i="8"/>
  <c r="N60" i="8" s="1"/>
  <c r="J55" i="8"/>
  <c r="J53" i="12"/>
  <c r="H65" i="8"/>
  <c r="M51" i="3"/>
  <c r="N51" i="3" s="1"/>
  <c r="F44" i="14"/>
  <c r="M59" i="3"/>
  <c r="N59" i="3" s="1"/>
  <c r="F44" i="13"/>
  <c r="I54" i="12"/>
  <c r="M54" i="12" s="1"/>
  <c r="N54" i="12" s="1"/>
  <c r="M52" i="12"/>
  <c r="N52" i="12" s="1"/>
  <c r="J64" i="9"/>
  <c r="K65" i="9"/>
  <c r="H65" i="12"/>
  <c r="M63" i="8"/>
  <c r="N63" i="8" s="1"/>
  <c r="M55" i="9"/>
  <c r="N55" i="9" s="1"/>
  <c r="M62" i="13"/>
  <c r="N62" i="13" s="1"/>
  <c r="E70" i="3"/>
  <c r="J53" i="3"/>
  <c r="J64" i="7"/>
  <c r="M61" i="7"/>
  <c r="N61" i="7" s="1"/>
  <c r="L65" i="8"/>
  <c r="I55" i="7"/>
  <c r="J55" i="7" s="1"/>
  <c r="M54" i="7"/>
  <c r="N54" i="7" s="1"/>
  <c r="F43" i="7"/>
  <c r="M59" i="7"/>
  <c r="N59" i="7" s="1"/>
  <c r="J63" i="7"/>
  <c r="H65" i="7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G46" i="7" l="1"/>
  <c r="H46" i="7" s="1"/>
  <c r="J54" i="12"/>
  <c r="M55" i="7"/>
  <c r="N55" i="7" s="1"/>
  <c r="G94" i="13"/>
  <c r="H94" i="13" s="1"/>
  <c r="I65" i="7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H49" i="5" s="1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E67" i="5" l="1"/>
  <c r="E67" i="4"/>
  <c r="F67" i="4" s="1"/>
  <c r="E43" i="5"/>
  <c r="E41" i="4"/>
  <c r="F41" i="4" s="1"/>
  <c r="G66" i="4"/>
  <c r="H66" i="4" s="1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G41" i="5" s="1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E70" i="4"/>
  <c r="K57" i="4"/>
  <c r="I57" i="4"/>
  <c r="J57" i="4" s="1"/>
  <c r="H65" i="4"/>
  <c r="H61" i="4"/>
  <c r="L49" i="4"/>
  <c r="L61" i="4" s="1"/>
  <c r="G41" i="4"/>
  <c r="J54" i="4"/>
  <c r="K52" i="4"/>
  <c r="I52" i="4"/>
  <c r="J52" i="4" s="1"/>
  <c r="K49" i="4"/>
  <c r="I49" i="4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G61" i="4" l="1"/>
  <c r="M60" i="4"/>
  <c r="N60" i="4" s="1"/>
  <c r="E44" i="5"/>
  <c r="G42" i="4"/>
  <c r="H42" i="4" s="1"/>
  <c r="F42" i="5"/>
  <c r="E44" i="4"/>
  <c r="F44" i="4" s="1"/>
  <c r="K50" i="4"/>
  <c r="K61" i="4" s="1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<sst xmlns="http://schemas.openxmlformats.org/spreadsheetml/2006/main" count="1874" uniqueCount="185">
  <si>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</si>
  <si>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</si>
  <si>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</si>
  <si>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</si>
  <si>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</si>
  <si>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</si>
  <si>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</si>
  <si>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</si>
  <si>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</si>
  <si>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</si>
  <si>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</si>
  <si>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</si>
  <si>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</si>
  <si>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</si>
  <si>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</si>
  <si>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</si>
  <si>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</si>
  <si>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</si>
  <si>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</si>
  <si>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</si>
  <si>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</si>
  <si>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</si>
  <si>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</si>
  <si>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</si>
  <si>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</si>
  <si>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</si>
  <si>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</si>
  <si>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</si>
  <si>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</si>
  <si>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</si>
  <si>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</si>
  <si>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</si>
  <si>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</si>
  <si>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</si>
  <si>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</si>
  <si>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</si>
  <si>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</si>
  <si>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</si>
  <si>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</si>
  <si>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</si>
  <si>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</si>
  <si>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</si>
  <si>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</si>
  <si>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</si>
  <si>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</si>
  <si>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</si>
  <si>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</si>
  <si>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</si>
  <si>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</si>
  <si>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</si>
  <si>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</si>
  <si>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</si>
  <si>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</si>
  <si>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</si>
  <si>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</si>
  <si>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</si>
  <si>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</si>
  <si>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</si>
  <si>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</si>
  <si>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</si>
  <si>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</si>
  <si>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</si>
  <si>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</si>
  <si>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</si>
  <si>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</si>
  <si>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</si>
  <si>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</si>
  <si>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</si>
  <si>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</si>
  <si>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</si>
  <si>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</si>
  <si>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</si>
  <si>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</si>
  <si>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</si>
  <si>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</si>
  <si>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</si>
  <si>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</si>
  <si>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</si>
  <si>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</si>
  <si>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</si>
  <si>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</si>
  <si>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</si>
  <si>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</si>
  <si>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</si>
  <si>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</si>
  <si>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</si>
  <si>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</si>
  <si>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</si>
  <si>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</si>
  <si>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</si>
  <si>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</si>
  <si>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</si>
  <si>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</si>
  <si>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</si>
  <si>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</si>
  <si>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</si>
  <si>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</si>
  <si>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</si>
  <si>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</si>
  <si>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</si>
  <si>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</si>
  <si>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</si>
  <si>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</si>
  <si>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</si>
  <si>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</si>
  <si>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</si>
  <si>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</si>
  <si>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</si>
  <si>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</si>
  <si>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</si>
  <si>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</si>
  <si>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</si>
  <si>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</si>
  <si>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</si>
  <si>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</si>
  <si>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</si>
  <si>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</si>
  <si>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</si>
  <si>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</si>
  <si>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</si>
  <si>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</si>
  <si>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</si>
  <si>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</si>
  <si>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</si>
  <si>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</si>
  <si>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</si>
  <si>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</si>
  <si>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</si>
  <si>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</si>
  <si>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</si>
  <si>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</si>
  <si>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</si>
  <si>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</si>
  <si>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</si>
  <si>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</si>
  <si>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</si>
  <si>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</si>
  <si>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</si>
  <si>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</si>
  <si>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</si>
  <si>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</si>
  <si>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</si>
  <si>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</si>
  <si>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</si>
  <si>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</si>
  <si>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</si>
  <si>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</si>
  <si>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</si>
  <si>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</si>
  <si>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</si>
  <si>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</si>
  <si>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</si>
  <si>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</si>
  <si>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</si>
  <si>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</si>
  <si>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</si>
  <si>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</si>
  <si>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</si>
  <si>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</si>
  <si>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</si>
  <si>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</si>
  <si>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</si>
  <si>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</si>
  <si>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</si>
  <si>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</si>
  <si>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</si>
  <si>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</si>
  <si>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</si>
  <si>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</si>
  <si>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</si>
  <si>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</si>
  <si>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</si>
  <si>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</si>
  <si>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</si>
  <si>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</si>
  <si>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</si>
  <si>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</si>
  <si>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</si>
  <si>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</si>
  <si>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</si>
  <si>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</si>
  <si>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</si>
  <si>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</si>
  <si>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</si>
  <si>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09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</si>
</sst>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topLeftCell="A4" zoomScale="171" zoomScaleNormal="11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6" t="s">
        <v>0</v>
      </c>
      <c r="C1" s="206"/>
    </row>
    <row r="3" spans="2:3" x14ac:dyDescent="0.25">
      <c r="B3" s="207" t="s">
        <v>1</v>
      </c>
      <c r="C3" s="207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8" t="s">
        <v>14</v>
      </c>
      <c r="C11" s="208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L19" sqref="L19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3" width="11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7" t="s">
        <v>28</v>
      </c>
      <c r="C3" s="207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09" t="s">
        <v>102</v>
      </c>
      <c r="C29" s="209"/>
      <c r="D29" s="209"/>
      <c r="E29" s="209"/>
      <c r="F29" s="209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MAX(0,NETWORKDAYS.INTL(MAX(TODAY(),DATE(YEAR(TODAY()),1,1)),EOMONTH(DATE(YEAR(TODAY()),1,1),0),11))</f>
        <v>0</v>
      </c>
      <c r="D3" s="79" t="s">
        <v>104</v>
      </c>
      <c r="E3" s="80">
        <f ca="1">DAY(EOMONTH(DATE(YEAR(TODAY()),1,1),0))</f>
        <v>31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f ca="1">MAX(0,NETWORKDAYS.INTL(MAX(TODAY(),DATE(YEAR(TODAY()),2,1)),EOMONTH(DATE(YEAR(TODAY()),2,1),0),11))</f>
        <v>0</v>
      </c>
      <c r="D3" s="79" t="s">
        <v>104</v>
      </c>
      <c r="E3" s="80">
        <f ca="1">DAY(EOMONTH(DATE(YEAR(TODAY()),2,1),0))</f>
        <v>28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11" t="s">
        <v>146</v>
      </c>
      <c r="C44" s="212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 ca="1"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3" t="s">
        <v>41</v>
      </c>
      <c r="C47" s="213" t="s">
        <v>42</v>
      </c>
      <c r="D47" s="214" t="s">
        <v>138</v>
      </c>
      <c r="E47" s="215"/>
      <c r="F47" s="216"/>
      <c r="G47" s="101" t="s">
        <v>139</v>
      </c>
      <c r="H47" s="101"/>
      <c r="I47" s="101"/>
      <c r="J47" s="213" t="s">
        <v>140</v>
      </c>
      <c r="K47" s="102" t="s">
        <v>148</v>
      </c>
      <c r="L47" s="102"/>
      <c r="M47" s="102"/>
      <c r="N47" s="210" t="s">
        <v>149</v>
      </c>
    </row>
    <row r="48" spans="2:14" ht="15.75" x14ac:dyDescent="0.25">
      <c r="B48" s="213"/>
      <c r="C48" s="213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3"/>
      <c r="K48" s="104" t="s">
        <v>143</v>
      </c>
      <c r="L48" s="104" t="s">
        <v>111</v>
      </c>
      <c r="M48" s="104" t="s">
        <v>146</v>
      </c>
      <c r="N48" s="210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 ca="1"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f ca="1">MAX(0,NETWORKDAYS.INTL(MAX(TODAY(),DATE(YEAR(TODAY()),3,1)),EOMONTH(DATE(YEAR(TODAY()),3,1),0),11))</f>
        <v>0</v>
      </c>
      <c r="D3" s="23" t="s">
        <v>104</v>
      </c>
      <c r="E3" s="9">
        <f ca="1">DAY(EOMONTH(DATE(YEAR(TODAY()),3,1),0))</f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1" t="s">
        <v>146</v>
      </c>
      <c r="C44" s="222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3" t="s">
        <v>41</v>
      </c>
      <c r="C47" s="223" t="s">
        <v>42</v>
      </c>
      <c r="D47" s="218" t="s">
        <v>138</v>
      </c>
      <c r="E47" s="219"/>
      <c r="F47" s="220"/>
      <c r="G47" s="70" t="s">
        <v>139</v>
      </c>
      <c r="H47" s="70"/>
      <c r="I47" s="70"/>
      <c r="J47" s="223" t="s">
        <v>140</v>
      </c>
      <c r="K47" s="35" t="s">
        <v>148</v>
      </c>
      <c r="L47" s="35"/>
      <c r="M47" s="35"/>
      <c r="N47" s="217" t="s">
        <v>149</v>
      </c>
    </row>
    <row r="48" spans="2:17" ht="15.75" x14ac:dyDescent="0.25">
      <c r="B48" s="223"/>
      <c r="C48" s="223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3"/>
      <c r="K48" s="34" t="s">
        <v>143</v>
      </c>
      <c r="L48" s="34" t="s">
        <v>111</v>
      </c>
      <c r="M48" s="34" t="s">
        <v>146</v>
      </c>
      <c r="N48" s="217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65" zoomScaleNormal="100" workbookViewId="0">
      <selection activeCell="D70" sqref="D70:D83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MAX(0,NETWORKDAYS.INTL(MAX(TODAY(),DATE(YEAR(TODAY()),4,1)),EOMONTH(DATE(YEAR(TODAY()),4,1),0),11))</f>
        <v>0</v>
      </c>
      <c r="D3" s="79" t="s">
        <v>104</v>
      </c>
      <c r="E3" s="80">
        <f ca="1">DAY(EOMONTH(DATE(YEAR(TODAY()),4,1),0))</f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4" t="s">
        <v>183</v>
      </c>
      <c r="C41" s="225"/>
      <c r="D41" s="226"/>
      <c r="E41" s="67" t="s">
        <v>138</v>
      </c>
      <c r="F41" s="73">
        <v>1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0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0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0</v>
      </c>
    </row>
    <row r="46" spans="2:14" ht="20.100000000000001" customHeight="1" x14ac:dyDescent="0.25">
      <c r="B46" s="221" t="s">
        <v>146</v>
      </c>
      <c r="C46" s="222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0</v>
      </c>
    </row>
    <row r="48" spans="2:14" s="158" customFormat="1" ht="20.100000000000001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35"/>
      <c r="L48" s="236"/>
      <c r="M48" s="236"/>
      <c r="N48" s="237"/>
    </row>
    <row r="49" spans="2:14" s="158" customFormat="1" ht="20.100000000000001" customHeight="1" x14ac:dyDescent="0.25">
      <c r="B49" s="234" t="s">
        <v>41</v>
      </c>
      <c r="C49" s="234" t="s">
        <v>42</v>
      </c>
      <c r="D49" s="231" t="s">
        <v>138</v>
      </c>
      <c r="E49" s="232"/>
      <c r="F49" s="233"/>
      <c r="G49" s="159" t="s">
        <v>139</v>
      </c>
      <c r="H49" s="159"/>
      <c r="I49" s="159"/>
      <c r="J49" s="234" t="s">
        <v>140</v>
      </c>
      <c r="K49" s="160" t="s">
        <v>148</v>
      </c>
      <c r="L49" s="160"/>
      <c r="M49" s="160"/>
      <c r="N49" s="227" t="s">
        <v>149</v>
      </c>
    </row>
    <row r="50" spans="2:14" s="158" customFormat="1" ht="20.100000000000001" customHeight="1" x14ac:dyDescent="0.25">
      <c r="B50" s="234"/>
      <c r="C50" s="234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4"/>
      <c r="K50" s="163" t="s">
        <v>143</v>
      </c>
      <c r="L50" s="163" t="s">
        <v>111</v>
      </c>
      <c r="M50" s="163" t="s">
        <v>146</v>
      </c>
      <c r="N50" s="227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0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0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0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0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0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0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0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0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0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0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0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0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0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0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0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3" t="s">
        <v>41</v>
      </c>
      <c r="C68" s="223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3"/>
      <c r="C69" s="223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8" t="s">
        <v>145</v>
      </c>
      <c r="C87" s="229"/>
      <c r="D87" s="229"/>
      <c r="E87" s="229"/>
      <c r="F87" s="230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0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0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0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0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76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42578125" customWidth="1"/>
    <col min="10" max="10" width="10" customWidth="1"/>
    <col min="11" max="12" width="12.710937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NETWORKDAYS.INTL(TODAY(),EOMONTH(TODAY(),0),11)</f>
        <v>19</v>
      </c>
      <c r="D3" s="79" t="s">
        <v>104</v>
      </c>
      <c r="E3" s="80">
        <f ca="1">DAY(EOMONTH(TODAY(),0))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55654485.909344003</v>
      </c>
      <c r="N8" s="11">
        <f>D24</f>
        <v>16658710.238482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145388090.779558</v>
      </c>
      <c r="N9" s="11">
        <f>D12+D13</f>
        <v>21246025.750277001</v>
      </c>
    </row>
    <row r="10" spans="2:14" x14ac:dyDescent="0.25">
      <c r="B10" s="74" t="s">
        <v>113</v>
      </c>
      <c r="C10" s="205">
        <v>69614886.139142007</v>
      </c>
      <c r="D10" s="205">
        <v>6466810.6003719997</v>
      </c>
      <c r="E10" s="205">
        <v>51361187.839997999</v>
      </c>
      <c r="F10" s="205">
        <v>127442884.579512</v>
      </c>
      <c r="H10" s="116"/>
      <c r="I10" s="116"/>
      <c r="J10" s="116"/>
      <c r="M10" s="11">
        <f>C14</f>
        <v>171865471.05556199</v>
      </c>
      <c r="N10" s="11">
        <f>D14</f>
        <v>11115771.353956001</v>
      </c>
    </row>
    <row r="11" spans="2:14" x14ac:dyDescent="0.25">
      <c r="B11" s="74" t="s">
        <v>114</v>
      </c>
      <c r="C11" s="205">
        <v>96684877.764221996</v>
      </c>
      <c r="D11" s="205">
        <v>28753165.300312001</v>
      </c>
      <c r="E11" s="205">
        <v>2972973</v>
      </c>
      <c r="F11" s="205">
        <v>128411016.06453399</v>
      </c>
      <c r="H11" s="116"/>
      <c r="I11" s="116"/>
      <c r="J11" s="116"/>
      <c r="M11" s="11">
        <f>C17</f>
        <v>61207206.140000001</v>
      </c>
      <c r="N11" s="11">
        <f>D17</f>
        <v>2320094.6</v>
      </c>
    </row>
    <row r="12" spans="2:14" x14ac:dyDescent="0.25">
      <c r="B12" s="74" t="s">
        <v>70</v>
      </c>
      <c r="C12" s="205">
        <v>81260502.745966002</v>
      </c>
      <c r="D12" s="205">
        <v>14353935.650287</v>
      </c>
      <c r="E12" s="205" t="s">
        <v>169</v>
      </c>
      <c r="F12" s="205">
        <v>95614438.396253005</v>
      </c>
      <c r="H12" s="116"/>
      <c r="I12" s="116"/>
      <c r="J12" s="116"/>
      <c r="M12" s="11">
        <f>C16</f>
        <v>119904108.382761</v>
      </c>
      <c r="N12" s="11">
        <f>D16</f>
        <v>25557079.459860999</v>
      </c>
    </row>
    <row r="13" spans="2:14" x14ac:dyDescent="0.25">
      <c r="B13" s="74" t="s">
        <v>115</v>
      </c>
      <c r="C13" s="205">
        <v>64127588.033592001</v>
      </c>
      <c r="D13" s="205">
        <v>6892090.09999</v>
      </c>
      <c r="E13" s="205">
        <v>11845044.880000001</v>
      </c>
      <c r="F13" s="205">
        <v>82864723.013582006</v>
      </c>
      <c r="H13" s="116"/>
      <c r="I13" s="116"/>
      <c r="J13" s="116"/>
      <c r="M13" s="11">
        <f>C19</f>
        <v>223127383.89821801</v>
      </c>
      <c r="N13" s="11">
        <f>D19</f>
        <v>20447930.359965999</v>
      </c>
    </row>
    <row r="14" spans="2:14" x14ac:dyDescent="0.25">
      <c r="B14" s="74" t="s">
        <v>116</v>
      </c>
      <c r="C14" s="205">
        <v>171865471.05556199</v>
      </c>
      <c r="D14" s="205">
        <v>11115771.353956001</v>
      </c>
      <c r="E14" s="205">
        <v>23462161.940000001</v>
      </c>
      <c r="F14" s="205">
        <v>206443404.349518</v>
      </c>
      <c r="H14" s="116"/>
      <c r="I14" s="116"/>
      <c r="J14" s="116"/>
      <c r="M14" s="11">
        <f>C25</f>
        <v>123995497.900435</v>
      </c>
      <c r="N14" s="11">
        <f>D25</f>
        <v>23863774.779863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96684877.764221996</v>
      </c>
      <c r="N15" s="11">
        <f>D11</f>
        <v>28753165.300312001</v>
      </c>
    </row>
    <row r="16" spans="2:14" x14ac:dyDescent="0.25">
      <c r="B16" s="74" t="s">
        <v>74</v>
      </c>
      <c r="C16" s="205">
        <v>119904108.382761</v>
      </c>
      <c r="D16" s="205">
        <v>25557079.459860999</v>
      </c>
      <c r="E16" s="205">
        <v>7175675.5999999996</v>
      </c>
      <c r="F16" s="205">
        <v>152636863.44262201</v>
      </c>
      <c r="H16" s="116"/>
      <c r="I16" s="116"/>
      <c r="J16" s="116"/>
      <c r="M16" s="11">
        <f>C26</f>
        <v>112374047.102376</v>
      </c>
      <c r="N16" s="11">
        <f>D26</f>
        <v>22218918.039972</v>
      </c>
    </row>
    <row r="17" spans="2:14" x14ac:dyDescent="0.25">
      <c r="B17" s="74" t="s">
        <v>118</v>
      </c>
      <c r="C17" s="205">
        <v>61207206.140000001</v>
      </c>
      <c r="D17" s="205">
        <v>2320094.6</v>
      </c>
      <c r="E17" s="205" t="s">
        <v>169</v>
      </c>
      <c r="F17" s="205">
        <v>63527300.740000002</v>
      </c>
      <c r="H17" s="116"/>
      <c r="I17" s="116"/>
      <c r="J17" s="116"/>
      <c r="M17" s="11">
        <f>C10</f>
        <v>69614886.139142007</v>
      </c>
      <c r="N17" s="11">
        <f>D10</f>
        <v>6466810.6003719997</v>
      </c>
    </row>
    <row r="18" spans="2:14" x14ac:dyDescent="0.25">
      <c r="B18" s="74" t="s">
        <v>119</v>
      </c>
      <c r="C18" s="205">
        <v>463223628.56396598</v>
      </c>
      <c r="D18" s="205">
        <v>5076981.1899769995</v>
      </c>
      <c r="E18" s="205">
        <v>2970270.24</v>
      </c>
      <c r="F18" s="205">
        <v>471270879.99394298</v>
      </c>
      <c r="H18" s="116"/>
      <c r="I18" s="116"/>
      <c r="J18" s="116"/>
      <c r="M18" s="11">
        <f>C27</f>
        <v>203137601.64892501</v>
      </c>
      <c r="N18" s="11">
        <f>D27</f>
        <v>94253276.348582998</v>
      </c>
    </row>
    <row r="19" spans="2:14" x14ac:dyDescent="0.25">
      <c r="B19" s="74" t="s">
        <v>121</v>
      </c>
      <c r="C19" s="205">
        <v>223127383.89821801</v>
      </c>
      <c r="D19" s="205">
        <v>20447930.359965999</v>
      </c>
      <c r="E19" s="205">
        <v>272846868.68996799</v>
      </c>
      <c r="F19" s="205">
        <v>516422182.94815201</v>
      </c>
      <c r="H19" s="116"/>
      <c r="I19" s="116"/>
      <c r="J19" s="116"/>
      <c r="M19" s="11">
        <f>C20+C21</f>
        <v>54725925.205118001</v>
      </c>
      <c r="N19" s="11">
        <f>D20+D21</f>
        <v>60380033.141911</v>
      </c>
    </row>
    <row r="20" spans="2:14" x14ac:dyDescent="0.25">
      <c r="B20" s="74" t="s">
        <v>123</v>
      </c>
      <c r="C20" s="205">
        <v>41749835.205118001</v>
      </c>
      <c r="D20" s="205">
        <v>16417971.229896</v>
      </c>
      <c r="E20" s="205" t="s">
        <v>169</v>
      </c>
      <c r="F20" s="205">
        <v>58167806.435014002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5">
        <v>12976090</v>
      </c>
      <c r="D21" s="205">
        <v>43962061.912014998</v>
      </c>
      <c r="E21" s="205">
        <v>21881081.52</v>
      </c>
      <c r="F21" s="205">
        <v>78819233.432015002</v>
      </c>
      <c r="H21" s="116"/>
      <c r="I21" s="116"/>
      <c r="J21" s="116"/>
      <c r="M21" s="14">
        <f>IFERROR(C34,0)+IFERROR(C35,0)+M20</f>
        <v>221394137.00781301</v>
      </c>
      <c r="N21" s="10" t="s">
        <v>122</v>
      </c>
    </row>
    <row r="22" spans="2:14" x14ac:dyDescent="0.25">
      <c r="B22" s="74" t="s">
        <v>173</v>
      </c>
      <c r="C22" s="205">
        <v>25563399.100000001</v>
      </c>
      <c r="D22" s="205" t="s">
        <v>169</v>
      </c>
      <c r="E22" s="205">
        <v>4036035.92</v>
      </c>
      <c r="F22" s="205">
        <v>29599435.02</v>
      </c>
      <c r="H22" s="116"/>
      <c r="I22" s="116"/>
      <c r="J22" s="116"/>
    </row>
    <row r="23" spans="2:14" x14ac:dyDescent="0.25">
      <c r="B23" s="74" t="s">
        <v>174</v>
      </c>
      <c r="C23" s="205">
        <v>67930568.249974996</v>
      </c>
      <c r="D23" s="205" t="s">
        <v>169</v>
      </c>
      <c r="E23" s="205">
        <v>3207207.12</v>
      </c>
      <c r="F23" s="205">
        <v>71137775.369975001</v>
      </c>
      <c r="H23" s="116"/>
      <c r="I23" s="116"/>
      <c r="J23" s="116"/>
    </row>
    <row r="24" spans="2:14" x14ac:dyDescent="0.25">
      <c r="B24" s="74" t="s">
        <v>125</v>
      </c>
      <c r="C24" s="205">
        <v>55654485.909344003</v>
      </c>
      <c r="D24" s="205">
        <v>16658710.238482</v>
      </c>
      <c r="E24" s="205">
        <v>28049549.16</v>
      </c>
      <c r="F24" s="205">
        <v>100362745.307826</v>
      </c>
      <c r="H24" s="116"/>
      <c r="I24" s="116"/>
      <c r="J24" s="116"/>
    </row>
    <row r="25" spans="2:14" x14ac:dyDescent="0.25">
      <c r="B25" s="74" t="s">
        <v>126</v>
      </c>
      <c r="C25" s="205">
        <v>123995497.900435</v>
      </c>
      <c r="D25" s="205">
        <v>23863774.779863</v>
      </c>
      <c r="E25" s="205">
        <v>18498198</v>
      </c>
      <c r="F25" s="205">
        <v>166357470.680298</v>
      </c>
      <c r="H25" s="116"/>
      <c r="I25" s="116"/>
      <c r="J25" s="116"/>
    </row>
    <row r="26" spans="2:14" x14ac:dyDescent="0.25">
      <c r="B26" s="74" t="s">
        <v>127</v>
      </c>
      <c r="C26" s="205">
        <v>112374047.102376</v>
      </c>
      <c r="D26" s="205">
        <v>22218918.039972</v>
      </c>
      <c r="E26" s="205">
        <v>94271170.849979997</v>
      </c>
      <c r="F26" s="205">
        <v>228864135.99232799</v>
      </c>
      <c r="H26" s="116"/>
      <c r="I26" s="116"/>
      <c r="J26" s="116"/>
    </row>
    <row r="27" spans="2:14" x14ac:dyDescent="0.25">
      <c r="B27" s="74" t="s">
        <v>128</v>
      </c>
      <c r="C27" s="205">
        <v>203137601.64892501</v>
      </c>
      <c r="D27" s="205">
        <v>94253276.348582998</v>
      </c>
      <c r="E27" s="205">
        <v>4259459.54</v>
      </c>
      <c r="F27" s="205">
        <v>301650337.53750801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05">
        <v>109393554.425483</v>
      </c>
      <c r="G32" s="116"/>
      <c r="H32" s="116"/>
      <c r="I32" s="116"/>
    </row>
    <row r="33" spans="2:14" x14ac:dyDescent="0.25">
      <c r="B33" s="84" t="s">
        <v>133</v>
      </c>
      <c r="C33" s="205">
        <v>86821315.973059997</v>
      </c>
      <c r="G33" s="116"/>
      <c r="H33" s="116"/>
      <c r="I33" s="116"/>
    </row>
    <row r="34" spans="2:14" x14ac:dyDescent="0.25">
      <c r="B34" s="84" t="s">
        <v>134</v>
      </c>
      <c r="C34" s="205">
        <v>117129130.98902</v>
      </c>
      <c r="G34" s="116"/>
      <c r="H34" s="116"/>
      <c r="I34" s="116"/>
    </row>
    <row r="35" spans="2:14" x14ac:dyDescent="0.25">
      <c r="B35" s="84" t="s">
        <v>135</v>
      </c>
      <c r="C35" s="205">
        <v>104265006.018793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38" t="s">
        <v>184</v>
      </c>
      <c r="C41" s="239"/>
      <c r="D41" s="240"/>
      <c r="E41" s="67" t="s">
        <v>138</v>
      </c>
      <c r="F41" s="73">
        <f ca="1">IF(MONTH(TODAY())=5,DAY(TODAY())/DAY(EOMONTH(TODAY(),0)),IF(MONTH(TODAY())&gt;5,1,0))</f>
        <v>0.29032258064516131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1531173549.275636</v>
      </c>
      <c r="F43" s="44">
        <f>IFERROR(E43/D43,0)</f>
        <v>0.22387937017157583</v>
      </c>
      <c r="G43" s="118">
        <f>D43-E43</f>
        <v>5308105782.7243643</v>
      </c>
      <c r="H43" s="118">
        <f ca="1">IFERROR(G43/C3,0)</f>
        <v>279373988.56444025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333281589.97355497</v>
      </c>
      <c r="F44" s="44">
        <f>IFERROR(E44/D44,0)</f>
        <v>0.22591305947370191</v>
      </c>
      <c r="G44" s="118">
        <f>D44-E44</f>
        <v>1141983234.2468066</v>
      </c>
      <c r="H44" s="118">
        <f ca="1">IFERROR(G44/C3,0)</f>
        <v>60104380.74983193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417609007.40635598</v>
      </c>
      <c r="F45" s="44">
        <f>IFERROR(E45/D45,0)</f>
        <v>0.23421984902265783</v>
      </c>
      <c r="G45" s="118">
        <f>D45-E45</f>
        <v>1365369715.9979</v>
      </c>
      <c r="H45" s="118">
        <f ca="1">IFERROR(G45/C3,0)</f>
        <v>71861563.999889478</v>
      </c>
      <c r="I45" s="116"/>
    </row>
    <row r="46" spans="2:14" ht="18.75" customHeight="1" x14ac:dyDescent="0.25">
      <c r="B46" s="221" t="s">
        <v>146</v>
      </c>
      <c r="C46" s="222"/>
      <c r="D46" s="47">
        <f>D43+D44+D45</f>
        <v>10097522879.624619</v>
      </c>
      <c r="E46" s="47">
        <f>E43+E44+E45</f>
        <v>2282064146.6555467</v>
      </c>
      <c r="F46" s="43">
        <f>IFERROR(E46/D46,0)</f>
        <v>0.22600237442991403</v>
      </c>
      <c r="G46" s="119">
        <f>G43+G44+G45</f>
        <v>7815458732.9690704</v>
      </c>
      <c r="H46" s="119">
        <f ca="1">IFERROR(G46/C3,0)</f>
        <v>411339933.3141616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20.100000000000001" customHeight="1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22.5" customHeight="1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ht="20.100000000000001" customHeight="1" x14ac:dyDescent="0.25">
      <c r="B51" s="201" t="s">
        <v>67</v>
      </c>
      <c r="C51" s="202" t="s">
        <v>68</v>
      </c>
      <c r="D51" s="204">
        <f>TARGETS!L5</f>
        <v>416683478</v>
      </c>
      <c r="E51" s="204">
        <f>TARGETS!M5</f>
        <v>68270401.220654309</v>
      </c>
      <c r="F51" s="204">
        <f t="shared" ref="F51:F64" si="0">D51+E51</f>
        <v>484953879.22065431</v>
      </c>
      <c r="G51" s="122">
        <f>M8</f>
        <v>55654485.909344003</v>
      </c>
      <c r="H51" s="122">
        <f>N8</f>
        <v>16658710.238482</v>
      </c>
      <c r="I51" s="122">
        <f t="shared" ref="I51:I64" si="1">G51+H51</f>
        <v>72313196.147826001</v>
      </c>
      <c r="J51" s="61">
        <f t="shared" ref="J51:J64" si="2">IFERROR(I51/F51,0)</f>
        <v>0.14911355336313012</v>
      </c>
      <c r="K51" s="51">
        <f t="shared" ref="K51:M64" si="3">D51-G51</f>
        <v>361028992.09065598</v>
      </c>
      <c r="L51" s="51">
        <f t="shared" si="3"/>
        <v>51611690.98217231</v>
      </c>
      <c r="M51" s="51">
        <f t="shared" si="3"/>
        <v>412640683.07282829</v>
      </c>
      <c r="N51" s="51">
        <f ca="1">IFERROR(M51/C3,0)</f>
        <v>21717930.688043594</v>
      </c>
    </row>
    <row r="52" spans="2:14" ht="20.100000000000001" customHeight="1" x14ac:dyDescent="0.25">
      <c r="B52" s="201" t="s">
        <v>69</v>
      </c>
      <c r="C52" s="202" t="s">
        <v>70</v>
      </c>
      <c r="D52" s="204">
        <f>TARGETS!L6</f>
        <v>555182371</v>
      </c>
      <c r="E52" s="204">
        <f>TARGETS!M6</f>
        <v>191546784</v>
      </c>
      <c r="F52" s="204">
        <f t="shared" si="0"/>
        <v>746729155</v>
      </c>
      <c r="G52" s="122">
        <f>M9</f>
        <v>145388090.779558</v>
      </c>
      <c r="H52" s="122">
        <f>N9</f>
        <v>21246025.750277001</v>
      </c>
      <c r="I52" s="122">
        <f t="shared" si="1"/>
        <v>166634116.52983502</v>
      </c>
      <c r="J52" s="61">
        <f t="shared" si="2"/>
        <v>0.22315201624856207</v>
      </c>
      <c r="K52" s="54">
        <f t="shared" si="3"/>
        <v>409794280.220442</v>
      </c>
      <c r="L52" s="54">
        <f t="shared" si="3"/>
        <v>170300758.24972299</v>
      </c>
      <c r="M52" s="54">
        <f t="shared" si="3"/>
        <v>580095038.47016501</v>
      </c>
      <c r="N52" s="54">
        <f ca="1">IFERROR(M52/C3,0)</f>
        <v>30531317.81421921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25563399.100000001</v>
      </c>
      <c r="H53" s="122">
        <f>IF(D22="",0,D22)</f>
        <v>0</v>
      </c>
      <c r="I53" s="122">
        <f>G53+H53</f>
        <v>25563399.100000001</v>
      </c>
      <c r="J53" s="61">
        <f>IFERROR(I53/F53,0)</f>
        <v>0.10586430254466098</v>
      </c>
      <c r="K53" s="54">
        <f>D53-G53</f>
        <v>215909868.90000001</v>
      </c>
      <c r="L53" s="54">
        <f>E53-H53</f>
        <v>0</v>
      </c>
      <c r="M53" s="54">
        <f>F53-I53</f>
        <v>215909868.90000001</v>
      </c>
      <c r="N53" s="54">
        <f ca="1">IFERROR(M53/C3,0)</f>
        <v>11363677.310526317</v>
      </c>
    </row>
    <row r="54" spans="2:14" ht="20.100000000000001" customHeight="1" x14ac:dyDescent="0.25">
      <c r="B54" s="201" t="s">
        <v>71</v>
      </c>
      <c r="C54" s="202" t="s">
        <v>72</v>
      </c>
      <c r="D54" s="204">
        <f>TARGETS!L8</f>
        <v>610712472</v>
      </c>
      <c r="E54" s="204">
        <f>TARGETS!M8</f>
        <v>46881826.81733489</v>
      </c>
      <c r="F54" s="204">
        <f t="shared" si="0"/>
        <v>657594298.81733489</v>
      </c>
      <c r="G54" s="122">
        <f>M10</f>
        <v>171865471.05556199</v>
      </c>
      <c r="H54" s="122">
        <f t="shared" ref="H54:H58" si="4">N10</f>
        <v>11115771.353956001</v>
      </c>
      <c r="I54" s="122">
        <f t="shared" si="1"/>
        <v>182981242.409518</v>
      </c>
      <c r="J54" s="61">
        <f t="shared" si="2"/>
        <v>0.27825855962955381</v>
      </c>
      <c r="K54" s="54">
        <f>D54-G54</f>
        <v>438847000.94443798</v>
      </c>
      <c r="L54" s="54">
        <f t="shared" si="3"/>
        <v>35766055.463378891</v>
      </c>
      <c r="M54" s="54">
        <f t="shared" si="3"/>
        <v>474613056.40781689</v>
      </c>
      <c r="N54" s="54">
        <f ca="1">IFERROR(M54/C3,0)</f>
        <v>24979634.547779836</v>
      </c>
    </row>
    <row r="55" spans="2:14" ht="20.100000000000001" customHeight="1" x14ac:dyDescent="0.25">
      <c r="B55" s="201" t="s">
        <v>73</v>
      </c>
      <c r="C55" s="202" t="s">
        <v>74</v>
      </c>
      <c r="D55" s="204">
        <f>TARGETS!L9</f>
        <v>405063284</v>
      </c>
      <c r="E55" s="204">
        <f>TARGETS!M9</f>
        <v>82869315.191524148</v>
      </c>
      <c r="F55" s="204">
        <f t="shared" si="0"/>
        <v>487932599.19152415</v>
      </c>
      <c r="G55" s="122">
        <f>M11</f>
        <v>61207206.140000001</v>
      </c>
      <c r="H55" s="122">
        <f t="shared" si="4"/>
        <v>2320094.6</v>
      </c>
      <c r="I55" s="122">
        <f t="shared" si="1"/>
        <v>63527300.740000002</v>
      </c>
      <c r="J55" s="61">
        <f t="shared" si="2"/>
        <v>0.13019687728440574</v>
      </c>
      <c r="K55" s="54">
        <f t="shared" si="3"/>
        <v>343856077.86000001</v>
      </c>
      <c r="L55" s="54">
        <f t="shared" si="3"/>
        <v>80549220.591524154</v>
      </c>
      <c r="M55" s="54">
        <f t="shared" si="3"/>
        <v>424405298.45152414</v>
      </c>
      <c r="N55" s="54">
        <f ca="1">IFERROR(M55/C3,0)</f>
        <v>22337120.971132848</v>
      </c>
    </row>
    <row r="56" spans="2:14" ht="20.100000000000001" customHeight="1" x14ac:dyDescent="0.25">
      <c r="B56" s="201" t="s">
        <v>75</v>
      </c>
      <c r="C56" s="202" t="s">
        <v>74</v>
      </c>
      <c r="D56" s="204">
        <f>TARGETS!L10</f>
        <v>473918832</v>
      </c>
      <c r="E56" s="204">
        <f>TARGETS!M10</f>
        <v>81239394.122653604</v>
      </c>
      <c r="F56" s="204">
        <f t="shared" si="0"/>
        <v>555158226.1226536</v>
      </c>
      <c r="G56" s="122">
        <f>M12</f>
        <v>119904108.382761</v>
      </c>
      <c r="H56" s="122">
        <f t="shared" si="4"/>
        <v>25557079.459860999</v>
      </c>
      <c r="I56" s="122">
        <f t="shared" si="1"/>
        <v>145461187.84262201</v>
      </c>
      <c r="J56" s="61">
        <f t="shared" si="2"/>
        <v>0.26201753121547838</v>
      </c>
      <c r="K56" s="54">
        <f t="shared" si="3"/>
        <v>354014723.617239</v>
      </c>
      <c r="L56" s="54">
        <f t="shared" si="3"/>
        <v>55682314.662792608</v>
      </c>
      <c r="M56" s="54">
        <f t="shared" si="3"/>
        <v>409697038.28003156</v>
      </c>
      <c r="N56" s="54">
        <f ca="1">IFERROR(M56/C3,0)</f>
        <v>21563002.014738504</v>
      </c>
    </row>
    <row r="57" spans="2:14" ht="20.100000000000001" customHeight="1" x14ac:dyDescent="0.25">
      <c r="B57" s="201" t="s">
        <v>76</v>
      </c>
      <c r="C57" s="202" t="s">
        <v>77</v>
      </c>
      <c r="D57" s="204">
        <f>TARGETS!L11</f>
        <v>961758345</v>
      </c>
      <c r="E57" s="204">
        <f>TARGETS!M11</f>
        <v>91928576.339156389</v>
      </c>
      <c r="F57" s="204">
        <f t="shared" si="0"/>
        <v>1053686921.3391564</v>
      </c>
      <c r="G57" s="122">
        <f>M13</f>
        <v>223127383.89821801</v>
      </c>
      <c r="H57" s="122">
        <f t="shared" si="4"/>
        <v>20447930.359965999</v>
      </c>
      <c r="I57" s="122">
        <f t="shared" si="1"/>
        <v>243575314.25818402</v>
      </c>
      <c r="J57" s="61">
        <f t="shared" si="2"/>
        <v>0.23116478844457727</v>
      </c>
      <c r="K57" s="54">
        <f t="shared" si="3"/>
        <v>738630961.10178196</v>
      </c>
      <c r="L57" s="54">
        <f t="shared" si="3"/>
        <v>71480645.979190394</v>
      </c>
      <c r="M57" s="54">
        <f t="shared" si="3"/>
        <v>810111607.08097243</v>
      </c>
      <c r="N57" s="54">
        <f ca="1">IFERROR(M57/C3,0)</f>
        <v>42637453.00426171</v>
      </c>
    </row>
    <row r="58" spans="2:14" ht="20.100000000000001" customHeight="1" x14ac:dyDescent="0.25">
      <c r="B58" s="201" t="s">
        <v>78</v>
      </c>
      <c r="C58" s="202" t="s">
        <v>79</v>
      </c>
      <c r="D58" s="204">
        <f>TARGETS!L12</f>
        <v>505287059</v>
      </c>
      <c r="E58" s="204">
        <f>TARGETS!M12</f>
        <v>63781404</v>
      </c>
      <c r="F58" s="204">
        <f t="shared" si="0"/>
        <v>569068463</v>
      </c>
      <c r="G58" s="122">
        <f>M14</f>
        <v>123995497.900435</v>
      </c>
      <c r="H58" s="122">
        <f t="shared" si="4"/>
        <v>23863774.779863</v>
      </c>
      <c r="I58" s="122">
        <f>G58+H58</f>
        <v>147859272.680298</v>
      </c>
      <c r="J58" s="61">
        <f>IFERROR(I58/F58,0)</f>
        <v>0.25982686143037592</v>
      </c>
      <c r="K58" s="54">
        <f t="shared" si="3"/>
        <v>381291561.09956503</v>
      </c>
      <c r="L58" s="54">
        <f t="shared" si="3"/>
        <v>39917629.220137</v>
      </c>
      <c r="M58" s="54">
        <f t="shared" si="3"/>
        <v>421209190.31970203</v>
      </c>
      <c r="N58" s="54">
        <f ca="1">IFERROR(M58/C3,0)</f>
        <v>22168904.753668528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67930568.249974996</v>
      </c>
      <c r="H59" s="122">
        <f>IF(D23="",0,D23)</f>
        <v>0</v>
      </c>
      <c r="I59" s="122">
        <f>G59+H59</f>
        <v>67930568.249974996</v>
      </c>
      <c r="J59" s="61">
        <f>IFERROR(I59/F59,0)</f>
        <v>0.16808935830194782</v>
      </c>
      <c r="K59" s="54">
        <f>D59-G59</f>
        <v>336203095.75002503</v>
      </c>
      <c r="L59" s="54">
        <f>E59-H59</f>
        <v>0</v>
      </c>
      <c r="M59" s="54">
        <f>F59-I59</f>
        <v>336203095.75002503</v>
      </c>
      <c r="N59" s="54">
        <f ca="1">IFERROR(M59/C3,0)</f>
        <v>17694899.776317108</v>
      </c>
    </row>
    <row r="60" spans="2:14" ht="20.100000000000001" customHeight="1" x14ac:dyDescent="0.25">
      <c r="B60" s="201" t="s">
        <v>80</v>
      </c>
      <c r="C60" s="202" t="s">
        <v>81</v>
      </c>
      <c r="D60" s="204">
        <f>TARGETS!L14</f>
        <v>404017309</v>
      </c>
      <c r="E60" s="204">
        <f>TARGETS!M14</f>
        <v>138464390.21799541</v>
      </c>
      <c r="F60" s="204">
        <f t="shared" si="0"/>
        <v>542481699.21799541</v>
      </c>
      <c r="G60" s="122">
        <f>M15</f>
        <v>96684877.764221996</v>
      </c>
      <c r="H60" s="122">
        <f t="shared" ref="H60:H64" si="5">N15</f>
        <v>28753165.300312001</v>
      </c>
      <c r="I60" s="122">
        <f t="shared" si="1"/>
        <v>125438043.06453399</v>
      </c>
      <c r="J60" s="61">
        <f t="shared" si="2"/>
        <v>0.23122999954718643</v>
      </c>
      <c r="K60" s="54">
        <f t="shared" si="3"/>
        <v>307332431.23577797</v>
      </c>
      <c r="L60" s="54">
        <f t="shared" si="3"/>
        <v>109711224.91768341</v>
      </c>
      <c r="M60" s="54">
        <f t="shared" si="3"/>
        <v>417043656.1534614</v>
      </c>
      <c r="N60" s="54">
        <f ca="1">IFERROR(M60/C3,0)</f>
        <v>21949666.113340072</v>
      </c>
    </row>
    <row r="61" spans="2:14" ht="20.100000000000001" customHeight="1" x14ac:dyDescent="0.25">
      <c r="B61" s="201" t="s">
        <v>82</v>
      </c>
      <c r="C61" s="202" t="s">
        <v>83</v>
      </c>
      <c r="D61" s="204">
        <f>TARGETS!L15</f>
        <v>631629596</v>
      </c>
      <c r="E61" s="204">
        <f>TARGETS!M15</f>
        <v>58741600.610625267</v>
      </c>
      <c r="F61" s="204">
        <f t="shared" si="0"/>
        <v>690371196.61062527</v>
      </c>
      <c r="G61" s="122">
        <f>M16</f>
        <v>112374047.102376</v>
      </c>
      <c r="H61" s="122">
        <f t="shared" si="5"/>
        <v>22218918.039972</v>
      </c>
      <c r="I61" s="122">
        <f t="shared" si="1"/>
        <v>134592965.14234799</v>
      </c>
      <c r="J61" s="61">
        <f t="shared" si="2"/>
        <v>0.19495738785617309</v>
      </c>
      <c r="K61" s="54">
        <f t="shared" si="3"/>
        <v>519255548.89762402</v>
      </c>
      <c r="L61" s="54">
        <f t="shared" si="3"/>
        <v>36522682.570653267</v>
      </c>
      <c r="M61" s="54">
        <f t="shared" si="3"/>
        <v>555778231.46827722</v>
      </c>
      <c r="N61" s="54">
        <f ca="1">IFERROR(M61/C3,0)</f>
        <v>29251485.866751432</v>
      </c>
    </row>
    <row r="62" spans="2:14" ht="20.100000000000001" customHeight="1" x14ac:dyDescent="0.25">
      <c r="B62" s="201" t="s">
        <v>84</v>
      </c>
      <c r="C62" s="202" t="s">
        <v>85</v>
      </c>
      <c r="D62" s="204">
        <f>TARGETS!L16</f>
        <v>386543023</v>
      </c>
      <c r="E62" s="204">
        <f>TARGETS!M16</f>
        <v>63764154.799813807</v>
      </c>
      <c r="F62" s="204">
        <f t="shared" si="0"/>
        <v>450307177.79981381</v>
      </c>
      <c r="G62" s="122">
        <f>M17</f>
        <v>69614886.139142007</v>
      </c>
      <c r="H62" s="122">
        <f t="shared" si="5"/>
        <v>6466810.6003719997</v>
      </c>
      <c r="I62" s="122">
        <f t="shared" si="1"/>
        <v>76081696.739514008</v>
      </c>
      <c r="J62" s="61">
        <f t="shared" si="2"/>
        <v>0.16895510551540993</v>
      </c>
      <c r="K62" s="54">
        <f t="shared" si="3"/>
        <v>316928136.86085796</v>
      </c>
      <c r="L62" s="54">
        <f t="shared" si="3"/>
        <v>57297344.199441805</v>
      </c>
      <c r="M62" s="54">
        <f t="shared" si="3"/>
        <v>374225481.06029981</v>
      </c>
      <c r="N62" s="54">
        <f ca="1">IFERROR(M62/C3,0)</f>
        <v>19696077.950542096</v>
      </c>
    </row>
    <row r="63" spans="2:14" ht="20.100000000000001" customHeight="1" x14ac:dyDescent="0.25">
      <c r="B63" s="201" t="s">
        <v>86</v>
      </c>
      <c r="C63" s="202" t="s">
        <v>87</v>
      </c>
      <c r="D63" s="204">
        <f>TARGETS!L17</f>
        <v>583350942</v>
      </c>
      <c r="E63" s="204">
        <f>TARGETS!M17</f>
        <v>329806944.99271739</v>
      </c>
      <c r="F63" s="204">
        <f t="shared" si="0"/>
        <v>913157886.99271739</v>
      </c>
      <c r="G63" s="122">
        <f>M18</f>
        <v>203137601.64892501</v>
      </c>
      <c r="H63" s="122">
        <f t="shared" si="5"/>
        <v>94253276.348582998</v>
      </c>
      <c r="I63" s="122">
        <f t="shared" si="1"/>
        <v>297390877.99750799</v>
      </c>
      <c r="J63" s="61">
        <f t="shared" si="2"/>
        <v>0.32567301036724194</v>
      </c>
      <c r="K63" s="54">
        <f t="shared" si="3"/>
        <v>380213340.35107499</v>
      </c>
      <c r="L63" s="54">
        <f t="shared" si="3"/>
        <v>235553668.6441344</v>
      </c>
      <c r="M63" s="54">
        <f t="shared" si="3"/>
        <v>615767008.99520946</v>
      </c>
      <c r="N63" s="54">
        <f ca="1">IFERROR(M63/C3,0)</f>
        <v>32408789.947116286</v>
      </c>
    </row>
    <row r="64" spans="2:14" ht="20.100000000000001" customHeight="1" x14ac:dyDescent="0.25">
      <c r="B64" s="201" t="s">
        <v>88</v>
      </c>
      <c r="C64" s="202" t="s">
        <v>89</v>
      </c>
      <c r="D64" s="204">
        <f>TARGETS!L18</f>
        <v>259525689</v>
      </c>
      <c r="E64" s="204">
        <f>TARGETS!M18</f>
        <v>257970031.90788639</v>
      </c>
      <c r="F64" s="204">
        <f t="shared" si="0"/>
        <v>517495720.90788639</v>
      </c>
      <c r="G64" s="122">
        <f>M19</f>
        <v>54725925.205118001</v>
      </c>
      <c r="H64" s="122">
        <f t="shared" si="5"/>
        <v>60380033.141911</v>
      </c>
      <c r="I64" s="122">
        <f t="shared" si="1"/>
        <v>115105958.347029</v>
      </c>
      <c r="J64" s="61">
        <f t="shared" si="2"/>
        <v>0.22242881186551439</v>
      </c>
      <c r="K64" s="54">
        <f t="shared" si="3"/>
        <v>204799763.794882</v>
      </c>
      <c r="L64" s="54">
        <f t="shared" si="3"/>
        <v>197589998.76597539</v>
      </c>
      <c r="M64" s="54">
        <f t="shared" si="3"/>
        <v>402389762.56085742</v>
      </c>
      <c r="N64" s="54">
        <f ca="1">IFERROR(M64/C3,0)</f>
        <v>21178408.555834603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1531173549.275636</v>
      </c>
      <c r="H65" s="152">
        <f>SUM(H51:H64)</f>
        <v>333281589.97355497</v>
      </c>
      <c r="I65" s="152">
        <f>SUM(I51:I64)</f>
        <v>1864455139.2491913</v>
      </c>
      <c r="J65" s="153">
        <f>IFERROR(I65/F65,0)</f>
        <v>0.22424021139563446</v>
      </c>
      <c r="K65" s="154">
        <f>SUM(K51:K64)</f>
        <v>5308105782.7243633</v>
      </c>
      <c r="L65" s="154">
        <f>SUM(L51:L64)</f>
        <v>1141983234.2468066</v>
      </c>
      <c r="M65" s="154">
        <f>SUM(M51:M64)</f>
        <v>6450089016.9711714</v>
      </c>
      <c r="N65" s="154">
        <f ca="1">IFERROR(M65/C3,0)</f>
        <v>339478369.31427217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3" t="s">
        <v>41</v>
      </c>
      <c r="C68" s="223" t="s">
        <v>42</v>
      </c>
      <c r="D68" s="134" t="s">
        <v>139</v>
      </c>
    </row>
    <row r="69" spans="2:14" ht="18" customHeight="1" x14ac:dyDescent="0.25">
      <c r="B69" s="223"/>
      <c r="C69" s="223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191">
        <f>IF(E24="",0,E24)</f>
        <v>28049549.16</v>
      </c>
    </row>
    <row r="71" spans="2:14" ht="20.100000000000001" customHeight="1" x14ac:dyDescent="0.25">
      <c r="B71" s="201" t="s">
        <v>69</v>
      </c>
      <c r="C71" s="202" t="s">
        <v>70</v>
      </c>
      <c r="D71" s="192">
        <f>IF(E12="",0,E12)+IF(E13="",0,E13)</f>
        <v>11845044.880000001</v>
      </c>
    </row>
    <row r="72" spans="2:14" ht="20.100000000000001" customHeight="1" x14ac:dyDescent="0.25">
      <c r="B72" s="201" t="s">
        <v>176</v>
      </c>
      <c r="C72" s="202" t="s">
        <v>177</v>
      </c>
      <c r="D72" s="192">
        <f>IF(E22="",0,E22)</f>
        <v>4036035.92</v>
      </c>
    </row>
    <row r="73" spans="2:14" ht="20.100000000000001" customHeight="1" x14ac:dyDescent="0.25">
      <c r="B73" s="201" t="s">
        <v>71</v>
      </c>
      <c r="C73" s="202" t="s">
        <v>72</v>
      </c>
      <c r="D73" s="191">
        <f>IF(E14="",0,E14)</f>
        <v>23462161.940000001</v>
      </c>
    </row>
    <row r="74" spans="2:14" ht="20.100000000000001" customHeight="1" x14ac:dyDescent="0.25">
      <c r="B74" s="201" t="s">
        <v>73</v>
      </c>
      <c r="C74" s="202" t="s">
        <v>74</v>
      </c>
      <c r="D74" s="192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192">
        <f>IF(E16="",0,E16)</f>
        <v>7175675.5999999996</v>
      </c>
    </row>
    <row r="76" spans="2:14" ht="20.100000000000001" customHeight="1" x14ac:dyDescent="0.25">
      <c r="B76" s="201" t="s">
        <v>76</v>
      </c>
      <c r="C76" s="202" t="s">
        <v>77</v>
      </c>
      <c r="D76" s="192">
        <f>IF(E19="",0,E19)</f>
        <v>272846868.68996799</v>
      </c>
    </row>
    <row r="77" spans="2:14" ht="20.100000000000001" customHeight="1" x14ac:dyDescent="0.25">
      <c r="B77" s="201" t="s">
        <v>78</v>
      </c>
      <c r="C77" s="202" t="s">
        <v>79</v>
      </c>
      <c r="D77" s="191">
        <f>IF(E25="",0,E25)</f>
        <v>18498198</v>
      </c>
    </row>
    <row r="78" spans="2:14" ht="20.100000000000001" customHeight="1" x14ac:dyDescent="0.25">
      <c r="B78" s="201" t="s">
        <v>176</v>
      </c>
      <c r="C78" s="202" t="s">
        <v>178</v>
      </c>
      <c r="D78" s="192">
        <f>IF(E23="",0,E23)</f>
        <v>3207207.12</v>
      </c>
    </row>
    <row r="79" spans="2:14" ht="20.100000000000001" customHeight="1" x14ac:dyDescent="0.25">
      <c r="B79" s="201" t="s">
        <v>80</v>
      </c>
      <c r="C79" s="202" t="s">
        <v>81</v>
      </c>
      <c r="D79" s="192">
        <f>IF(E11="",0,E11)</f>
        <v>2972973</v>
      </c>
    </row>
    <row r="80" spans="2:14" ht="20.100000000000001" customHeight="1" x14ac:dyDescent="0.25">
      <c r="B80" s="201" t="s">
        <v>82</v>
      </c>
      <c r="C80" s="202" t="s">
        <v>83</v>
      </c>
      <c r="D80" s="191">
        <f>IF(E26="",0,E26)</f>
        <v>94271170.849979997</v>
      </c>
    </row>
    <row r="81" spans="2:9" ht="20.100000000000001" customHeight="1" x14ac:dyDescent="0.25">
      <c r="B81" s="201" t="s">
        <v>84</v>
      </c>
      <c r="C81" s="202" t="s">
        <v>85</v>
      </c>
      <c r="D81" s="192">
        <f>IF(E10="",0,E10)</f>
        <v>51361187.839997999</v>
      </c>
    </row>
    <row r="82" spans="2:9" ht="20.100000000000001" customHeight="1" x14ac:dyDescent="0.25">
      <c r="B82" s="201" t="s">
        <v>86</v>
      </c>
      <c r="C82" s="202" t="s">
        <v>87</v>
      </c>
      <c r="D82" s="192">
        <f>IF(E27="",0,E27)</f>
        <v>4259459.54</v>
      </c>
    </row>
    <row r="83" spans="2:9" ht="20.100000000000001" customHeight="1" x14ac:dyDescent="0.25">
      <c r="B83" s="201" t="s">
        <v>88</v>
      </c>
      <c r="C83" s="202" t="s">
        <v>89</v>
      </c>
      <c r="D83" s="192">
        <f>IF(E20="",0,E20)+IF(E21="",0,E21)</f>
        <v>21881081.52</v>
      </c>
    </row>
    <row r="84" spans="2:9" ht="20.100000000000001" customHeight="1" x14ac:dyDescent="0.25">
      <c r="B84" s="57" t="s">
        <v>152</v>
      </c>
      <c r="C84" s="58"/>
      <c r="D84" s="129">
        <f>SUM(D70:D83)</f>
        <v>543866614.05994606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109393554.425483</v>
      </c>
      <c r="F89" s="61">
        <f t="shared" ref="F89:F94" si="7">IFERROR(E89/D89,0)</f>
        <v>0.39341055057629798</v>
      </c>
      <c r="G89" s="125">
        <f>D89-E89</f>
        <v>168671063.47872657</v>
      </c>
      <c r="H89" s="125">
        <f ca="1">IFERROR(G89/C3,0)</f>
        <v>8877424.3936171886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86821315.973059997</v>
      </c>
      <c r="F90" s="61">
        <f t="shared" si="7"/>
        <v>0.20789621368733316</v>
      </c>
      <c r="G90" s="126">
        <f>D90-E90</f>
        <v>330797237.21346158</v>
      </c>
      <c r="H90" s="126">
        <f ca="1">IFERROR(G90/C3,0)</f>
        <v>17410380.905971661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221394137.00781301</v>
      </c>
      <c r="F91" s="61">
        <f t="shared" si="7"/>
        <v>0.20361909559616537</v>
      </c>
      <c r="G91" s="125">
        <f>D91-E91</f>
        <v>865901415.30571175</v>
      </c>
      <c r="H91" s="125">
        <f ca="1">IFERROR(G91/C3,0)</f>
        <v>45573758.700300619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417609007.40635598</v>
      </c>
      <c r="F94" s="43">
        <f t="shared" si="7"/>
        <v>0.23421984902265783</v>
      </c>
      <c r="G94" s="119">
        <f>SUM(G89:G93)</f>
        <v>1365369715.9979</v>
      </c>
      <c r="H94" s="119">
        <f ca="1">IFERROR(G94/C3,0)</f>
        <v>71861563.999889478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opLeftCell="A50" zoomScaleNormal="100" workbookViewId="0">
      <selection activeCell="D70" sqref="D70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MAX(0,NETWORKDAYS.INTL(MAX(TODAY(),DATE(YEAR(TODAY()),6,1)),EOMONTH(DATE(YEAR(TODAY()),6,1),0),11))</f>
        <v>26</v>
      </c>
      <c r="D3" s="79" t="s">
        <v>104</v>
      </c>
      <c r="E3" s="80">
        <f ca="1">DAY(EOMONTH(DATE(YEAR(TODAY()),6,1),0))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160</v>
      </c>
      <c r="C41" s="225"/>
      <c r="D41" s="226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MAX(0,NETWORKDAYS.INTL(MAX(TODAY(),DATE(YEAR(TODAY()),7,1)),EOMONTH(DATE(YEAR(TODAY()),7,1),0),11))</f>
        <v>27</v>
      </c>
      <c r="D3" s="79" t="s">
        <v>104</v>
      </c>
      <c r="E3" s="80">
        <f ca="1">DAY(EOMONTH(DATE(YEAR(TODAY()),7,1),0))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179</v>
      </c>
      <c r="C41" s="225"/>
      <c r="D41" s="226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MAX(0,NETWORKDAYS.INTL(MAX(TODAY(),DATE(YEAR(TODAY()),8,1)),EOMONTH(DATE(YEAR(TODAY()),8,1),0),11))</f>
        <v>26</v>
      </c>
      <c r="D3" s="79" t="s">
        <v>104</v>
      </c>
      <c r="E3" s="80">
        <f ca="1">DAY(EOMONTH(DATE(YEAR(TODAY()),8,1),0))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163</v>
      </c>
      <c r="C41" s="225"/>
      <c r="D41" s="226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MAX(0,NETWORKDAYS.INTL(MAX(TODAY(),DATE(YEAR(TODAY()),9,1)),EOMONTH(DATE(YEAR(TODAY()),9,1),0),11))</f>
        <v>26</v>
      </c>
      <c r="D3" s="79" t="s">
        <v>104</v>
      </c>
      <c r="E3" s="80">
        <f ca="1">DAY(EOMONTH(DATE(YEAR(TODAY()),9,1),0))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165</v>
      </c>
      <c r="C41" s="225"/>
      <c r="D41" s="226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MAX(0,NETWORKDAYS.INTL(MAX(TODAY(),DATE(YEAR(TODAY()),10,1)),EOMONTH(DATE(YEAR(TODAY()),10,1),0),11))</f>
        <v>27</v>
      </c>
      <c r="D3" s="79" t="s">
        <v>104</v>
      </c>
      <c r="E3" s="80">
        <f ca="1">DAY(EOMONTH(DATE(YEAR(TODAY()),10,1),0))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167</v>
      </c>
      <c r="C41" s="225"/>
      <c r="D41" s="226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MAX(0,NETWORKDAYS.INTL(MAX(TODAY(),DATE(YEAR(TODAY()),11,1)),EOMONTH(DATE(YEAR(TODAY()),11,1),0),11))</f>
        <v>25</v>
      </c>
      <c r="D3" s="79" t="s">
        <v>104</v>
      </c>
      <c r="E3" s="80">
        <f ca="1">DAY(EOMONTH(DATE(YEAR(TODAY()),11,1),0))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180</v>
      </c>
      <c r="C41" s="225"/>
      <c r="D41" s="226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MAX(0,NETWORKDAYS.INTL(MAX(TODAY(),DATE(YEAR(TODAY()),12,1)),EOMONTH(DATE(YEAR(TODAY()),12,1),0),11))</f>
        <v>27</v>
      </c>
      <c r="D3" s="79" t="s">
        <v>104</v>
      </c>
      <c r="E3" s="80">
        <f ca="1">DAY(EOMONTH(DATE(YEAR(TODAY()),12,1),0))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4" t="s">
        <v>182</v>
      </c>
      <c r="C41" s="225"/>
      <c r="D41" s="226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1" t="s">
        <v>146</v>
      </c>
      <c r="C46" s="222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8" t="s">
        <v>147</v>
      </c>
      <c r="C48" s="229"/>
      <c r="D48" s="229"/>
      <c r="E48" s="229"/>
      <c r="F48" s="229"/>
      <c r="G48" s="229"/>
      <c r="H48" s="229"/>
      <c r="I48" s="229"/>
      <c r="J48" s="230"/>
      <c r="K48" s="244"/>
      <c r="L48" s="245"/>
      <c r="M48" s="245"/>
      <c r="N48" s="246"/>
    </row>
    <row r="49" spans="2:14" ht="15.75" x14ac:dyDescent="0.25">
      <c r="B49" s="223" t="s">
        <v>41</v>
      </c>
      <c r="C49" s="223" t="s">
        <v>42</v>
      </c>
      <c r="D49" s="218" t="s">
        <v>138</v>
      </c>
      <c r="E49" s="219"/>
      <c r="F49" s="220"/>
      <c r="G49" s="120" t="s">
        <v>139</v>
      </c>
      <c r="H49" s="120"/>
      <c r="I49" s="120"/>
      <c r="J49" s="223" t="s">
        <v>140</v>
      </c>
      <c r="K49" s="132" t="s">
        <v>148</v>
      </c>
      <c r="L49" s="132"/>
      <c r="M49" s="132"/>
      <c r="N49" s="247" t="s">
        <v>149</v>
      </c>
    </row>
    <row r="50" spans="2:14" ht="47.25" x14ac:dyDescent="0.25">
      <c r="B50" s="223"/>
      <c r="C50" s="223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3"/>
      <c r="K50" s="133" t="s">
        <v>143</v>
      </c>
      <c r="L50" s="133" t="s">
        <v>111</v>
      </c>
      <c r="M50" s="133" t="s">
        <v>146</v>
      </c>
      <c r="N50" s="247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3" t="s">
        <v>41</v>
      </c>
      <c r="C68" s="223" t="s">
        <v>42</v>
      </c>
      <c r="D68" s="134" t="s">
        <v>139</v>
      </c>
    </row>
    <row r="69" spans="2:14" ht="15.75" x14ac:dyDescent="0.25">
      <c r="B69" s="223"/>
      <c r="C69" s="223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1" t="s">
        <v>145</v>
      </c>
      <c r="C87" s="242"/>
      <c r="D87" s="242"/>
      <c r="E87" s="242"/>
      <c r="F87" s="243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2026-05-09T00:54:59Z</dcterms:modified>
  <dc:language>en-US</dc:language>
</cp:coreProperties>
</file>