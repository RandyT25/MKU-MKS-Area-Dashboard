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CF03D3C-DD1C-402F-85C2-B435893E02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Sheet!$A$1:$Q$174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174" i="1" l="1"/>
</calcChain>
</file>

<file path=xl/sharedStrings.xml><?xml version="1.0" encoding="utf-8"?>
<sst xmlns="http://schemas.openxmlformats.org/spreadsheetml/2006/main" count="2039" uniqueCount="498">
  <si>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</si>
  <si>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</si>
  <si>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</si>
  <si>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</si>
  <si>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</si>
  <si>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</si>
  <si>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</si>
  <si>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</si>
  <si>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</si>
  <si>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</si>
  <si>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</si>
  <si>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</si>
  <si>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</si>
  <si>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</si>
  <si>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</si>
  <si>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</si>
  <si>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</si>
  <si>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</si>
  <si>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</si>
  <si>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Juni</t>
  </si>
  <si>
    <t>Invoice</t>
  </si>
  <si>
    <t>Sudah Jadi FJ</t>
  </si>
  <si>
    <t/>
  </si>
  <si>
    <t>SO-KS/2608/270418</t>
  </si>
  <si>
    <t>ARTE CANGGU</t>
  </si>
  <si>
    <t>Taufik</t>
  </si>
  <si>
    <t>SFM007</t>
  </si>
  <si>
    <t>Tepung Double Zero @25Kg/Sack</t>
  </si>
  <si>
    <t>SACK</t>
  </si>
  <si>
    <t>kirim sabtu</t>
  </si>
  <si>
    <t>SFM018</t>
  </si>
  <si>
    <t>Tepung Ninja @25Kg/Sack</t>
  </si>
  <si>
    <t>I Made Luih (Sanur)</t>
  </si>
  <si>
    <t>SO-KS/2608/280002</t>
  </si>
  <si>
    <t>D'JOGLO SEMINYAK</t>
  </si>
  <si>
    <t>Sujana</t>
  </si>
  <si>
    <t>PSJ0007</t>
  </si>
  <si>
    <t>Friboi Brazil Tenderloin Whole</t>
  </si>
  <si>
    <t>KG</t>
  </si>
  <si>
    <t>2 Loaf. Cari yg warna agak merah</t>
  </si>
  <si>
    <t>SO-KS/2608/280003</t>
  </si>
  <si>
    <t>ROSSO VIVO</t>
  </si>
  <si>
    <t>Vacant Hotel Kuta Seminyak</t>
  </si>
  <si>
    <t>SO-KS/2608/280004</t>
  </si>
  <si>
    <t>RARE ANGON WARUNG</t>
  </si>
  <si>
    <t>Cash</t>
  </si>
  <si>
    <t>Picrom Stalyon</t>
  </si>
  <si>
    <t>PPA0092</t>
  </si>
  <si>
    <t>Emborg Pizza Topping 2.3 Kg</t>
  </si>
  <si>
    <t>2 blok</t>
  </si>
  <si>
    <t>SO-KS/2608/280005</t>
  </si>
  <si>
    <t>BAGEL TO GO</t>
  </si>
  <si>
    <t>SFM009</t>
  </si>
  <si>
    <t>Tepung Hime @25Kg/Sack</t>
  </si>
  <si>
    <t>120007</t>
  </si>
  <si>
    <t>Tepung Double Zero 1kg/pack</t>
  </si>
  <si>
    <t>SO-KS/2608/280007</t>
  </si>
  <si>
    <t>M&amp;M CATERING</t>
  </si>
  <si>
    <t>Eka</t>
  </si>
  <si>
    <t>PSF0002</t>
  </si>
  <si>
    <t>Tepung Tali Emas Regular 055 @25kg/sack</t>
  </si>
  <si>
    <t>SO-KS/2608/280009</t>
  </si>
  <si>
    <t>LUMA CANGGU</t>
  </si>
  <si>
    <t>SO-KS/2608/280010</t>
  </si>
  <si>
    <t>BALE UDANG</t>
  </si>
  <si>
    <t>120012</t>
  </si>
  <si>
    <t>Tepung Easymix Serbaguna @1kg/pack</t>
  </si>
  <si>
    <t>Jangan dikirim dulu sebelum di transfer</t>
  </si>
  <si>
    <t>SO-KS/2608/280011</t>
  </si>
  <si>
    <t>JALAPENO CANGGU</t>
  </si>
  <si>
    <t>Dewi Kristiani</t>
  </si>
  <si>
    <t>PPK0010</t>
  </si>
  <si>
    <t>Block Red Cheddar Mix Cheese 5x2kg</t>
  </si>
  <si>
    <t>1 loaf</t>
  </si>
  <si>
    <t>SO-KS/2608/280012</t>
  </si>
  <si>
    <t>TACO CASA SEMINYAK</t>
  </si>
  <si>
    <t>PSJ0046</t>
  </si>
  <si>
    <t>Allana Tenderloin Whole</t>
  </si>
  <si>
    <t>(CV Rumah Taco  Indonesia) Pastikan warna nya merah jika warna gelap akan dikembalikan</t>
  </si>
  <si>
    <t>SO-KS/2608/280014</t>
  </si>
  <si>
    <t>KELAPA MUDA UBUD POOL BAR &amp; KITCHEN</t>
  </si>
  <si>
    <t>NP1</t>
  </si>
  <si>
    <t>300099</t>
  </si>
  <si>
    <t>Magic Lezat @1kg/pack</t>
  </si>
  <si>
    <t>PACK</t>
  </si>
  <si>
    <t>Dikirim dgn barang Global</t>
  </si>
  <si>
    <t>SO-KS/2608/280015</t>
  </si>
  <si>
    <t>STAKZ BAR &amp; GRILL</t>
  </si>
  <si>
    <t>PPA0133</t>
  </si>
  <si>
    <t>EMBORG Perfect Pasta 1L</t>
  </si>
  <si>
    <t>PCS</t>
  </si>
  <si>
    <t>SO-KS/2608/280016</t>
  </si>
  <si>
    <t>LITTLE LIMA COFFEE</t>
  </si>
  <si>
    <t>080241</t>
  </si>
  <si>
    <t>THE ALTERNATIVE Barista Almond Milk 1 Lt</t>
  </si>
  <si>
    <t>SO-KS/2608/280017</t>
  </si>
  <si>
    <t>SO-KS/2608/280018</t>
  </si>
  <si>
    <t>SHUKA GRILLS</t>
  </si>
  <si>
    <t>NP3</t>
  </si>
  <si>
    <t>060015</t>
  </si>
  <si>
    <t>Nestea Lychee Tea Npro 560gr/Pack</t>
  </si>
  <si>
    <t>SO-KS/2608/280020</t>
  </si>
  <si>
    <t>PT. GOLD DRAGON</t>
  </si>
  <si>
    <t>SO-KS/2608/280021</t>
  </si>
  <si>
    <t>SUBWAY BALI DISCOVERY MALL</t>
  </si>
  <si>
    <t>NP4</t>
  </si>
  <si>
    <t>020020</t>
  </si>
  <si>
    <t>NESTLE Milo Activ-Go NPro 960Gr/Pack</t>
  </si>
  <si>
    <t>SO-KS/2608/280022</t>
  </si>
  <si>
    <t>THE MAGANI HOTEL &amp; SPA</t>
  </si>
  <si>
    <t>SO-KS/2608/280024</t>
  </si>
  <si>
    <t>LA BRASSERIE JIMBARAN</t>
  </si>
  <si>
    <t>SO-KS/2608/280025</t>
  </si>
  <si>
    <t>GOURMET GARAGE (PT. WAHANA BOGA NUSANTARA)</t>
  </si>
  <si>
    <t>120014</t>
  </si>
  <si>
    <t>Tepung Hime 1kg/pack</t>
  </si>
  <si>
    <t>120018</t>
  </si>
  <si>
    <t>Tepung Ninja 1kg/pack</t>
  </si>
  <si>
    <t>SO-KS/2608/280026</t>
  </si>
  <si>
    <t>PT. FASTFOOD INDONESIA (KFC KUTA SQUARE)</t>
  </si>
  <si>
    <t>080124</t>
  </si>
  <si>
    <t>NESTLE MILO -E Uht Cmbk 110 Ml</t>
  </si>
  <si>
    <t>SO-KS/2608/280029</t>
  </si>
  <si>
    <t>HILTON HOTEL</t>
  </si>
  <si>
    <t>Monica</t>
  </si>
  <si>
    <t>PSJ0203</t>
  </si>
  <si>
    <t>Borello Rump</t>
  </si>
  <si>
    <t>SO-KS/2608/280030</t>
  </si>
  <si>
    <t>PADMA UBUD RESORT</t>
  </si>
  <si>
    <t>SO-KS/2608/280034</t>
  </si>
  <si>
    <t>ST REGIS</t>
  </si>
  <si>
    <t>SO-KS/2608/280035</t>
  </si>
  <si>
    <t>THE LAGUNA</t>
  </si>
  <si>
    <t>SO-KS/2608/280041</t>
  </si>
  <si>
    <t>AUTOGRILL</t>
  </si>
  <si>
    <t>060006</t>
  </si>
  <si>
    <t>Nescafe Classic Sac+Bag Era 60x2gr</t>
  </si>
  <si>
    <t>SO-KS/2608/280042</t>
  </si>
  <si>
    <t>PSJ0127</t>
  </si>
  <si>
    <t>Amron Striploin Whole</t>
  </si>
  <si>
    <t>Ni Ketut Sriasih (MT)</t>
  </si>
  <si>
    <t>KTN</t>
  </si>
  <si>
    <t>SO-KS/2608/280050</t>
  </si>
  <si>
    <t>CV. SUMBER JAYA</t>
  </si>
  <si>
    <t>Ni Ketut Sriasih (GT)</t>
  </si>
  <si>
    <t>PPA0224</t>
  </si>
  <si>
    <t>EMBORG Butter Salted 200 Gr</t>
  </si>
  <si>
    <t>PPA0225</t>
  </si>
  <si>
    <t>EMBORG Butter Unsalted 200 Gr</t>
  </si>
  <si>
    <t>SO-KS/2608/280051</t>
  </si>
  <si>
    <t>ARTE UBUD</t>
  </si>
  <si>
    <t>SO-KS/2608/280053</t>
  </si>
  <si>
    <t>LOSTERIA JIMBARAN</t>
  </si>
  <si>
    <t>SO-KS/2608/280055</t>
  </si>
  <si>
    <t>TWISSTERDOG POTATO</t>
  </si>
  <si>
    <t>I MADE LUIH</t>
  </si>
  <si>
    <t>4 blok</t>
  </si>
  <si>
    <t>SO-KS/2608/280056</t>
  </si>
  <si>
    <t>Tambahan</t>
  </si>
  <si>
    <t>SO-KS/2608/280057</t>
  </si>
  <si>
    <t>BAMBU BALI ULUWATU</t>
  </si>
  <si>
    <t>oasis</t>
  </si>
  <si>
    <t>PSJ0228</t>
  </si>
  <si>
    <t>Premium Minced Beef (2.5kg/pack)</t>
  </si>
  <si>
    <t>SO-KS/2608/280058</t>
  </si>
  <si>
    <t xml:space="preserve"> cafe</t>
  </si>
  <si>
    <t>SO-KS/2608/280059</t>
  </si>
  <si>
    <t>IKUYO</t>
  </si>
  <si>
    <t>2 loaf</t>
  </si>
  <si>
    <t>SO-KS/2608/280060</t>
  </si>
  <si>
    <t>AVIARI BISTRO</t>
  </si>
  <si>
    <t>2 loaf. po Crooked Cactus</t>
  </si>
  <si>
    <t>SO-KS/2608/280061</t>
  </si>
  <si>
    <t>LA VIA EMILIA</t>
  </si>
  <si>
    <t>POT0676</t>
  </si>
  <si>
    <t>Prosciutto Sandanielle</t>
  </si>
  <si>
    <t xml:space="preserve"> 1 loaf. kirim ke canggu</t>
  </si>
  <si>
    <t>SO-KS/2608/280062</t>
  </si>
  <si>
    <t>BAKMI GOCAP</t>
  </si>
  <si>
    <t>CBD</t>
  </si>
  <si>
    <t>SO-KS/2608/280063</t>
  </si>
  <si>
    <t>PAK RUDI</t>
  </si>
  <si>
    <t>SO-KS/2608/280064</t>
  </si>
  <si>
    <t>AKARI RAMEN</t>
  </si>
  <si>
    <t>SO-KS/2608/280065</t>
  </si>
  <si>
    <t>080239</t>
  </si>
  <si>
    <t>THE ALTERNATIVE Barista Soy Milk 1 Lt</t>
  </si>
  <si>
    <t>080240</t>
  </si>
  <si>
    <t>THE ALTERNATIVE Barista Oat Milk 1 Lt</t>
  </si>
  <si>
    <t>SO-KS/2608/280067</t>
  </si>
  <si>
    <t>PT. CIPTA RASA MULTINDO (PETIT PARIS BOULENGERIE B</t>
  </si>
  <si>
    <t>POT0100</t>
  </si>
  <si>
    <t>Garam Halus Beryodium 25Kg/Sack</t>
  </si>
  <si>
    <t>SO-KS/2608/280068</t>
  </si>
  <si>
    <t>PT. CANGGU DELI</t>
  </si>
  <si>
    <t>SO-KS/2608/280071</t>
  </si>
  <si>
    <t>NOURISH CAFE</t>
  </si>
  <si>
    <t>SO-KS/2608/280072</t>
  </si>
  <si>
    <t>PAN0004</t>
  </si>
  <si>
    <t>DP Mozzarella 2.5Kg</t>
  </si>
  <si>
    <t>SO-KS/2608/280075</t>
  </si>
  <si>
    <t>PT. SSP TAURUS GEMILANG INDONESIA</t>
  </si>
  <si>
    <t>120006</t>
  </si>
  <si>
    <t>Tepung Crispy Ala Kentucky 1kg/pack</t>
  </si>
  <si>
    <t>INTERNASIONAL</t>
  </si>
  <si>
    <t>SO-KS/2608/280076</t>
  </si>
  <si>
    <t>SO-KS/2608/280077</t>
  </si>
  <si>
    <t>DOMESTIK</t>
  </si>
  <si>
    <t>SO-KS/2608/280079</t>
  </si>
  <si>
    <t>INTERNASIONA</t>
  </si>
  <si>
    <t>SO-KS/2608/280080</t>
  </si>
  <si>
    <t xml:space="preserve">INTERNASIONAL_x000D_
</t>
  </si>
  <si>
    <t>PT. SUMBER AGRI SEHAT</t>
  </si>
  <si>
    <t>MIDAS CANGGU</t>
  </si>
  <si>
    <t>SO-KS/2608/280090</t>
  </si>
  <si>
    <t>THE FORGE</t>
  </si>
  <si>
    <t>SO-KS/2608/280091</t>
  </si>
  <si>
    <t>NOURISH UNGASAN</t>
  </si>
  <si>
    <t>SO-KS/2608/280092</t>
  </si>
  <si>
    <t>AMARTA BEACH RETREAT BY NAKULA</t>
  </si>
  <si>
    <t>SO-KS/2608/280093</t>
  </si>
  <si>
    <t>FINNS BEACH CLUB</t>
  </si>
  <si>
    <t>kitchen vip</t>
  </si>
  <si>
    <t>SO-KS/2608/280094</t>
  </si>
  <si>
    <t>PT. ADIKARYA PANGAN FRESHINDO</t>
  </si>
  <si>
    <t>120017</t>
  </si>
  <si>
    <t>Tepung Mix Waffle 1kg/pack</t>
  </si>
  <si>
    <t>SO-KS/2608/280095</t>
  </si>
  <si>
    <t xml:space="preserve"> kitchen asian</t>
  </si>
  <si>
    <t>PSJ0275</t>
  </si>
  <si>
    <t>Pickled Gherkins (2kg/pack)</t>
  </si>
  <si>
    <t>SO-KS/2608/280097</t>
  </si>
  <si>
    <t>SO-KS/2608/280099</t>
  </si>
  <si>
    <t>kitchen fbc</t>
  </si>
  <si>
    <t>SO-KS/2608/280100</t>
  </si>
  <si>
    <t>SO-KS/2608/280101</t>
  </si>
  <si>
    <t>REVOLVER CANGGU</t>
  </si>
  <si>
    <t>SO-KS/2608/280103</t>
  </si>
  <si>
    <t>DAENG BURGER UMALAS</t>
  </si>
  <si>
    <t>SO-KS/2608/280105</t>
  </si>
  <si>
    <t>BOTTEGA ITALIANA BERAWA</t>
  </si>
  <si>
    <t xml:space="preserve"> jalan tegal cupek II no 15
</t>
  </si>
  <si>
    <t>SO-KS/2608/280107</t>
  </si>
  <si>
    <t>RABBITHOLE BAKERY</t>
  </si>
  <si>
    <t>barangnya dikirim ke tempat produksi di Jl berawa,</t>
  </si>
  <si>
    <t>DAS BISTRO</t>
  </si>
  <si>
    <t>Management Bali</t>
  </si>
  <si>
    <t>SO-KS/2608/280110</t>
  </si>
  <si>
    <t>MAMAS GERMAN REST.</t>
  </si>
  <si>
    <t>SO-KS/2608/280111</t>
  </si>
  <si>
    <t>020011</t>
  </si>
  <si>
    <t>Nestle Dark Cocoa Drink Npro 1kg/Pack</t>
  </si>
  <si>
    <t>SO-KS/2608/280112</t>
  </si>
  <si>
    <t>BALI MANDIRA</t>
  </si>
  <si>
    <t>SO-KS/2608/280117</t>
  </si>
  <si>
    <t>THE CHILL PENIDA</t>
  </si>
  <si>
    <t>kirim ke Jalan Tukad Barito V Dpn rumah no 5A</t>
  </si>
  <si>
    <t>SO-KS/2608/280118</t>
  </si>
  <si>
    <t>PENINSULA BEACH RESORT</t>
  </si>
  <si>
    <t>SO-KS/2608/280119</t>
  </si>
  <si>
    <t>BARTOLO LABUAN SAIT</t>
  </si>
  <si>
    <t>SO-KS/2608/280120</t>
  </si>
  <si>
    <t>VOUK HOTEL</t>
  </si>
  <si>
    <t>PSJ0175</t>
  </si>
  <si>
    <t>Black Gold Topside</t>
  </si>
  <si>
    <t>SO-KS/2608/280121</t>
  </si>
  <si>
    <t>PLATINUM HOTEL JIMBARAN BEACH BAR</t>
  </si>
  <si>
    <t>PPA0142</t>
  </si>
  <si>
    <t>EMBORG Brie Cheese 125 Gr</t>
  </si>
  <si>
    <t>SO-KS/2608/280123</t>
  </si>
  <si>
    <t>PT BALI PERKASASUKSES</t>
  </si>
  <si>
    <t>SO-KS/2608/280124</t>
  </si>
  <si>
    <t>SO-KS/2608/280125</t>
  </si>
  <si>
    <t>ALAS HARUM UBUD</t>
  </si>
  <si>
    <t>BAR CRETYA</t>
  </si>
  <si>
    <t>SO-KS/2608/280133</t>
  </si>
  <si>
    <t>THE WESTIN RESORT NUSA DUA</t>
  </si>
  <si>
    <t>MERUSAKA NUSA DUA</t>
  </si>
  <si>
    <t>POU</t>
  </si>
  <si>
    <t>SO-KS/2608/280138</t>
  </si>
  <si>
    <t>PARADISUS BY MELIA NUSA DUA</t>
  </si>
  <si>
    <t>SO-KS/2608/280143</t>
  </si>
  <si>
    <t>THE BLUE DOOR</t>
  </si>
  <si>
    <t>SO-KS/2608/280144</t>
  </si>
  <si>
    <t>CAPRI SANUR</t>
  </si>
  <si>
    <t>SO-KS/2608/280145</t>
  </si>
  <si>
    <t>BHIMA JAYA</t>
  </si>
  <si>
    <t>Wira</t>
  </si>
  <si>
    <t>120011</t>
  </si>
  <si>
    <t>Tepung Easymix Pisang Goreng @1kg/pack</t>
  </si>
  <si>
    <t>Di ambil besok ke kantor</t>
  </si>
  <si>
    <t>SO-KS/2608/280146</t>
  </si>
  <si>
    <t>CV. FENNY BERSAMA</t>
  </si>
  <si>
    <t>PSF0023</t>
  </si>
  <si>
    <t>Tepung Hime Fusion 5Kg</t>
  </si>
  <si>
    <t>BAG</t>
  </si>
  <si>
    <t>SO-KS/2608/280147</t>
  </si>
  <si>
    <t>150338</t>
  </si>
  <si>
    <t>FOODY Star Chicken Sausage 250 Gr</t>
  </si>
  <si>
    <t>SO-KS/2608/280148</t>
  </si>
  <si>
    <t>LA SANTANERA</t>
  </si>
  <si>
    <t>SO-KS/2608/280153</t>
  </si>
  <si>
    <t>DAMAR BALI CATERING</t>
  </si>
  <si>
    <t>NP2</t>
  </si>
  <si>
    <t>060013</t>
  </si>
  <si>
    <t>Nestea Lemon Tea 1kg/Pack</t>
  </si>
  <si>
    <t>Diambil customer besok ke kantor</t>
  </si>
  <si>
    <t>060019</t>
  </si>
  <si>
    <t>Nestle Orange Pouch NP 560gr/Pack</t>
  </si>
  <si>
    <t>SO-KS/2608/280154</t>
  </si>
  <si>
    <t>COURTYARD MARRIOT HOTEL</t>
  </si>
  <si>
    <t>SO-KS/2608/280155</t>
  </si>
  <si>
    <t>PSJ0187</t>
  </si>
  <si>
    <t>Borello Topside</t>
  </si>
  <si>
    <t>SO-KS/2608/280156</t>
  </si>
  <si>
    <t>LAZYHANDS BAKERY</t>
  </si>
  <si>
    <t>SO-KS/2608/280162</t>
  </si>
  <si>
    <t>UD ASTA KARYA</t>
  </si>
  <si>
    <t>SO-KS/2608/290003</t>
  </si>
  <si>
    <t>CONRAD HOTEL</t>
  </si>
  <si>
    <t>SO-KU/2608/280002</t>
  </si>
  <si>
    <t>MKU Bali</t>
  </si>
  <si>
    <t>POS0024</t>
  </si>
  <si>
    <t>O Sole Pomodori Pelati Peeled Tomatoes 2.5Kg</t>
  </si>
  <si>
    <t>CAN</t>
  </si>
  <si>
    <t>SO-KU/2608/280003</t>
  </si>
  <si>
    <t>PAA0001</t>
  </si>
  <si>
    <t>Bergold Mozzarella Block</t>
  </si>
  <si>
    <t>5 loaf</t>
  </si>
  <si>
    <t>SO-KU/2608/280004</t>
  </si>
  <si>
    <t>ALL DAY BREAD BAKERY</t>
  </si>
  <si>
    <t>PEA0004</t>
  </si>
  <si>
    <t>Gold Box Extra Butter MP341</t>
  </si>
  <si>
    <t>SO-KU/2608/280005</t>
  </si>
  <si>
    <t>SO-KU/2608/280006</t>
  </si>
  <si>
    <t>KORI RESTAURANT</t>
  </si>
  <si>
    <t>POT0034</t>
  </si>
  <si>
    <t>Premium Straight Cut 6x2Kg</t>
  </si>
  <si>
    <t>SO-KU/2608/280007</t>
  </si>
  <si>
    <t>CAFE DUNIA</t>
  </si>
  <si>
    <t>SO-KU/2608/280008</t>
  </si>
  <si>
    <t>PQW0010</t>
  </si>
  <si>
    <t>IQF FF Shoestring 10Kg/Ctn</t>
  </si>
  <si>
    <t>SO-KU/2608/280009</t>
  </si>
  <si>
    <t>SARI MERTHA SUPPLIER</t>
  </si>
  <si>
    <t>PSJ0019</t>
  </si>
  <si>
    <t>Pork B Sliced (1kg/pack)</t>
  </si>
  <si>
    <t>SO-KU/2608/280010</t>
  </si>
  <si>
    <t>THE GRUMPY BUTCHER</t>
  </si>
  <si>
    <t>POT0046</t>
  </si>
  <si>
    <t>Australian Butter Unsalted</t>
  </si>
  <si>
    <t>SO-KU/2608/280013</t>
  </si>
  <si>
    <t>DJAYA DELAPAN COFFEE</t>
  </si>
  <si>
    <t>PMS0094</t>
  </si>
  <si>
    <t>Masterista Syrup Butterscotch 850 Ml</t>
  </si>
  <si>
    <t>BTL</t>
  </si>
  <si>
    <t>PMS0114</t>
  </si>
  <si>
    <t>Masterista Cold Foam Sea Salt 500 Gr</t>
  </si>
  <si>
    <t>PMS0132</t>
  </si>
  <si>
    <t>Masterista Syrup Vanilla Tradition 850ml</t>
  </si>
  <si>
    <t>PMS0169</t>
  </si>
  <si>
    <t>Masterista Cheese Cream Topping 500 Gr</t>
  </si>
  <si>
    <t>SO-KU/2608/280014</t>
  </si>
  <si>
    <t>DUSUN BEDUGUL ASRI</t>
  </si>
  <si>
    <t>PIF0012</t>
  </si>
  <si>
    <t>Pristine Classic Cooking Cream 1 Lt</t>
  </si>
  <si>
    <t>LTR</t>
  </si>
  <si>
    <t>KIRIM KE jalan GUNUNG CATUR</t>
  </si>
  <si>
    <t>SO-KU/2608/280015</t>
  </si>
  <si>
    <t>DOPPIO PINK</t>
  </si>
  <si>
    <t>PMS0130</t>
  </si>
  <si>
    <t>Masterista Syrup Classic Caramel 850ml</t>
  </si>
  <si>
    <t>SO-KU/2608/280016</t>
  </si>
  <si>
    <t>WARUNG LOKAL</t>
  </si>
  <si>
    <t>POT0038</t>
  </si>
  <si>
    <t>Premium Straight Cut 2Kg</t>
  </si>
  <si>
    <t>Warung Local Canggu</t>
  </si>
  <si>
    <t>SO-KU/2608/280017</t>
  </si>
  <si>
    <t>NOVOTEL BALI UBUD RESORT</t>
  </si>
  <si>
    <t>SO-KU/2608/280018</t>
  </si>
  <si>
    <t>ALILA HOTEL SEMINYAK</t>
  </si>
  <si>
    <t>ASS-EB-LP250</t>
  </si>
  <si>
    <t>English Breakfast @250gr/Pouch</t>
  </si>
  <si>
    <t>ASS-PP-LP250</t>
  </si>
  <si>
    <t>Peppermint @250gr</t>
  </si>
  <si>
    <t>ASS-CH-L250</t>
  </si>
  <si>
    <t>Chamomile Dream @250gr</t>
  </si>
  <si>
    <t>ASS-EG-LP250</t>
  </si>
  <si>
    <t>Earl Grey @250gr</t>
  </si>
  <si>
    <t>SO-KU/2608/280019</t>
  </si>
  <si>
    <t>POTATO HEAD</t>
  </si>
  <si>
    <t>PEA0003</t>
  </si>
  <si>
    <t>Gold Box Melange Butter MP331</t>
  </si>
  <si>
    <t>SO-KU/2608/280020</t>
  </si>
  <si>
    <t>INTERCONTINENTAL BALI RESORT</t>
  </si>
  <si>
    <t>PMS0140</t>
  </si>
  <si>
    <t>Masterista Japanese Matcha Powder Premium 500 Ml</t>
  </si>
  <si>
    <t>SO-KU/2608/280021</t>
  </si>
  <si>
    <t>SO-KU/2608/280022</t>
  </si>
  <si>
    <t>PSJ0032</t>
  </si>
  <si>
    <t>Selecta Pork Belly Skin On</t>
  </si>
  <si>
    <t>SO-KU/2608/280023</t>
  </si>
  <si>
    <t>NERKA COFFEE</t>
  </si>
  <si>
    <t>PMS0059</t>
  </si>
  <si>
    <t>Flavour Artisan - Belgian Signature Dark Chocolate (80 Cocoa%)  500gr</t>
  </si>
  <si>
    <t>SO-KU/2608/280024</t>
  </si>
  <si>
    <t>tmbhan</t>
  </si>
  <si>
    <t>SO-KU/2608/280027</t>
  </si>
  <si>
    <t>ZERO 4 KARAOKE</t>
  </si>
  <si>
    <t>SO-KU/2608/280029</t>
  </si>
  <si>
    <t>SAKARA COFFEE</t>
  </si>
  <si>
    <t>PMS0033</t>
  </si>
  <si>
    <t>Masterista Ice Shaken Lemon Tea 1000Gr</t>
  </si>
  <si>
    <t>PMS0034</t>
  </si>
  <si>
    <t>Masterista Ice Shaken Lychee Tea 1000Gr</t>
  </si>
  <si>
    <t>PMS0037</t>
  </si>
  <si>
    <t>Flavorista Red Velvet (1000Gr/Pack)</t>
  </si>
  <si>
    <t>PMS0040</t>
  </si>
  <si>
    <t>Flavorista Taro (1000Gr/Pack)</t>
  </si>
  <si>
    <t>SO-KU/2608/280031</t>
  </si>
  <si>
    <t>KARTANA SUPLAIYER</t>
  </si>
  <si>
    <t>SO-KU/2608/280035</t>
  </si>
  <si>
    <t>PEA0010</t>
  </si>
  <si>
    <t>Gold Box Extra Butter MP341 1 Kg</t>
  </si>
  <si>
    <t>SO-KU/2608/280039</t>
  </si>
  <si>
    <t>po Crooked Cactus</t>
  </si>
  <si>
    <t>SO-KU/2608/280040</t>
  </si>
  <si>
    <t>SO-KU/2608/280042</t>
  </si>
  <si>
    <t>SO-KU/2608/280043</t>
  </si>
  <si>
    <t>COPENHAGEN CAFE BERAWA</t>
  </si>
  <si>
    <t>PEA0005</t>
  </si>
  <si>
    <t>Gold Box Melange Butter MP331 5 Kg</t>
  </si>
  <si>
    <t>SO-KU/2608/280045</t>
  </si>
  <si>
    <t>ATOMICO E SPORT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</si>
  <si>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</si>
  <si>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</si>
  <si>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</si>
  <si>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</si>
  <si>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</si>
  <si>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</si>
  <si>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SO-KU/2608/280048</t>
  </si>
  <si>
    <t>BELLA ITALIAN GRAND MAS</t>
  </si>
  <si>
    <t>SO-KU/2608/280051</t>
  </si>
  <si>
    <t>POT0039</t>
  </si>
  <si>
    <t>Premium Spicy Wedges 2.5 Kg</t>
  </si>
  <si>
    <t>SO-KU/2608/280052</t>
  </si>
  <si>
    <t>SO-KU/2608/280055</t>
  </si>
  <si>
    <t>MAYA UBUD</t>
  </si>
  <si>
    <t>PAS0064</t>
  </si>
  <si>
    <t>Crr Rock'n Waffle Fries 2.5 Kg</t>
  </si>
  <si>
    <t>SO-KU/2608/280056</t>
  </si>
  <si>
    <t>JAJE BITE</t>
  </si>
  <si>
    <t>SO-KU/2608/280057</t>
  </si>
  <si>
    <t>SO-KU/2608/280058</t>
  </si>
  <si>
    <t>TITI BATU UBUD</t>
  </si>
  <si>
    <t>CKPS014</t>
  </si>
  <si>
    <t>Fashion Vodka Premium Quality</t>
  </si>
  <si>
    <t>SO-KU/2608/280060</t>
  </si>
  <si>
    <t>KAFIN</t>
  </si>
  <si>
    <t>kirim ke dalam Bandara Internasional terminal kedatangan, kasi lsg nota putihnya ke customer</t>
  </si>
  <si>
    <t>SO-KU/2608/280064</t>
  </si>
  <si>
    <t>PMS0036</t>
  </si>
  <si>
    <t>Artisan Pure Matcha (500Gr/Pack)</t>
  </si>
  <si>
    <t>SO-KU/2608/280065</t>
  </si>
  <si>
    <t>GRAND MERCURE SEMINYAK</t>
  </si>
  <si>
    <t>SO-KU/2608/280066</t>
  </si>
  <si>
    <t>SO-KU/2608/280067</t>
  </si>
  <si>
    <t>SO-KU/2608/280071</t>
  </si>
  <si>
    <t>BALI RANI HOTEL</t>
  </si>
  <si>
    <t>PMS0024</t>
  </si>
  <si>
    <t>Masterista Original Matcha 800Gr</t>
  </si>
  <si>
    <t>PMS0098</t>
  </si>
  <si>
    <t>Masterista Frappe Base 800 Gr</t>
  </si>
  <si>
    <t>SO-KU/2608/280075</t>
  </si>
  <si>
    <t>RUNWAY CAFE &amp; EATERY DPS</t>
  </si>
  <si>
    <t>PMS0026</t>
  </si>
  <si>
    <t>Masterista Dark Chocolate 800Gr</t>
  </si>
  <si>
    <t>SO-KU/2608/280076</t>
  </si>
  <si>
    <t>EPISODE</t>
  </si>
  <si>
    <t>PMS0131</t>
  </si>
  <si>
    <t>Masterista Syrup Tropical Lychee 850 Ml</t>
  </si>
  <si>
    <t>SO-KU/2608/280077</t>
  </si>
  <si>
    <t>PMS0148</t>
  </si>
  <si>
    <t>Masterista Syrup Grenadine 850 Ml</t>
  </si>
  <si>
    <t>SO-KU/2608/280078</t>
  </si>
  <si>
    <t>BALI CATERING COMPANY</t>
  </si>
  <si>
    <t>150226</t>
  </si>
  <si>
    <t>Belly Skinless Premium (2.5Kg/Pack)</t>
  </si>
  <si>
    <t>SO-KU/2608/280080</t>
  </si>
  <si>
    <t>SANDI WIJAYA</t>
  </si>
  <si>
    <t>CKP1S-164</t>
  </si>
  <si>
    <t>Daebak Soju Lychee @360ml/btl</t>
  </si>
  <si>
    <t>CKP1S-163</t>
  </si>
  <si>
    <t>Daebak Soju Peach @360ml/btl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</si>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</sst>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2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3.362875925923" createdVersion="8" refreshedVersion="8" minRefreshableVersion="3" recordCount="172" xr:uid="{8C08E327-1D9E-4B56-9B8B-AC8116226E58}">
  <cacheSource type="worksheet">
    <worksheetSource ref="A1:Q173" sheet="Sheet"/>
  </cacheSource>
  <cacheFields count="17">
    <cacheField name="Tgl Kirim" numFmtId="164">
      <sharedItems containsSemiMixedTypes="0" containsNonDate="0" containsDate="1" containsString="0" minDate="2026-08-29T00:00:00" maxDate="2026-08-30T00:00:00"/>
    </cacheField>
    <cacheField name="Tgl SO" numFmtId="164">
      <sharedItems containsSemiMixedTypes="0" containsNonDate="0" containsDate="1" containsString="0" minDate="2026-08-27T00:00:00" maxDate="2026-08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4">
        <s v="ARTE CANGGU"/>
        <s v="D'JOGLO SEMINYAK"/>
        <s v="ROSSO VIVO"/>
        <s v="RARE ANGON WARUNG"/>
        <s v="BAGEL TO GO"/>
        <s v="M&amp;M CATERING"/>
        <s v="LUMA CANGGU"/>
        <s v="BALE UDANG"/>
        <s v="JALAPENO CANGGU"/>
        <s v="TACO CASA SEMINYAK"/>
        <s v="KELAPA MUDA UBUD POOL BAR &amp; KITCHEN"/>
        <s v="STAKZ BAR &amp; GRILL"/>
        <s v="LITTLE LIMA COFFEE"/>
        <s v="SHUKA GRILLS"/>
        <s v="PT. GOLD DRAGON"/>
        <s v="SUBWAY BALI DISCOVERY MALL"/>
        <s v="THE MAGANI HOTEL &amp; SPA"/>
        <s v="LA BRASSERIE JIMBARAN"/>
        <s v="GOURMET GARAGE (PT. WAHANA BOGA NUSANTARA)"/>
        <s v="PT. FASTFOOD INDONESIA (KFC KUTA SQUARE)"/>
        <s v="HILTON HOTEL"/>
        <s v="PADMA UBUD RESORT"/>
        <s v="ST REGIS"/>
        <s v="THE LAGUNA"/>
        <s v="AUTOGRILL"/>
        <s v="CV. SUMBER JAYA"/>
        <s v="ARTE UBUD"/>
        <s v="LOSTERIA JIMBARAN"/>
        <s v="TWISSTERDOG POTATO"/>
        <s v="BAMBU BALI ULUWATU"/>
        <s v="IKUYO"/>
        <s v="AVIARI BISTRO"/>
        <s v="LA VIA EMILIA"/>
        <s v="BAKMI GOCAP"/>
        <s v="PAK RUDI"/>
        <s v="AKARI RAMEN"/>
        <s v="PT. CIPTA RASA MULTINDO (PETIT PARIS BOULENGERIE B"/>
        <s v="PT. CANGGU DELI"/>
        <s v="NOURISH CAFE"/>
        <s v="PT. SSP TAURUS GEMILANG INDONESIA"/>
        <s v="THE FORGE"/>
        <s v="NOURISH UNGASAN"/>
        <s v="AMARTA BEACH RETREAT BY NAKULA"/>
        <s v="FINNS BEACH CLUB"/>
        <s v="PT. ADIKARYA PANGAN FRESHINDO"/>
        <s v="PT. SUMBER AGRI SEHAT"/>
        <s v="REVOLVER CANGGU"/>
        <s v="DAENG BURGER UMALAS"/>
        <s v="BOTTEGA ITALIANA BERAWA"/>
        <s v="RABBITHOLE BAKERY"/>
        <s v="MAMAS GERMAN REST."/>
        <s v="BALI MANDIRA"/>
        <s v="THE CHILL PENIDA"/>
        <s v="PENINSULA BEACH RESORT"/>
        <s v="BARTOLO LABUAN SAIT"/>
        <s v="VOUK HOTEL"/>
        <s v="PLATINUM HOTEL JIMBARAN BEACH BAR"/>
        <s v="PT BALI PERKASASUKSES"/>
        <s v="ALAS HARUM UBUD"/>
        <s v="THE WESTIN RESORT NUSA DUA"/>
        <s v="PARADISUS BY MELIA NUSA DUA"/>
        <s v="THE BLUE DOOR"/>
        <s v="CAPRI SANUR"/>
        <s v="BHIMA JAYA"/>
        <s v="CV. FENNY BERSAMA"/>
        <s v="LA SANTANERA"/>
        <s v="DAMAR BALI CATERING"/>
        <s v="COURTYARD MARRIOT HOTEL"/>
        <s v="LAZYHANDS BAKERY"/>
        <s v="UD ASTA KARYA"/>
        <s v="CONRAD HOTEL"/>
        <s v="MIDAS CANGGU"/>
        <s v="ALL DAY BREAD BAKERY"/>
        <s v="KORI RESTAURANT"/>
        <s v="CAFE DUNIA"/>
        <s v="SARI MERTHA SUPPLIER"/>
        <s v="THE GRUMPY BUTCHER"/>
        <s v="DJAYA DELAPAN COFFEE"/>
        <s v="DUSUN BEDUGUL ASRI"/>
        <s v="DOPPIO PINK"/>
        <s v="WARUNG LOKAL"/>
        <s v="NOVOTEL BALI UBUD RESORT"/>
        <s v="ALILA HOTEL SEMINYAK"/>
        <s v="POTATO HEAD"/>
        <s v="INTERCONTINENTAL BALI RESORT"/>
        <s v="NERKA COFFEE"/>
        <s v="ZERO 4 KARAOKE"/>
        <s v="SAKARA COFFEE"/>
        <s v="KARTANA SUPLAIYER"/>
        <s v="COPENHAGEN CAFE BERAWA"/>
        <s v="ATOMICO E SPORT"/>
        <s v="BELLA ITALIAN GRAND MAS"/>
        <s v="DAS BISTRO"/>
        <s v="MAYA UBUD"/>
        <s v="JAJE BITE"/>
        <s v="TITI BATU UBUD"/>
        <s v="KAFIN"/>
        <s v="GRAND MERCURE SEMINYAK"/>
        <s v="MERUSAKA NUSA DUA"/>
        <s v="BALI RANI HOTEL"/>
        <s v="RUNWAY CAFE &amp; EATERY DPS"/>
        <s v="EPISODE"/>
        <s v="BALI CATERING COMPANY"/>
        <s v="SANDI WIJAY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Taufik"/>
        <s v="Sujana"/>
        <s v="Vacant Hotel Kuta Seminyak"/>
        <s v="Picrom Stalyon"/>
        <s v="I Made Luih (Sanur)"/>
        <s v="Eka"/>
        <s v="Dewi Kristiani"/>
        <s v="NP1"/>
        <s v="NP3"/>
        <s v="NP4"/>
        <s v="Juni"/>
        <s v="Monica"/>
        <s v="Ni Ketut Sriasih (GT)"/>
        <s v="I MADE LUIH"/>
        <s v="Ni Ketut Sriasih (MT)"/>
        <s v="Management Bali"/>
        <s v="Wira"/>
        <s v="NP2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8"/>
    </cacheField>
    <cacheField name="Satuan" numFmtId="0">
      <sharedItems/>
    </cacheField>
    <cacheField name="FJ (Pcs)" numFmtId="165">
      <sharedItems containsSemiMixedTypes="0" containsString="0" containsNumber="1" minValue="1" maxValue="108"/>
    </cacheField>
    <cacheField name="Sub T.Jual(Rp)" numFmtId="165">
      <sharedItems containsSemiMixedTypes="0" containsString="0" containsNumber="1" minValue="47730" maxValue="10430000"/>
    </cacheField>
    <cacheField name="BS-SO(Pcs)" numFmtId="165">
      <sharedItems containsSemiMixedTypes="0" containsString="0" containsNumber="1" minValue="-6" maxValue="1.6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d v="2026-08-29T00:00:00"/>
    <d v="2026-08-27T00:00:00"/>
    <s v="SO-KS/2608/270418"/>
    <s v="MKS Bali"/>
    <x v="0"/>
    <x v="0"/>
    <x v="0"/>
    <s v="SFM007"/>
    <s v="Tepung Double Zero @25Kg/Sack"/>
    <n v="2"/>
    <s v="SACK"/>
    <n v="2"/>
    <n v="630000"/>
    <n v="0"/>
    <s v="Invoice"/>
    <s v="Sudah Jadi FJ"/>
    <s v="kirim sabtu"/>
  </r>
  <r>
    <d v="2026-08-29T00:00:00"/>
    <d v="2026-08-27T00:00:00"/>
    <s v="SO-KS/2608/270418"/>
    <s v="MKS Bali"/>
    <x v="0"/>
    <x v="0"/>
    <x v="0"/>
    <s v="SFM018"/>
    <s v="Tepung Ninja @25Kg/Sack"/>
    <n v="1"/>
    <s v="SACK"/>
    <n v="1"/>
    <n v="315000"/>
    <n v="0"/>
    <s v="Invoice"/>
    <s v="Sudah Jadi FJ"/>
    <s v="kirim sabtu"/>
  </r>
  <r>
    <d v="2026-08-29T00:00:00"/>
    <d v="2026-08-28T00:00:00"/>
    <s v="SO-KS/2608/280002"/>
    <s v="MKS Bali"/>
    <x v="1"/>
    <x v="0"/>
    <x v="1"/>
    <s v="PSJ0007"/>
    <s v="Friboi Brazil Tenderloin Whole"/>
    <n v="4"/>
    <s v="KG"/>
    <n v="5.25"/>
    <n v="1837500"/>
    <n v="1.25"/>
    <s v="Invoice"/>
    <s v="Sudah Jadi FJ"/>
    <s v="2 Loaf. Cari yg warna agak merah"/>
  </r>
  <r>
    <d v="2026-08-29T00:00:00"/>
    <d v="2026-08-28T00:00:00"/>
    <s v="SO-KS/2608/280003"/>
    <s v="MKS Bali"/>
    <x v="2"/>
    <x v="0"/>
    <x v="2"/>
    <s v="SFM007"/>
    <s v="Tepung Double Zero @25Kg/Sack"/>
    <n v="4"/>
    <s v="SACK"/>
    <n v="4"/>
    <n v="1309800"/>
    <n v="0"/>
    <s v="Invoice"/>
    <s v="Sudah Jadi FJ"/>
    <s v=""/>
  </r>
  <r>
    <d v="2026-08-29T00:00:00"/>
    <d v="2026-08-28T00:00:00"/>
    <s v="SO-KS/2608/280004"/>
    <s v="MKS Bali"/>
    <x v="3"/>
    <x v="1"/>
    <x v="3"/>
    <s v="PPA0092"/>
    <s v="Emborg Pizza Topping 2.3 Kg"/>
    <n v="4.5999999999999996"/>
    <s v="KG"/>
    <n v="4.5999999999999996"/>
    <n v="536130"/>
    <n v="0"/>
    <s v="Invoice"/>
    <s v="Sudah Jadi FJ"/>
    <s v="2 blok"/>
  </r>
  <r>
    <d v="2026-08-29T00:00:00"/>
    <d v="2026-08-28T00:00:00"/>
    <s v="SO-KS/2608/280005"/>
    <s v="MKS Bali"/>
    <x v="4"/>
    <x v="1"/>
    <x v="4"/>
    <s v="SFM009"/>
    <s v="Tepung Hime @25Kg/Sack"/>
    <n v="15"/>
    <s v="SACK"/>
    <n v="15"/>
    <n v="4424999.99"/>
    <n v="0"/>
    <s v="Invoice"/>
    <s v="Sudah Jadi FJ"/>
    <s v=""/>
  </r>
  <r>
    <d v="2026-08-29T00:00:00"/>
    <d v="2026-08-28T00:00:00"/>
    <s v="SO-KS/2608/280007"/>
    <s v="MKS Bali"/>
    <x v="5"/>
    <x v="0"/>
    <x v="5"/>
    <s v="SFM007"/>
    <s v="Tepung Double Zero @25Kg/Sack"/>
    <n v="3"/>
    <s v="SACK"/>
    <n v="3"/>
    <n v="982350"/>
    <n v="0"/>
    <s v="Invoice"/>
    <s v="Sudah Jadi FJ"/>
    <s v=""/>
  </r>
  <r>
    <d v="2026-08-29T00:00:00"/>
    <d v="2026-08-28T00:00:00"/>
    <s v="SO-KS/2608/280007"/>
    <s v="MKS Bali"/>
    <x v="5"/>
    <x v="0"/>
    <x v="5"/>
    <s v="PSF0002"/>
    <s v="Tepung Tali Emas Regular 055 @25kg/sack"/>
    <n v="4"/>
    <s v="SACK"/>
    <n v="4"/>
    <n v="920000.01"/>
    <n v="0"/>
    <s v="Invoice"/>
    <s v="Sudah Jadi FJ"/>
    <s v=""/>
  </r>
  <r>
    <d v="2026-08-29T00:00:00"/>
    <d v="2026-08-28T00:00:00"/>
    <s v="SO-KS/2608/280009"/>
    <s v="MKS Bali"/>
    <x v="6"/>
    <x v="0"/>
    <x v="0"/>
    <s v="SFM007"/>
    <s v="Tepung Double Zero @25Kg/Sack"/>
    <n v="2"/>
    <s v="SACK"/>
    <n v="2"/>
    <n v="654900"/>
    <n v="0"/>
    <s v="Invoice"/>
    <s v="Sudah Jadi FJ"/>
    <s v=""/>
  </r>
  <r>
    <d v="2026-08-29T00:00:00"/>
    <d v="2026-08-28T00:00:00"/>
    <s v="SO-KS/2608/280010"/>
    <s v="MKS Bali"/>
    <x v="7"/>
    <x v="1"/>
    <x v="1"/>
    <s v="120012"/>
    <s v="Tepung Easymix Serbaguna @1kg/pack"/>
    <n v="100"/>
    <s v="KG"/>
    <n v="100"/>
    <n v="3163500"/>
    <n v="0"/>
    <s v="Invoice"/>
    <s v="Sudah Jadi FJ"/>
    <s v="Jangan dikirim dulu sebelum di transfer"/>
  </r>
  <r>
    <d v="2026-08-29T00:00:00"/>
    <d v="2026-08-28T00:00:00"/>
    <s v="SO-KS/2608/280011"/>
    <s v="MKS Bali"/>
    <x v="8"/>
    <x v="1"/>
    <x v="6"/>
    <s v="PPK0010"/>
    <s v="Block Red Cheddar Mix Cheese 5x2kg"/>
    <n v="2"/>
    <s v="KG"/>
    <n v="2"/>
    <n v="300000.01"/>
    <n v="0"/>
    <s v="Invoice"/>
    <s v="Sudah Jadi FJ"/>
    <s v="1 loaf"/>
  </r>
  <r>
    <d v="2026-08-29T00:00:00"/>
    <d v="2026-08-28T00:00:00"/>
    <s v="SO-KS/2608/280012"/>
    <s v="MKS Bali"/>
    <x v="9"/>
    <x v="0"/>
    <x v="1"/>
    <s v="PSJ0046"/>
    <s v="Allana Tenderloin Whole"/>
    <n v="40"/>
    <s v="KG"/>
    <n v="40.14"/>
    <n v="7827300"/>
    <n v="0.14000000000000001"/>
    <s v="Invoice"/>
    <s v="Sudah Jadi FJ"/>
    <s v="(CV Rumah Taco  Indonesia) Pastikan warna nya merah jika warna gelap akan dikembalikan"/>
  </r>
  <r>
    <d v="2026-08-29T00:00:00"/>
    <d v="2026-08-28T00:00:00"/>
    <s v="SO-KS/2608/280014"/>
    <s v="MKS Bali"/>
    <x v="10"/>
    <x v="1"/>
    <x v="7"/>
    <s v="300099"/>
    <s v="Magic Lezat @1kg/pack"/>
    <n v="1"/>
    <s v="PACK"/>
    <n v="1"/>
    <n v="47730"/>
    <n v="0"/>
    <s v="Invoice"/>
    <s v="Sudah Jadi FJ"/>
    <s v="Dikirim dgn barang Global"/>
  </r>
  <r>
    <d v="2026-08-29T00:00:00"/>
    <d v="2026-08-28T00:00:00"/>
    <s v="SO-KS/2608/280015"/>
    <s v="MKS Bali"/>
    <x v="11"/>
    <x v="1"/>
    <x v="5"/>
    <s v="PPA0133"/>
    <s v="EMBORG Perfect Pasta 1L"/>
    <n v="5"/>
    <s v="PCS"/>
    <n v="5"/>
    <n v="330000"/>
    <n v="0"/>
    <s v="Invoice"/>
    <s v="Sudah Jadi FJ"/>
    <s v=""/>
  </r>
  <r>
    <d v="2026-08-29T00:00:00"/>
    <d v="2026-08-28T00:00:00"/>
    <s v="SO-KS/2608/280016"/>
    <s v="MKS Bali"/>
    <x v="12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8-29T00:00:00"/>
    <d v="2026-08-28T00:00:00"/>
    <s v="SO-KS/2608/280017"/>
    <s v="MKS Bali"/>
    <x v="11"/>
    <x v="1"/>
    <x v="5"/>
    <s v="080241"/>
    <s v="THE ALTERNATIVE Barista Almond Milk 1 Lt"/>
    <n v="2"/>
    <s v="PCS"/>
    <n v="2"/>
    <n v="101010"/>
    <n v="0"/>
    <s v="Invoice"/>
    <s v="Sudah Jadi FJ"/>
    <s v=""/>
  </r>
  <r>
    <d v="2026-08-29T00:00:00"/>
    <d v="2026-08-28T00:00:00"/>
    <s v="SO-KS/2608/280018"/>
    <s v="MKS Bali"/>
    <x v="13"/>
    <x v="0"/>
    <x v="8"/>
    <s v="060015"/>
    <s v="Nestea Lychee Tea Npro 560gr/Pack"/>
    <n v="8"/>
    <s v="PACK"/>
    <n v="8"/>
    <n v="408800.04"/>
    <n v="0"/>
    <s v="Invoice"/>
    <s v="Sudah Jadi FJ"/>
    <s v=""/>
  </r>
  <r>
    <d v="2026-08-29T00:00:00"/>
    <d v="2026-08-28T00:00:00"/>
    <s v="SO-KS/2608/280020"/>
    <s v="MKS Bali"/>
    <x v="14"/>
    <x v="0"/>
    <x v="3"/>
    <s v="SFM007"/>
    <s v="Tepung Double Zero @25Kg/Sack"/>
    <n v="2"/>
    <s v="SACK"/>
    <n v="2"/>
    <n v="600000.02"/>
    <n v="0"/>
    <s v="Invoice"/>
    <s v="Sudah Jadi FJ"/>
    <s v=""/>
  </r>
  <r>
    <d v="2026-08-29T00:00:00"/>
    <d v="2026-08-28T00:00:00"/>
    <s v="SO-KS/2608/280021"/>
    <s v="MKS Bali"/>
    <x v="15"/>
    <x v="0"/>
    <x v="9"/>
    <s v="020020"/>
    <s v="NESTLE Milo Activ-Go NPro 960Gr/Pack"/>
    <n v="16"/>
    <s v="PACK"/>
    <n v="16"/>
    <n v="1680000.1"/>
    <n v="0"/>
    <s v="Invoice"/>
    <s v="Sudah Jadi FJ"/>
    <s v=""/>
  </r>
  <r>
    <d v="2026-08-29T00:00:00"/>
    <d v="2026-08-28T00:00:00"/>
    <s v="SO-KS/2608/280022"/>
    <s v="MKS Bali"/>
    <x v="16"/>
    <x v="0"/>
    <x v="2"/>
    <s v="SFM007"/>
    <s v="Tepung Double Zero @25Kg/Sack"/>
    <n v="4"/>
    <s v="SACK"/>
    <n v="4"/>
    <n v="1309800"/>
    <n v="0"/>
    <s v="Invoice"/>
    <s v="Sudah Jadi FJ"/>
    <s v=""/>
  </r>
  <r>
    <d v="2026-08-29T00:00:00"/>
    <d v="2026-08-28T00:00:00"/>
    <s v="SO-KS/2608/280024"/>
    <s v="MKS Bali"/>
    <x v="17"/>
    <x v="1"/>
    <x v="10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8-29T00:00:00"/>
    <d v="2026-08-28T00:00:00"/>
    <s v="SO-KS/2608/280025"/>
    <s v="MKS Bali"/>
    <x v="18"/>
    <x v="0"/>
    <x v="10"/>
    <s v="120014"/>
    <s v="Tepung Hime 1kg/pack"/>
    <n v="20"/>
    <s v="KG"/>
    <n v="20"/>
    <n v="344100"/>
    <n v="0"/>
    <s v="Invoice"/>
    <s v="Sudah Jadi FJ"/>
    <s v=""/>
  </r>
  <r>
    <d v="2026-08-29T00:00:00"/>
    <d v="2026-08-28T00:00:00"/>
    <s v="SO-KS/2608/280025"/>
    <s v="MKS Bali"/>
    <x v="18"/>
    <x v="0"/>
    <x v="10"/>
    <s v="120018"/>
    <s v="Tepung Ninja 1kg/pack"/>
    <n v="20"/>
    <s v="KG"/>
    <n v="20"/>
    <n v="321900"/>
    <n v="0"/>
    <s v="Invoice"/>
    <s v="Sudah Jadi FJ"/>
    <s v=""/>
  </r>
  <r>
    <d v="2026-08-29T00:00:00"/>
    <d v="2026-08-28T00:00:00"/>
    <s v="SO-KS/2608/280026"/>
    <s v="MKS Bali"/>
    <x v="19"/>
    <x v="0"/>
    <x v="9"/>
    <s v="080124"/>
    <s v="NESTLE MILO -E Uht Cmbk 110 Ml"/>
    <n v="108"/>
    <s v="PCS"/>
    <n v="108"/>
    <n v="313199.93"/>
    <n v="0"/>
    <s v="Invoice"/>
    <s v="Sudah Jadi FJ"/>
    <s v=""/>
  </r>
  <r>
    <d v="2026-08-29T00:00:00"/>
    <d v="2026-08-28T00:00:00"/>
    <s v="SO-KS/2608/280029"/>
    <s v="MKS Bali"/>
    <x v="20"/>
    <x v="0"/>
    <x v="11"/>
    <s v="PSJ0203"/>
    <s v="Borello Rump"/>
    <n v="25"/>
    <s v="KG"/>
    <n v="23.6999"/>
    <n v="3839400"/>
    <n v="-1.3001"/>
    <s v="Invoice"/>
    <s v="Sudah Jadi FJ"/>
    <s v=""/>
  </r>
  <r>
    <d v="2026-08-29T00:00:00"/>
    <d v="2026-08-28T00:00:00"/>
    <s v="SO-KS/2608/280030"/>
    <s v="MKS Bali"/>
    <x v="21"/>
    <x v="0"/>
    <x v="3"/>
    <s v="SFM007"/>
    <s v="Tepung Double Zero @25Kg/Sack"/>
    <n v="10"/>
    <s v="SACK"/>
    <n v="10"/>
    <n v="3200000"/>
    <n v="0"/>
    <s v="Invoice"/>
    <s v="Sudah Jadi FJ"/>
    <s v=""/>
  </r>
  <r>
    <d v="2026-08-29T00:00:00"/>
    <d v="2026-08-28T00:00:00"/>
    <s v="SO-KS/2608/280034"/>
    <s v="MKS Bali"/>
    <x v="22"/>
    <x v="0"/>
    <x v="11"/>
    <s v="SFM007"/>
    <s v="Tepung Double Zero @25Kg/Sack"/>
    <n v="1"/>
    <s v="SACK"/>
    <n v="1"/>
    <n v="300000"/>
    <n v="0"/>
    <s v="Invoice"/>
    <s v="Sudah Jadi FJ"/>
    <s v=""/>
  </r>
  <r>
    <d v="2026-08-29T00:00:00"/>
    <d v="2026-08-28T00:00:00"/>
    <s v="SO-KS/2608/280034"/>
    <s v="MKS Bali"/>
    <x v="22"/>
    <x v="0"/>
    <x v="11"/>
    <s v="SFM009"/>
    <s v="Tepung Hime @25Kg/Sack"/>
    <n v="2"/>
    <s v="SACK"/>
    <n v="2"/>
    <n v="610000"/>
    <n v="0"/>
    <s v="Invoice"/>
    <s v="Sudah Jadi FJ"/>
    <s v=""/>
  </r>
  <r>
    <d v="2026-08-29T00:00:00"/>
    <d v="2026-08-28T00:00:00"/>
    <s v="SO-KS/2608/280034"/>
    <s v="MKS Bali"/>
    <x v="22"/>
    <x v="0"/>
    <x v="11"/>
    <s v="SFM018"/>
    <s v="Tepung Ninja @25Kg/Sack"/>
    <n v="1"/>
    <s v="SACK"/>
    <n v="1"/>
    <n v="290000"/>
    <n v="0"/>
    <s v="Invoice"/>
    <s v="Sudah Jadi FJ"/>
    <s v=""/>
  </r>
  <r>
    <d v="2026-08-29T00:00:00"/>
    <d v="2026-08-28T00:00:00"/>
    <s v="SO-KS/2608/280035"/>
    <s v="MKS Bali"/>
    <x v="23"/>
    <x v="0"/>
    <x v="11"/>
    <s v="PPA0092"/>
    <s v="Emborg Pizza Topping 2.3 Kg"/>
    <n v="2.2999999999999998"/>
    <s v="KG"/>
    <n v="2.2999999999999998"/>
    <n v="230000"/>
    <n v="0"/>
    <s v="Invoice"/>
    <s v="Sudah Jadi FJ"/>
    <s v=""/>
  </r>
  <r>
    <d v="2026-08-29T00:00:00"/>
    <d v="2026-08-28T00:00:00"/>
    <s v="SO-KS/2608/280041"/>
    <s v="MKS Bali"/>
    <x v="24"/>
    <x v="0"/>
    <x v="8"/>
    <s v="060006"/>
    <s v="Nescafe Classic Sac+Bag Era 60x2gr"/>
    <n v="10"/>
    <s v="PACK"/>
    <n v="10"/>
    <n v="694170"/>
    <n v="0"/>
    <s v="Invoice"/>
    <s v="Sudah Jadi FJ"/>
    <s v=""/>
  </r>
  <r>
    <d v="2026-08-29T00:00:00"/>
    <d v="2026-08-28T00:00:00"/>
    <s v="SO-KS/2608/280042"/>
    <s v="MKS Bali"/>
    <x v="24"/>
    <x v="0"/>
    <x v="5"/>
    <s v="PSJ0127"/>
    <s v="Amron Striploin Whole"/>
    <n v="12"/>
    <s v="KG"/>
    <n v="11.8"/>
    <n v="1593000"/>
    <n v="-0.2"/>
    <s v="Invoice"/>
    <s v="Sudah Jadi FJ"/>
    <s v=""/>
  </r>
  <r>
    <d v="2026-08-29T00:00:00"/>
    <d v="2026-08-28T00:00:00"/>
    <s v="SO-KS/2608/280050"/>
    <s v="MKS Bali"/>
    <x v="25"/>
    <x v="1"/>
    <x v="12"/>
    <s v="PPA0224"/>
    <s v="EMBORG Butter Salted 200 Gr"/>
    <n v="3"/>
    <s v="PCS"/>
    <n v="3"/>
    <n v="166500"/>
    <n v="0"/>
    <s v="Invoice"/>
    <s v="Sudah Jadi FJ"/>
    <s v=""/>
  </r>
  <r>
    <d v="2026-08-29T00:00:00"/>
    <d v="2026-08-28T00:00:00"/>
    <s v="SO-KS/2608/280050"/>
    <s v="MKS Bali"/>
    <x v="25"/>
    <x v="1"/>
    <x v="12"/>
    <s v="PPA0225"/>
    <s v="EMBORG Butter Unsalted 200 Gr"/>
    <n v="3"/>
    <s v="PCS"/>
    <n v="3"/>
    <n v="166500"/>
    <n v="0"/>
    <s v="Invoice"/>
    <s v="Sudah Jadi FJ"/>
    <s v=""/>
  </r>
  <r>
    <d v="2026-08-29T00:00:00"/>
    <d v="2026-08-28T00:00:00"/>
    <s v="SO-KS/2608/280051"/>
    <s v="MKS Bali"/>
    <x v="26"/>
    <x v="0"/>
    <x v="3"/>
    <s v="SFM018"/>
    <s v="Tepung Ninja @25Kg/Sack"/>
    <n v="1"/>
    <s v="SACK"/>
    <n v="1"/>
    <n v="315000"/>
    <n v="0"/>
    <s v="Invoice"/>
    <s v="Sudah Jadi FJ"/>
    <s v=""/>
  </r>
  <r>
    <d v="2026-08-29T00:00:00"/>
    <d v="2026-08-28T00:00:00"/>
    <s v="SO-KS/2608/280053"/>
    <s v="MKS Bali"/>
    <x v="27"/>
    <x v="0"/>
    <x v="10"/>
    <s v="SFM007"/>
    <s v="Tepung Double Zero @25Kg/Sack"/>
    <n v="3"/>
    <s v="SACK"/>
    <n v="3"/>
    <n v="945000"/>
    <n v="0"/>
    <s v="Invoice"/>
    <s v="Sudah Jadi FJ"/>
    <s v=""/>
  </r>
  <r>
    <d v="2026-08-29T00:00:00"/>
    <d v="2026-08-28T00:00:00"/>
    <s v="SO-KS/2608/280055"/>
    <s v="MKS Bali"/>
    <x v="28"/>
    <x v="1"/>
    <x v="13"/>
    <s v="PPA0092"/>
    <s v="Emborg Pizza Topping 2.3 Kg"/>
    <n v="9.1998999999999995"/>
    <s v="KG"/>
    <n v="9.1998999999999995"/>
    <n v="956800.06"/>
    <n v="0"/>
    <s v="Invoice"/>
    <s v="Sudah Jadi FJ"/>
    <s v="4 blok"/>
  </r>
  <r>
    <d v="2026-08-29T00:00:00"/>
    <d v="2026-08-28T00:00:00"/>
    <s v="SO-KS/2608/280056"/>
    <s v="MKS Bali"/>
    <x v="11"/>
    <x v="1"/>
    <x v="5"/>
    <s v="PPA0133"/>
    <s v="EMBORG Perfect Pasta 1L"/>
    <n v="1"/>
    <s v="PCS"/>
    <n v="1"/>
    <n v="66000"/>
    <n v="0"/>
    <s v="Invoice"/>
    <s v="Sudah Jadi FJ"/>
    <s v="Tambahan"/>
  </r>
  <r>
    <d v="2026-08-29T00:00:00"/>
    <d v="2026-08-28T00:00:00"/>
    <s v="SO-KS/2608/280057"/>
    <s v="MKS Bali"/>
    <x v="29"/>
    <x v="0"/>
    <x v="10"/>
    <s v="PSJ0007"/>
    <s v="Friboi Brazil Tenderloin Whole"/>
    <n v="17.5"/>
    <s v="KG"/>
    <n v="17.8"/>
    <n v="6230000"/>
    <n v="0.3"/>
    <s v="Invoice"/>
    <s v="Sudah Jadi FJ"/>
    <s v="oasis"/>
  </r>
  <r>
    <d v="2026-08-29T00:00:00"/>
    <d v="2026-08-28T00:00:00"/>
    <s v="SO-KS/2608/280057"/>
    <s v="MKS Bali"/>
    <x v="29"/>
    <x v="0"/>
    <x v="10"/>
    <s v="PSJ0228"/>
    <s v="Premium Minced Beef (2.5kg/pack)"/>
    <n v="10"/>
    <s v="KG"/>
    <n v="10"/>
    <n v="1000000"/>
    <n v="0"/>
    <s v="Invoice"/>
    <s v="Sudah Jadi FJ"/>
    <s v="oasis"/>
  </r>
  <r>
    <d v="2026-08-29T00:00:00"/>
    <d v="2026-08-28T00:00:00"/>
    <s v="SO-KS/2608/280058"/>
    <s v="MKS Bali"/>
    <x v="29"/>
    <x v="0"/>
    <x v="10"/>
    <s v="PSJ0007"/>
    <s v="Friboi Brazil Tenderloin Whole"/>
    <n v="30"/>
    <s v="KG"/>
    <n v="29.8"/>
    <n v="10430000"/>
    <n v="-0.2"/>
    <s v="Invoice"/>
    <s v="Sudah Jadi FJ"/>
    <s v=" cafe"/>
  </r>
  <r>
    <d v="2026-08-29T00:00:00"/>
    <d v="2026-08-28T00:00:00"/>
    <s v="SO-KS/2608/280058"/>
    <s v="MKS Bali"/>
    <x v="29"/>
    <x v="0"/>
    <x v="10"/>
    <s v="PSJ0228"/>
    <s v="Premium Minced Beef (2.5kg/pack)"/>
    <n v="10"/>
    <s v="KG"/>
    <n v="10"/>
    <n v="1000000"/>
    <n v="0"/>
    <s v="Invoice"/>
    <s v="Sudah Jadi FJ"/>
    <s v=" cafe"/>
  </r>
  <r>
    <d v="2026-08-29T00:00:00"/>
    <d v="2026-08-28T00:00:00"/>
    <s v="SO-KS/2608/280059"/>
    <s v="MKS Bali"/>
    <x v="30"/>
    <x v="1"/>
    <x v="5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29T00:00:00"/>
    <d v="2026-08-28T00:00:00"/>
    <s v="SO-KS/2608/280060"/>
    <s v="MKS Bali"/>
    <x v="31"/>
    <x v="0"/>
    <x v="1"/>
    <s v="PSJ0046"/>
    <s v="Allana Tenderloin Whole"/>
    <n v="4"/>
    <s v="KG"/>
    <n v="3.7"/>
    <n v="777000"/>
    <n v="-0.3"/>
    <s v="Invoice"/>
    <s v="Sudah Jadi FJ"/>
    <s v="2 loaf. po Crooked Cactus"/>
  </r>
  <r>
    <d v="2026-08-29T00:00:00"/>
    <d v="2026-08-28T00:00:00"/>
    <s v="SO-KS/2608/280061"/>
    <s v="MKS Bali"/>
    <x v="32"/>
    <x v="0"/>
    <x v="6"/>
    <s v="POT0676"/>
    <s v="Prosciutto Sandanielle"/>
    <n v="7"/>
    <s v="KG"/>
    <n v="7.84"/>
    <n v="5096000"/>
    <n v="0.84"/>
    <s v="Invoice"/>
    <s v="Sudah Jadi FJ"/>
    <s v=" 1 loaf. kirim ke canggu"/>
  </r>
  <r>
    <d v="2026-08-29T00:00:00"/>
    <d v="2026-08-28T00:00:00"/>
    <s v="SO-KS/2608/280062"/>
    <s v="MKS Bali"/>
    <x v="33"/>
    <x v="1"/>
    <x v="8"/>
    <s v="060015"/>
    <s v="Nestea Lychee Tea Npro 560gr/Pack"/>
    <n v="6"/>
    <s v="PACK"/>
    <n v="6"/>
    <n v="306600.03000000003"/>
    <n v="0"/>
    <s v="Invoice"/>
    <s v="Sudah Jadi FJ"/>
    <s v="CBD"/>
  </r>
  <r>
    <d v="2026-08-29T00:00:00"/>
    <d v="2026-08-28T00:00:00"/>
    <s v="SO-KS/2608/280063"/>
    <s v="MKS Bali"/>
    <x v="34"/>
    <x v="1"/>
    <x v="13"/>
    <s v="080241"/>
    <s v="THE ALTERNATIVE Barista Almond Milk 1 Lt"/>
    <n v="12"/>
    <s v="PCS"/>
    <n v="12"/>
    <n v="606060"/>
    <n v="0"/>
    <s v="Invoice"/>
    <s v="Sudah Jadi FJ"/>
    <s v=""/>
  </r>
  <r>
    <d v="2026-08-29T00:00:00"/>
    <d v="2026-08-28T00:00:00"/>
    <s v="SO-KS/2608/280064"/>
    <s v="MKS Bali"/>
    <x v="35"/>
    <x v="0"/>
    <x v="8"/>
    <s v="060015"/>
    <s v="Nestea Lychee Tea Npro 560gr/Pack"/>
    <n v="24"/>
    <s v="PACK"/>
    <n v="24"/>
    <n v="1345320"/>
    <n v="0"/>
    <s v="Invoice"/>
    <s v="Sudah Jadi FJ"/>
    <s v=""/>
  </r>
  <r>
    <d v="2026-08-29T00:00:00"/>
    <d v="2026-08-28T00:00:00"/>
    <s v="SO-KS/2608/280065"/>
    <s v="MKS Bali"/>
    <x v="11"/>
    <x v="1"/>
    <x v="5"/>
    <s v="080239"/>
    <s v="THE ALTERNATIVE Barista Soy Milk 1 Lt"/>
    <n v="2"/>
    <s v="PCS"/>
    <n v="2"/>
    <n v="89910"/>
    <n v="0"/>
    <s v="Invoice"/>
    <s v="Sudah Jadi FJ"/>
    <s v=""/>
  </r>
  <r>
    <d v="2026-08-29T00:00:00"/>
    <d v="2026-08-28T00:00:00"/>
    <s v="SO-KS/2608/280065"/>
    <s v="MKS Bali"/>
    <x v="11"/>
    <x v="1"/>
    <x v="5"/>
    <s v="080240"/>
    <s v="THE ALTERNATIVE Barista Oat Milk 1 Lt"/>
    <n v="1"/>
    <s v="PCS"/>
    <n v="1"/>
    <n v="50505"/>
    <n v="0"/>
    <s v="Invoice"/>
    <s v="Sudah Jadi FJ"/>
    <s v=""/>
  </r>
  <r>
    <d v="2026-08-29T00:00:00"/>
    <d v="2026-08-28T00:00:00"/>
    <s v="SO-KS/2608/280067"/>
    <s v="MKS Bali"/>
    <x v="36"/>
    <x v="0"/>
    <x v="4"/>
    <s v="POT0100"/>
    <s v="Garam Halus Beryodium 25Kg/Sack"/>
    <n v="1"/>
    <s v="SACK"/>
    <n v="1"/>
    <n v="235000"/>
    <n v="0"/>
    <s v="Invoice"/>
    <s v="Sudah Jadi FJ"/>
    <s v=""/>
  </r>
  <r>
    <d v="2026-08-29T00:00:00"/>
    <d v="2026-08-28T00:00:00"/>
    <s v="SO-KS/2608/280068"/>
    <s v="MKS Bali"/>
    <x v="37"/>
    <x v="0"/>
    <x v="6"/>
    <s v="SFM007"/>
    <s v="Tepung Double Zero @25Kg/Sack"/>
    <n v="1"/>
    <s v="SACK"/>
    <n v="1"/>
    <n v="327450"/>
    <n v="0"/>
    <s v="Invoice"/>
    <s v="Sudah Jadi FJ"/>
    <s v=""/>
  </r>
  <r>
    <d v="2026-08-29T00:00:00"/>
    <d v="2026-08-28T00:00:00"/>
    <s v="SO-KS/2608/280068"/>
    <s v="MKS Bali"/>
    <x v="37"/>
    <x v="0"/>
    <x v="6"/>
    <s v="SFM009"/>
    <s v="Tepung Hime @25Kg/Sack"/>
    <n v="1"/>
    <s v="SACK"/>
    <n v="1"/>
    <n v="355200"/>
    <n v="0"/>
    <s v="Invoice"/>
    <s v="Sudah Jadi FJ"/>
    <s v=""/>
  </r>
  <r>
    <d v="2026-08-29T00:00:00"/>
    <d v="2026-08-28T00:00:00"/>
    <s v="SO-KS/2608/280071"/>
    <s v="MKS Bali"/>
    <x v="38"/>
    <x v="0"/>
    <x v="10"/>
    <s v="SFM009"/>
    <s v="Tepung Hime @25Kg/Sack"/>
    <n v="6"/>
    <s v="SACK"/>
    <n v="6"/>
    <n v="1741590"/>
    <n v="0"/>
    <s v="Invoice"/>
    <s v="Sudah Jadi FJ"/>
    <s v=""/>
  </r>
  <r>
    <d v="2026-08-29T00:00:00"/>
    <d v="2026-08-28T00:00:00"/>
    <s v="SO-KS/2608/280072"/>
    <s v="MKS Bali"/>
    <x v="38"/>
    <x v="0"/>
    <x v="10"/>
    <s v="PAN0004"/>
    <s v="DP Mozzarella 2.5Kg"/>
    <n v="10"/>
    <s v="KG"/>
    <n v="10"/>
    <n v="1269999.95"/>
    <n v="0"/>
    <s v="Invoice"/>
    <s v="Sudah Jadi FJ"/>
    <s v=""/>
  </r>
  <r>
    <d v="2026-08-29T00:00:00"/>
    <d v="2026-08-28T00:00:00"/>
    <s v="SO-KS/2608/280075"/>
    <s v="MKS Bali"/>
    <x v="39"/>
    <x v="0"/>
    <x v="5"/>
    <s v="120006"/>
    <s v="Tepung Crispy Ala Kentucky 1kg/pack"/>
    <n v="10"/>
    <s v="KG"/>
    <n v="10"/>
    <n v="300000.03000000003"/>
    <n v="0"/>
    <s v="Invoice"/>
    <s v="Sudah Jadi FJ"/>
    <s v="INTERNASIONAL"/>
  </r>
  <r>
    <d v="2026-08-29T00:00:00"/>
    <d v="2026-08-28T00:00:00"/>
    <s v="SO-KS/2608/280075"/>
    <s v="MKS Bali"/>
    <x v="39"/>
    <x v="0"/>
    <x v="5"/>
    <s v="SFM007"/>
    <s v="Tepung Double Zero @25Kg/Sack"/>
    <n v="1"/>
    <s v="SACK"/>
    <n v="1"/>
    <n v="327450"/>
    <n v="0"/>
    <s v="Invoice"/>
    <s v="Sudah Jadi FJ"/>
    <s v="INTERNASIONAL"/>
  </r>
  <r>
    <d v="2026-08-29T00:00:00"/>
    <d v="2026-08-28T00:00:00"/>
    <s v="SO-KS/2608/280076"/>
    <s v="MKS Bali"/>
    <x v="39"/>
    <x v="0"/>
    <x v="5"/>
    <s v="PPA0092"/>
    <s v="Emborg Pizza Topping 2.3 Kg"/>
    <n v="13.8"/>
    <s v="KG"/>
    <n v="13.8"/>
    <n v="1448999.93"/>
    <n v="0"/>
    <s v="Invoice"/>
    <s v="Sudah Jadi FJ"/>
    <s v="INTERNASIONAL"/>
  </r>
  <r>
    <d v="2026-08-29T00:00:00"/>
    <d v="2026-08-28T00:00:00"/>
    <s v="SO-KS/2608/280077"/>
    <s v="MKS Bali"/>
    <x v="39"/>
    <x v="0"/>
    <x v="5"/>
    <s v="120006"/>
    <s v="Tepung Crispy Ala Kentucky 1kg/pack"/>
    <n v="8"/>
    <s v="KG"/>
    <n v="8"/>
    <n v="240000.03"/>
    <n v="0"/>
    <s v="Invoice"/>
    <s v="Sudah Jadi FJ"/>
    <s v="DOMESTIK"/>
  </r>
  <r>
    <d v="2026-08-29T00:00:00"/>
    <d v="2026-08-28T00:00:00"/>
    <s v="SO-KS/2608/280079"/>
    <s v="MKS Bali"/>
    <x v="39"/>
    <x v="0"/>
    <x v="5"/>
    <s v="PPA0092"/>
    <s v="Emborg Pizza Topping 2.3 Kg"/>
    <n v="5"/>
    <s v="KG"/>
    <n v="4.5999999999999996"/>
    <n v="482999.97"/>
    <n v="-0.4"/>
    <s v="Invoice"/>
    <s v="Sudah Jadi FJ"/>
    <s v="INTERNASIONA"/>
  </r>
  <r>
    <d v="2026-08-29T00:00:00"/>
    <d v="2026-08-28T00:00:00"/>
    <s v="SO-KS/2608/280080"/>
    <s v="MKS Bali"/>
    <x v="39"/>
    <x v="0"/>
    <x v="5"/>
    <s v="PPA0092"/>
    <s v="Emborg Pizza Topping 2.3 Kg"/>
    <n v="2.6"/>
    <s v="KG"/>
    <n v="2.2999999999999998"/>
    <n v="241499.99"/>
    <n v="-0.3"/>
    <s v="Invoice"/>
    <s v="Sudah Jadi FJ"/>
    <s v="INTERNASIONAL_x000d__x000a_"/>
  </r>
  <r>
    <d v="2026-08-29T00:00:00"/>
    <d v="2026-08-28T00:00:00"/>
    <s v="SO-KS/2608/280090"/>
    <s v="MKS Bali"/>
    <x v="40"/>
    <x v="0"/>
    <x v="1"/>
    <s v="SFM007"/>
    <s v="Tepung Double Zero @25Kg/Sack"/>
    <n v="3"/>
    <s v="SACK"/>
    <n v="3"/>
    <n v="912000"/>
    <n v="0"/>
    <s v="Invoice"/>
    <s v="Sudah Jadi FJ"/>
    <s v=""/>
  </r>
  <r>
    <d v="2026-08-29T00:00:00"/>
    <d v="2026-08-28T00:00:00"/>
    <s v="SO-KS/2608/280091"/>
    <s v="MKS Bali"/>
    <x v="41"/>
    <x v="0"/>
    <x v="10"/>
    <s v="PAN0004"/>
    <s v="DP Mozzarella 2.5Kg"/>
    <n v="60"/>
    <s v="KG"/>
    <n v="60"/>
    <n v="7619999.71"/>
    <n v="0"/>
    <s v="Invoice"/>
    <s v="Sudah Jadi FJ"/>
    <s v=""/>
  </r>
  <r>
    <d v="2026-08-29T00:00:00"/>
    <d v="2026-08-28T00:00:00"/>
    <s v="SO-KS/2608/280092"/>
    <s v="MKS Bali"/>
    <x v="42"/>
    <x v="1"/>
    <x v="0"/>
    <s v="PSJ0203"/>
    <s v="Borello Rump"/>
    <n v="3"/>
    <s v="KG"/>
    <n v="4.5"/>
    <n v="787500"/>
    <n v="1.5"/>
    <s v="Invoice"/>
    <s v="Sudah Jadi FJ"/>
    <s v=""/>
  </r>
  <r>
    <d v="2026-08-29T00:00:00"/>
    <d v="2026-08-28T00:00:00"/>
    <s v="SO-KS/2608/280093"/>
    <s v="MKS Bali"/>
    <x v="43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8-29T00:00:00"/>
    <d v="2026-08-28T00:00:00"/>
    <s v="SO-KS/2608/280094"/>
    <s v="MKS Bali"/>
    <x v="44"/>
    <x v="0"/>
    <x v="14"/>
    <s v="120017"/>
    <s v="Tepung Mix Waffle 1kg/pack"/>
    <n v="10"/>
    <s v="KG"/>
    <n v="10"/>
    <n v="494949"/>
    <n v="0"/>
    <s v="Invoice"/>
    <s v="Sudah Jadi FJ"/>
    <s v=""/>
  </r>
  <r>
    <d v="2026-08-29T00:00:00"/>
    <d v="2026-08-28T00:00:00"/>
    <s v="SO-KS/2608/280095"/>
    <s v="MKS Bali"/>
    <x v="43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8-29T00:00:00"/>
    <d v="2026-08-28T00:00:00"/>
    <s v="SO-KS/2608/280095"/>
    <s v="MKS Bali"/>
    <x v="43"/>
    <x v="0"/>
    <x v="0"/>
    <s v="PSJ0275"/>
    <s v="Pickled Gherkins (2kg/pack)"/>
    <n v="1"/>
    <s v="PACK"/>
    <n v="1"/>
    <n v="115000"/>
    <n v="0"/>
    <s v="Invoice"/>
    <s v="Sudah Jadi FJ"/>
    <s v=" kitchen asian"/>
  </r>
  <r>
    <d v="2026-08-29T00:00:00"/>
    <d v="2026-08-28T00:00:00"/>
    <s v="SO-KS/2608/280097"/>
    <s v="MKS Bali"/>
    <x v="45"/>
    <x v="0"/>
    <x v="14"/>
    <s v="120007"/>
    <s v="Tepung Double Zero 1kg/pack"/>
    <n v="36"/>
    <s v="KG"/>
    <n v="30"/>
    <n v="549450"/>
    <n v="-6"/>
    <s v="Invoice"/>
    <s v="Sudah Jadi FJ"/>
    <s v=""/>
  </r>
  <r>
    <d v="2026-08-29T00:00:00"/>
    <d v="2026-08-28T00:00:00"/>
    <s v="SO-KS/2608/280099"/>
    <s v="MKS Bali"/>
    <x v="43"/>
    <x v="0"/>
    <x v="0"/>
    <s v="SFM009"/>
    <s v="Tepung Hime @25Kg/Sack"/>
    <n v="4"/>
    <s v="SACK"/>
    <n v="4"/>
    <n v="1112000.04"/>
    <n v="0"/>
    <s v="Invoice"/>
    <s v="Sudah Jadi FJ"/>
    <s v="kitchen fbc"/>
  </r>
  <r>
    <d v="2026-08-29T00:00:00"/>
    <d v="2026-08-28T00:00:00"/>
    <s v="SO-KS/2608/280099"/>
    <s v="MKS Bali"/>
    <x v="43"/>
    <x v="0"/>
    <x v="0"/>
    <s v="SFM007"/>
    <s v="Tepung Double Zero @25Kg/Sack"/>
    <n v="14"/>
    <s v="SACK"/>
    <n v="14"/>
    <n v="3836000.05"/>
    <n v="0"/>
    <s v="Invoice"/>
    <s v="Sudah Jadi FJ"/>
    <s v="kitchen fbc"/>
  </r>
  <r>
    <d v="2026-08-29T00:00:00"/>
    <d v="2026-08-28T00:00:00"/>
    <s v="SO-KS/2608/280100"/>
    <s v="MKS Bali"/>
    <x v="43"/>
    <x v="0"/>
    <x v="0"/>
    <s v="PSJ0275"/>
    <s v="Pickled Gherkins (2kg/pack)"/>
    <n v="1"/>
    <s v="PACK"/>
    <n v="1"/>
    <n v="115000"/>
    <n v="0"/>
    <s v="Invoice"/>
    <s v="Sudah Jadi FJ"/>
    <s v="kitchen fbc"/>
  </r>
  <r>
    <d v="2026-08-29T00:00:00"/>
    <d v="2026-08-28T00:00:00"/>
    <s v="SO-KS/2608/280101"/>
    <s v="MKS Bali"/>
    <x v="46"/>
    <x v="0"/>
    <x v="0"/>
    <s v="080241"/>
    <s v="THE ALTERNATIVE Barista Almond Milk 1 Lt"/>
    <n v="24"/>
    <s v="PCS"/>
    <n v="24"/>
    <n v="1212120"/>
    <n v="0"/>
    <s v="Invoice"/>
    <s v="Sudah Jadi FJ"/>
    <s v=""/>
  </r>
  <r>
    <d v="2026-08-29T00:00:00"/>
    <d v="2026-08-28T00:00:00"/>
    <s v="SO-KS/2608/280103"/>
    <s v="MKS Bali"/>
    <x v="47"/>
    <x v="0"/>
    <x v="6"/>
    <s v="SFM009"/>
    <s v="Tepung Hime @25Kg/Sack"/>
    <n v="2"/>
    <s v="SACK"/>
    <n v="2"/>
    <n v="620000"/>
    <n v="0"/>
    <s v="Invoice"/>
    <s v="Sudah Jadi FJ"/>
    <s v=""/>
  </r>
  <r>
    <d v="2026-08-29T00:00:00"/>
    <d v="2026-08-28T00:00:00"/>
    <s v="SO-KS/2608/280103"/>
    <s v="MKS Bali"/>
    <x v="47"/>
    <x v="0"/>
    <x v="6"/>
    <s v="SFM018"/>
    <s v="Tepung Ninja @25Kg/Sack"/>
    <n v="1"/>
    <s v="SACK"/>
    <n v="1"/>
    <n v="285000.01"/>
    <n v="0"/>
    <s v="Invoice"/>
    <s v="Sudah Jadi FJ"/>
    <s v=""/>
  </r>
  <r>
    <d v="2026-08-29T00:00:00"/>
    <d v="2026-08-28T00:00:00"/>
    <s v="SO-KS/2608/280105"/>
    <s v="MKS Bali"/>
    <x v="48"/>
    <x v="0"/>
    <x v="6"/>
    <s v="SFM009"/>
    <s v="Tepung Hime @25Kg/Sack"/>
    <n v="1"/>
    <s v="SACK"/>
    <n v="1"/>
    <n v="310000"/>
    <n v="0"/>
    <s v="Invoice"/>
    <s v="Sudah Jadi FJ"/>
    <s v=" jalan tegal cupek II no 15_x000a_"/>
  </r>
  <r>
    <d v="2026-08-29T00:00:00"/>
    <d v="2026-08-28T00:00:00"/>
    <s v="SO-KS/2608/280105"/>
    <s v="MKS Bali"/>
    <x v="48"/>
    <x v="0"/>
    <x v="6"/>
    <s v="SFM007"/>
    <s v="Tepung Double Zero @25Kg/Sack"/>
    <n v="2"/>
    <s v="SACK"/>
    <n v="2"/>
    <n v="580000"/>
    <n v="0"/>
    <s v="Invoice"/>
    <s v="Sudah Jadi FJ"/>
    <s v=" jalan tegal cupek II no 15_x000a_"/>
  </r>
  <r>
    <d v="2026-08-29T00:00:00"/>
    <d v="2026-08-28T00:00:00"/>
    <s v="SO-KS/2608/280107"/>
    <s v="MKS Bali"/>
    <x v="49"/>
    <x v="1"/>
    <x v="4"/>
    <s v="SFM007"/>
    <s v="Tepung Double Zero @25Kg/Sack"/>
    <n v="6"/>
    <s v="SACK"/>
    <n v="6"/>
    <n v="1770000.03"/>
    <n v="0"/>
    <s v="Invoice"/>
    <s v="Sudah Jadi FJ"/>
    <s v="barangnya dikirim ke tempat produksi di Jl berawa,"/>
  </r>
  <r>
    <d v="2026-08-29T00:00:00"/>
    <d v="2026-08-28T00:00:00"/>
    <s v="SO-KS/2608/280110"/>
    <s v="MKS Bali"/>
    <x v="50"/>
    <x v="0"/>
    <x v="15"/>
    <s v="120007"/>
    <s v="Tepung Double Zero 1kg/pack"/>
    <n v="6"/>
    <s v="KG"/>
    <n v="5"/>
    <n v="74999.98"/>
    <n v="-1"/>
    <s v="Invoice"/>
    <s v="Sudah Jadi FJ"/>
    <s v=""/>
  </r>
  <r>
    <d v="2026-08-29T00:00:00"/>
    <d v="2026-08-28T00:00:00"/>
    <s v="SO-KS/2608/280111"/>
    <s v="MKS Bali"/>
    <x v="50"/>
    <x v="0"/>
    <x v="8"/>
    <s v="020011"/>
    <s v="Nestle Dark Cocoa Drink Npro 1kg/Pack"/>
    <n v="2"/>
    <s v="PACK"/>
    <n v="2"/>
    <n v="178000"/>
    <n v="0"/>
    <s v="Invoice"/>
    <s v="Sudah Jadi FJ"/>
    <s v=""/>
  </r>
  <r>
    <d v="2026-08-29T00:00:00"/>
    <d v="2026-08-28T00:00:00"/>
    <s v="SO-KS/2608/280112"/>
    <s v="MKS Bali"/>
    <x v="51"/>
    <x v="0"/>
    <x v="2"/>
    <s v="SFM007"/>
    <s v="Tepung Double Zero @25Kg/Sack"/>
    <n v="2"/>
    <s v="SACK"/>
    <n v="2"/>
    <n v="560000"/>
    <n v="0"/>
    <s v="Invoice"/>
    <s v="Sudah Jadi FJ"/>
    <s v=""/>
  </r>
  <r>
    <d v="2026-08-29T00:00:00"/>
    <d v="2026-08-28T00:00:00"/>
    <s v="SO-KS/2608/280117"/>
    <s v="MKS Bali"/>
    <x v="52"/>
    <x v="1"/>
    <x v="5"/>
    <s v="PSJ0228"/>
    <s v="Premium Minced Beef (2.5kg/pack)"/>
    <n v="20"/>
    <s v="KG"/>
    <n v="20"/>
    <n v="2400000"/>
    <n v="0"/>
    <s v="Invoice"/>
    <s v="Sudah Jadi FJ"/>
    <s v="kirim ke Jalan Tukad Barito V Dpn rumah no 5A"/>
  </r>
  <r>
    <d v="2026-08-29T00:00:00"/>
    <d v="2026-08-28T00:00:00"/>
    <s v="SO-KS/2608/280118"/>
    <s v="MKS Bali"/>
    <x v="53"/>
    <x v="0"/>
    <x v="11"/>
    <s v="PSJ0046"/>
    <s v="Allana Tenderloin Whole"/>
    <n v="3"/>
    <s v="KG"/>
    <n v="2.93"/>
    <n v="571350"/>
    <n v="-7.0000000000000007E-2"/>
    <s v="Invoice"/>
    <s v="Sudah Jadi FJ"/>
    <s v=""/>
  </r>
  <r>
    <d v="2026-08-29T00:00:00"/>
    <d v="2026-08-28T00:00:00"/>
    <s v="SO-KS/2608/280119"/>
    <s v="MKS Bali"/>
    <x v="54"/>
    <x v="1"/>
    <x v="10"/>
    <s v="SFM007"/>
    <s v="Tepung Double Zero @25Kg/Sack"/>
    <n v="1"/>
    <s v="SACK"/>
    <n v="1"/>
    <n v="327450"/>
    <n v="0"/>
    <s v="Invoice"/>
    <s v="Sudah Jadi FJ"/>
    <s v=""/>
  </r>
  <r>
    <d v="2026-08-29T00:00:00"/>
    <d v="2026-08-28T00:00:00"/>
    <s v="SO-KS/2608/280120"/>
    <s v="MKS Bali"/>
    <x v="55"/>
    <x v="0"/>
    <x v="11"/>
    <s v="PSJ0175"/>
    <s v="Black Gold Topside"/>
    <n v="3"/>
    <s v="KG"/>
    <n v="3.33"/>
    <n v="449550"/>
    <n v="0.33"/>
    <s v="Invoice"/>
    <s v="Sudah Jadi FJ"/>
    <s v=""/>
  </r>
  <r>
    <d v="2026-08-29T00:00:00"/>
    <d v="2026-08-28T00:00:00"/>
    <s v="SO-KS/2608/280121"/>
    <s v="MKS Bali"/>
    <x v="56"/>
    <x v="0"/>
    <x v="11"/>
    <s v="PPA0142"/>
    <s v="EMBORG Brie Cheese 125 Gr"/>
    <n v="2"/>
    <s v="PCS"/>
    <n v="2"/>
    <n v="159840"/>
    <n v="0"/>
    <s v="Invoice"/>
    <s v="Sudah Jadi FJ"/>
    <s v=""/>
  </r>
  <r>
    <d v="2026-08-29T00:00:00"/>
    <d v="2026-08-28T00:00:00"/>
    <s v="SO-KS/2608/280123"/>
    <s v="MKS Bali"/>
    <x v="57"/>
    <x v="0"/>
    <x v="2"/>
    <s v="SFM007"/>
    <s v="Tepung Double Zero @25Kg/Sack"/>
    <n v="2"/>
    <s v="SACK"/>
    <n v="2"/>
    <n v="554000"/>
    <n v="0"/>
    <s v="Invoice"/>
    <s v="Sudah Jadi FJ"/>
    <s v=""/>
  </r>
  <r>
    <d v="2026-08-29T00:00:00"/>
    <d v="2026-08-28T00:00:00"/>
    <s v="SO-KS/2608/280124"/>
    <s v="MKS Bali"/>
    <x v="14"/>
    <x v="0"/>
    <x v="3"/>
    <s v="SFM007"/>
    <s v="Tepung Double Zero @25Kg/Sack"/>
    <n v="4"/>
    <s v="SACK"/>
    <n v="4"/>
    <n v="1200000.04"/>
    <n v="0"/>
    <s v="Invoice"/>
    <s v="Sudah Jadi FJ"/>
    <s v=""/>
  </r>
  <r>
    <d v="2026-08-29T00:00:00"/>
    <d v="2026-08-28T00:00:00"/>
    <s v="SO-KS/2608/280125"/>
    <s v="MKS Bali"/>
    <x v="58"/>
    <x v="0"/>
    <x v="3"/>
    <s v="080240"/>
    <s v="THE ALTERNATIVE Barista Oat Milk 1 Lt"/>
    <n v="12"/>
    <s v="PCS"/>
    <n v="12"/>
    <n v="606060"/>
    <n v="0"/>
    <s v="Invoice"/>
    <s v="Sudah Jadi FJ"/>
    <s v="BAR CRETYA"/>
  </r>
  <r>
    <d v="2026-08-29T00:00:00"/>
    <d v="2026-08-28T00:00:00"/>
    <s v="SO-KS/2608/280133"/>
    <s v="MKS Bali"/>
    <x v="59"/>
    <x v="0"/>
    <x v="11"/>
    <s v="SFM009"/>
    <s v="Tepung Hime @25Kg/Sack"/>
    <n v="1"/>
    <s v="SACK"/>
    <n v="1"/>
    <n v="300000"/>
    <n v="0"/>
    <s v="Invoice"/>
    <s v="Sudah Jadi FJ"/>
    <s v=""/>
  </r>
  <r>
    <d v="2026-08-29T00:00:00"/>
    <d v="2026-08-28T00:00:00"/>
    <s v="SO-KS/2608/280133"/>
    <s v="MKS Bali"/>
    <x v="59"/>
    <x v="0"/>
    <x v="11"/>
    <s v="SFM018"/>
    <s v="Tepung Ninja @25Kg/Sack"/>
    <n v="1"/>
    <s v="SACK"/>
    <n v="1"/>
    <n v="295000"/>
    <n v="0"/>
    <s v="Invoice"/>
    <s v="Sudah Jadi FJ"/>
    <s v=""/>
  </r>
  <r>
    <d v="2026-08-29T00:00:00"/>
    <d v="2026-08-28T00:00:00"/>
    <s v="SO-KS/2608/280138"/>
    <s v="MKS Bali"/>
    <x v="60"/>
    <x v="0"/>
    <x v="11"/>
    <s v="SFM007"/>
    <s v="Tepung Double Zero @25Kg/Sack"/>
    <n v="15"/>
    <s v="SACK"/>
    <n v="15"/>
    <n v="4155000"/>
    <n v="0"/>
    <s v="Invoice"/>
    <s v="Sudah Jadi FJ"/>
    <s v=""/>
  </r>
  <r>
    <d v="2026-08-29T00:00:00"/>
    <d v="2026-08-28T00:00:00"/>
    <s v="SO-KS/2608/280143"/>
    <s v="MKS Bali"/>
    <x v="61"/>
    <x v="0"/>
    <x v="3"/>
    <s v="SFM007"/>
    <s v="Tepung Double Zero @25Kg/Sack"/>
    <n v="1"/>
    <s v="SACK"/>
    <n v="1"/>
    <n v="327450"/>
    <n v="0"/>
    <s v="Invoice"/>
    <s v="Sudah Jadi FJ"/>
    <s v=""/>
  </r>
  <r>
    <d v="2026-08-29T00:00:00"/>
    <d v="2026-08-28T00:00:00"/>
    <s v="SO-KS/2608/280144"/>
    <s v="MKS Bali"/>
    <x v="62"/>
    <x v="1"/>
    <x v="4"/>
    <s v="SFM007"/>
    <s v="Tepung Double Zero @25Kg/Sack"/>
    <n v="1"/>
    <s v="SACK"/>
    <n v="1"/>
    <n v="280000"/>
    <n v="0"/>
    <s v="Invoice"/>
    <s v="Sudah Jadi FJ"/>
    <s v=""/>
  </r>
  <r>
    <d v="2026-08-29T00:00:00"/>
    <d v="2026-08-28T00:00:00"/>
    <s v="SO-KS/2608/280145"/>
    <s v="MKS Bali"/>
    <x v="63"/>
    <x v="1"/>
    <x v="16"/>
    <s v="120011"/>
    <s v="Tepung Easymix Pisang Goreng @1kg/pack"/>
    <n v="40"/>
    <s v="KG"/>
    <n v="40"/>
    <n v="1240000.0900000001"/>
    <n v="0"/>
    <s v="Invoice"/>
    <s v="Sudah Jadi FJ"/>
    <s v="Di ambil besok ke kantor"/>
  </r>
  <r>
    <d v="2026-08-29T00:00:00"/>
    <d v="2026-08-28T00:00:00"/>
    <s v="SO-KS/2608/280146"/>
    <s v="MKS Bali"/>
    <x v="64"/>
    <x v="0"/>
    <x v="16"/>
    <s v="PSF0023"/>
    <s v="Tepung Hime Fusion 5Kg"/>
    <n v="6"/>
    <s v="BAG"/>
    <n v="6"/>
    <n v="551999.99"/>
    <n v="0"/>
    <s v="Invoice"/>
    <s v="Sudah Jadi FJ"/>
    <s v=""/>
  </r>
  <r>
    <d v="2026-08-29T00:00:00"/>
    <d v="2026-08-28T00:00:00"/>
    <s v="SO-KS/2608/280147"/>
    <s v="MKS Bali"/>
    <x v="64"/>
    <x v="0"/>
    <x v="16"/>
    <s v="150338"/>
    <s v="FOODY Star Chicken Sausage 250 Gr"/>
    <n v="40"/>
    <s v="PACK"/>
    <n v="40"/>
    <n v="700000.19"/>
    <n v="0"/>
    <s v="Invoice"/>
    <s v="Sudah Jadi FJ"/>
    <s v=""/>
  </r>
  <r>
    <d v="2026-08-29T00:00:00"/>
    <d v="2026-08-28T00:00:00"/>
    <s v="SO-KS/2608/280148"/>
    <s v="MKS Bali"/>
    <x v="65"/>
    <x v="0"/>
    <x v="0"/>
    <s v="SFM007"/>
    <s v="Tepung Double Zero @25Kg/Sack"/>
    <n v="1"/>
    <s v="SACK"/>
    <n v="1"/>
    <n v="327450"/>
    <n v="0"/>
    <s v="Invoice"/>
    <s v="Sudah Jadi FJ"/>
    <s v=""/>
  </r>
  <r>
    <d v="2026-08-29T00:00:00"/>
    <d v="2026-08-28T00:00:00"/>
    <s v="SO-KS/2608/280153"/>
    <s v="MKS Bali"/>
    <x v="66"/>
    <x v="1"/>
    <x v="17"/>
    <s v="060013"/>
    <s v="Nestea Lemon Tea 1kg/Pack"/>
    <n v="2"/>
    <s v="PACK"/>
    <n v="2"/>
    <n v="128400.01"/>
    <n v="0"/>
    <s v="Invoice"/>
    <s v="Sudah Jadi FJ"/>
    <s v="Diambil customer besok ke kantor"/>
  </r>
  <r>
    <d v="2026-08-29T00:00:00"/>
    <d v="2026-08-28T00:00:00"/>
    <s v="SO-KS/2608/280153"/>
    <s v="MKS Bali"/>
    <x v="66"/>
    <x v="1"/>
    <x v="17"/>
    <s v="060019"/>
    <s v="Nestle Orange Pouch NP 560gr/Pack"/>
    <n v="2"/>
    <s v="PACK"/>
    <n v="2"/>
    <n v="108200"/>
    <n v="0"/>
    <s v="Invoice"/>
    <s v="Sudah Jadi FJ"/>
    <s v="Diambil customer besok ke kantor"/>
  </r>
  <r>
    <d v="2026-08-29T00:00:00"/>
    <d v="2026-08-28T00:00:00"/>
    <s v="SO-KS/2608/280154"/>
    <s v="MKS Bali"/>
    <x v="67"/>
    <x v="0"/>
    <x v="11"/>
    <s v="SFM007"/>
    <s v="Tepung Double Zero @25Kg/Sack"/>
    <n v="4"/>
    <s v="SACK"/>
    <n v="4"/>
    <n v="1120000"/>
    <n v="0"/>
    <s v="Invoice"/>
    <s v="Sudah Jadi FJ"/>
    <s v=""/>
  </r>
  <r>
    <d v="2026-08-29T00:00:00"/>
    <d v="2026-08-28T00:00:00"/>
    <s v="SO-KS/2608/280155"/>
    <s v="MKS Bali"/>
    <x v="67"/>
    <x v="0"/>
    <x v="11"/>
    <s v="PSJ0187"/>
    <s v="Borello Topside"/>
    <n v="8"/>
    <s v="KG"/>
    <n v="9.6998999999999995"/>
    <n v="1697500"/>
    <n v="1.6999"/>
    <s v="Invoice"/>
    <s v="Sudah Jadi FJ"/>
    <s v=""/>
  </r>
  <r>
    <d v="2026-08-29T00:00:00"/>
    <d v="2026-08-28T00:00:00"/>
    <s v="SO-KS/2608/280156"/>
    <s v="MKS Bali"/>
    <x v="68"/>
    <x v="0"/>
    <x v="6"/>
    <s v="SFM007"/>
    <s v="Tepung Double Zero @25Kg/Sack"/>
    <n v="4"/>
    <s v="SACK"/>
    <n v="4"/>
    <n v="1300000"/>
    <n v="0"/>
    <s v="Invoice"/>
    <s v="Sudah Jadi FJ"/>
    <s v=""/>
  </r>
  <r>
    <d v="2026-08-29T00:00:00"/>
    <d v="2026-08-28T00:00:00"/>
    <s v="SO-KS/2608/280156"/>
    <s v="MKS Bali"/>
    <x v="68"/>
    <x v="0"/>
    <x v="6"/>
    <s v="SFM009"/>
    <s v="Tepung Hime @25Kg/Sack"/>
    <n v="10"/>
    <s v="SACK"/>
    <n v="10"/>
    <n v="3400000"/>
    <n v="0"/>
    <s v="Invoice"/>
    <s v="Sudah Jadi FJ"/>
    <s v=""/>
  </r>
  <r>
    <d v="2026-08-29T00:00:00"/>
    <d v="2026-08-28T00:00:00"/>
    <s v="SO-KS/2608/280162"/>
    <s v="MKS Bali"/>
    <x v="69"/>
    <x v="1"/>
    <x v="17"/>
    <s v="060006"/>
    <s v="Nescafe Classic Sac+Bag Era 60x2gr"/>
    <n v="40"/>
    <s v="PACK"/>
    <n v="40"/>
    <n v="2776679.96"/>
    <n v="0"/>
    <s v="Invoice"/>
    <s v="Sudah Jadi FJ"/>
    <s v=""/>
  </r>
  <r>
    <d v="2026-08-29T00:00:00"/>
    <d v="2026-08-29T00:00:00"/>
    <s v="SO-KS/2608/290003"/>
    <s v="MKS Bali"/>
    <x v="70"/>
    <x v="0"/>
    <x v="11"/>
    <s v="PSJ0228"/>
    <s v="Premium Minced Beef (2.5kg/pack)"/>
    <n v="10"/>
    <s v="KG"/>
    <n v="10"/>
    <n v="1050000"/>
    <n v="0"/>
    <s v="Invoice"/>
    <s v="Sudah Jadi FJ"/>
    <s v=""/>
  </r>
  <r>
    <d v="2026-08-29T00:00:00"/>
    <d v="2026-08-29T00:00:00"/>
    <s v="SO-KS/2608/290003"/>
    <s v="MKS Bali"/>
    <x v="70"/>
    <x v="0"/>
    <x v="11"/>
    <s v="PSJ0228"/>
    <s v="Premium Minced Beef (2.5kg/pack)"/>
    <n v="10"/>
    <s v="KG"/>
    <n v="10"/>
    <n v="1050000"/>
    <n v="0"/>
    <s v="Invoice"/>
    <s v="Sudah Jadi FJ"/>
    <s v=""/>
  </r>
  <r>
    <d v="2026-08-29T00:00:00"/>
    <d v="2026-08-28T00:00:00"/>
    <s v="SO-KU/2608/280002"/>
    <s v="MKU Bali"/>
    <x v="10"/>
    <x v="1"/>
    <x v="3"/>
    <s v="POS0024"/>
    <s v="O Sole Pomodori Pelati Peeled Tomatoes 2.5Kg"/>
    <n v="6"/>
    <s v="CAN"/>
    <n v="6"/>
    <n v="570000"/>
    <n v="0"/>
    <s v="Invoice"/>
    <s v="Sudah Jadi FJ"/>
    <s v=""/>
  </r>
  <r>
    <d v="2026-08-29T00:00:00"/>
    <d v="2026-08-28T00:00:00"/>
    <s v="SO-KU/2608/280003"/>
    <s v="MKU Bali"/>
    <x v="71"/>
    <x v="0"/>
    <x v="6"/>
    <s v="PAA0001"/>
    <s v="Bergold Mozzarella Block"/>
    <n v="11.5"/>
    <s v="KG"/>
    <n v="10.8"/>
    <n v="1318680"/>
    <n v="-0.7"/>
    <s v="Invoice"/>
    <s v="Sudah Jadi FJ"/>
    <s v="5 loaf"/>
  </r>
  <r>
    <d v="2026-08-29T00:00:00"/>
    <d v="2026-08-28T00:00:00"/>
    <s v="SO-KU/2608/280004"/>
    <s v="MKU Bali"/>
    <x v="72"/>
    <x v="0"/>
    <x v="13"/>
    <s v="PEA0004"/>
    <s v="Gold Box Extra Butter MP341"/>
    <n v="25"/>
    <s v="KG"/>
    <n v="25"/>
    <n v="2625000.15"/>
    <n v="0"/>
    <s v="Invoice"/>
    <s v="Sudah Jadi FJ"/>
    <s v=""/>
  </r>
  <r>
    <d v="2026-08-29T00:00:00"/>
    <d v="2026-08-28T00:00:00"/>
    <s v="SO-KU/2608/280005"/>
    <s v="MKU Bali"/>
    <x v="6"/>
    <x v="0"/>
    <x v="0"/>
    <s v="POS0024"/>
    <s v="O Sole Pomodori Pelati Peeled Tomatoes 2.5Kg"/>
    <n v="6"/>
    <s v="CAN"/>
    <n v="6"/>
    <n v="510000.02"/>
    <n v="0"/>
    <s v="Invoice"/>
    <s v="Sudah Jadi FJ"/>
    <s v=""/>
  </r>
  <r>
    <d v="2026-08-29T00:00:00"/>
    <d v="2026-08-28T00:00:00"/>
    <s v="SO-KU/2608/280006"/>
    <s v="MKU Bali"/>
    <x v="73"/>
    <x v="0"/>
    <x v="5"/>
    <s v="POT0034"/>
    <s v="Premium Straight Cut 6x2Kg"/>
    <n v="1"/>
    <s v="KTN"/>
    <n v="1"/>
    <n v="466200"/>
    <n v="0"/>
    <s v="Invoice"/>
    <s v="Sudah Jadi FJ"/>
    <s v=""/>
  </r>
  <r>
    <d v="2026-08-29T00:00:00"/>
    <d v="2026-08-28T00:00:00"/>
    <s v="SO-KU/2608/280007"/>
    <s v="MKU Bali"/>
    <x v="74"/>
    <x v="1"/>
    <x v="1"/>
    <s v="POS0024"/>
    <s v="O Sole Pomodori Pelati Peeled Tomatoes 2.5Kg"/>
    <n v="1"/>
    <s v="CAN"/>
    <n v="1"/>
    <n v="88000"/>
    <n v="0"/>
    <s v="Invoice"/>
    <s v="Sudah Jadi FJ"/>
    <s v=""/>
  </r>
  <r>
    <d v="2026-08-29T00:00:00"/>
    <d v="2026-08-28T00:00:00"/>
    <s v="SO-KU/2608/280008"/>
    <s v="MKU Bali"/>
    <x v="74"/>
    <x v="1"/>
    <x v="1"/>
    <s v="PQW0010"/>
    <s v="IQF FF Shoestring 10Kg/Ctn"/>
    <n v="1"/>
    <s v="KTN"/>
    <n v="1"/>
    <n v="300000"/>
    <n v="0"/>
    <s v="Invoice"/>
    <s v="Sudah Jadi FJ"/>
    <s v=""/>
  </r>
  <r>
    <d v="2026-08-29T00:00:00"/>
    <d v="2026-08-28T00:00:00"/>
    <s v="SO-KU/2608/280009"/>
    <s v="MKU Bali"/>
    <x v="75"/>
    <x v="1"/>
    <x v="16"/>
    <s v="PSJ0019"/>
    <s v="Pork B Sliced (1kg/pack)"/>
    <n v="20"/>
    <s v="KG"/>
    <n v="20"/>
    <n v="2300000"/>
    <n v="0"/>
    <s v="Invoice"/>
    <s v="Sudah Jadi FJ"/>
    <s v=""/>
  </r>
  <r>
    <d v="2026-08-29T00:00:00"/>
    <d v="2026-08-28T00:00:00"/>
    <s v="SO-KU/2608/280010"/>
    <s v="MKU Bali"/>
    <x v="76"/>
    <x v="0"/>
    <x v="1"/>
    <s v="POT0046"/>
    <s v="Australian Butter Unsalted"/>
    <n v="25"/>
    <s v="KG"/>
    <n v="25"/>
    <n v="4125000.04"/>
    <n v="0"/>
    <s v="Invoice"/>
    <s v="Sudah Jadi FJ"/>
    <s v=""/>
  </r>
  <r>
    <d v="2026-08-29T00:00:00"/>
    <d v="2026-08-28T00:00:00"/>
    <s v="SO-KU/2608/280013"/>
    <s v="MKU Bali"/>
    <x v="77"/>
    <x v="1"/>
    <x v="13"/>
    <s v="PMS0094"/>
    <s v="Masterista Syrup Butterscotch 850 Ml"/>
    <n v="2"/>
    <s v="BTL"/>
    <n v="2"/>
    <n v="220000"/>
    <n v="0"/>
    <s v="Invoice"/>
    <s v="Sudah Jadi FJ"/>
    <s v=""/>
  </r>
  <r>
    <d v="2026-08-29T00:00:00"/>
    <d v="2026-08-28T00:00:00"/>
    <s v="SO-KU/2608/280013"/>
    <s v="MKU Bali"/>
    <x v="77"/>
    <x v="1"/>
    <x v="13"/>
    <s v="PMS0114"/>
    <s v="Masterista Cold Foam Sea Salt 500 Gr"/>
    <n v="4"/>
    <s v="PACK"/>
    <n v="4"/>
    <n v="220000"/>
    <n v="0"/>
    <s v="Invoice"/>
    <s v="Sudah Jadi FJ"/>
    <s v=""/>
  </r>
  <r>
    <d v="2026-08-29T00:00:00"/>
    <d v="2026-08-28T00:00:00"/>
    <s v="SO-KU/2608/280013"/>
    <s v="MKU Bali"/>
    <x v="77"/>
    <x v="1"/>
    <x v="13"/>
    <s v="PMS0132"/>
    <s v="Masterista Syrup Vanilla Tradition 850ml"/>
    <n v="2"/>
    <s v="BTL"/>
    <n v="2"/>
    <n v="220000"/>
    <n v="0"/>
    <s v="Invoice"/>
    <s v="Sudah Jadi FJ"/>
    <s v=""/>
  </r>
  <r>
    <d v="2026-08-29T00:00:00"/>
    <d v="2026-08-28T00:00:00"/>
    <s v="SO-KU/2608/280013"/>
    <s v="MKU Bali"/>
    <x v="77"/>
    <x v="1"/>
    <x v="13"/>
    <s v="PMS0169"/>
    <s v="Masterista Cheese Cream Topping 500 Gr"/>
    <n v="4"/>
    <s v="PACK"/>
    <n v="4"/>
    <n v="327452"/>
    <n v="0"/>
    <s v="Invoice"/>
    <s v="Sudah Jadi FJ"/>
    <s v=""/>
  </r>
  <r>
    <d v="2026-08-29T00:00:00"/>
    <d v="2026-08-28T00:00:00"/>
    <s v="SO-KU/2608/280014"/>
    <s v="MKU Bali"/>
    <x v="78"/>
    <x v="0"/>
    <x v="0"/>
    <s v="PIF0012"/>
    <s v="Pristine Classic Cooking Cream 1 Lt"/>
    <n v="12"/>
    <s v="LTR"/>
    <n v="12"/>
    <n v="959040"/>
    <n v="0"/>
    <s v="Invoice"/>
    <s v="Sudah Jadi FJ"/>
    <s v="KIRIM KE jalan GUNUNG CATUR"/>
  </r>
  <r>
    <d v="2026-08-29T00:00:00"/>
    <d v="2026-08-28T00:00:00"/>
    <s v="SO-KU/2608/280015"/>
    <s v="MKU Bali"/>
    <x v="79"/>
    <x v="1"/>
    <x v="1"/>
    <s v="PMS0130"/>
    <s v="Masterista Syrup Classic Caramel 850ml"/>
    <n v="1"/>
    <s v="BTL"/>
    <n v="1"/>
    <n v="104500"/>
    <n v="0"/>
    <s v="Invoice"/>
    <s v="Sudah Jadi FJ"/>
    <s v=""/>
  </r>
  <r>
    <d v="2026-08-29T00:00:00"/>
    <d v="2026-08-28T00:00:00"/>
    <s v="SO-KU/2608/280015"/>
    <s v="MKU Bali"/>
    <x v="79"/>
    <x v="1"/>
    <x v="1"/>
    <s v="PMS0132"/>
    <s v="Masterista Syrup Vanilla Tradition 850ml"/>
    <n v="2"/>
    <s v="BTL"/>
    <n v="2"/>
    <n v="209000"/>
    <n v="0"/>
    <s v="Invoice"/>
    <s v="Sudah Jadi FJ"/>
    <s v=""/>
  </r>
  <r>
    <d v="2026-08-29T00:00:00"/>
    <d v="2026-08-28T00:00:00"/>
    <s v="SO-KU/2608/280016"/>
    <s v="MKU Bali"/>
    <x v="80"/>
    <x v="0"/>
    <x v="6"/>
    <s v="POT0038"/>
    <s v="Premium Straight Cut 2Kg"/>
    <n v="2"/>
    <s v="PACK"/>
    <n v="2"/>
    <n v="156000"/>
    <n v="0"/>
    <s v="Invoice"/>
    <s v="Sudah Jadi FJ"/>
    <s v="Warung Local Canggu"/>
  </r>
  <r>
    <d v="2026-08-29T00:00:00"/>
    <d v="2026-08-28T00:00:00"/>
    <s v="SO-KU/2608/280017"/>
    <s v="MKU Bali"/>
    <x v="81"/>
    <x v="0"/>
    <x v="3"/>
    <s v="PAA0001"/>
    <s v="Bergold Mozzarella Block"/>
    <n v="3"/>
    <s v="KG"/>
    <n v="4.1399999999999997"/>
    <n v="482517"/>
    <n v="1.1399999999999999"/>
    <s v="Invoice"/>
    <s v="Sudah Jadi FJ"/>
    <s v=""/>
  </r>
  <r>
    <d v="2026-08-29T00:00:00"/>
    <d v="2026-08-28T00:00:00"/>
    <s v="SO-KU/2608/280018"/>
    <s v="MKU Bali"/>
    <x v="82"/>
    <x v="0"/>
    <x v="2"/>
    <s v="ASS-EB-LP250"/>
    <s v="English Breakfast @250gr/Pouch"/>
    <n v="3"/>
    <s v="POU"/>
    <n v="3"/>
    <n v="616050"/>
    <n v="0"/>
    <s v="Invoice"/>
    <s v="Sudah Jadi FJ"/>
    <s v=""/>
  </r>
  <r>
    <d v="2026-08-29T00:00:00"/>
    <d v="2026-08-28T00:00:00"/>
    <s v="SO-KU/2608/280018"/>
    <s v="MKU Bali"/>
    <x v="82"/>
    <x v="0"/>
    <x v="2"/>
    <s v="ASS-PP-LP250"/>
    <s v="Peppermint @250gr"/>
    <n v="1"/>
    <s v="POU"/>
    <n v="1"/>
    <n v="338550"/>
    <n v="0"/>
    <s v="Invoice"/>
    <s v="Sudah Jadi FJ"/>
    <s v=""/>
  </r>
  <r>
    <d v="2026-08-29T00:00:00"/>
    <d v="2026-08-28T00:00:00"/>
    <s v="SO-KU/2608/280018"/>
    <s v="MKU Bali"/>
    <x v="82"/>
    <x v="0"/>
    <x v="2"/>
    <s v="ASS-CH-L250"/>
    <s v="Chamomile Dream @250gr"/>
    <n v="1"/>
    <s v="PACK"/>
    <n v="1"/>
    <n v="505050"/>
    <n v="0"/>
    <s v="Invoice"/>
    <s v="Sudah Jadi FJ"/>
    <s v=""/>
  </r>
  <r>
    <d v="2026-08-29T00:00:00"/>
    <d v="2026-08-28T00:00:00"/>
    <s v="SO-KU/2608/280018"/>
    <s v="MKU Bali"/>
    <x v="82"/>
    <x v="0"/>
    <x v="2"/>
    <s v="ASS-EG-LP250"/>
    <s v="Earl Grey @250gr"/>
    <n v="1"/>
    <s v="PACK"/>
    <n v="1"/>
    <n v="266400"/>
    <n v="0"/>
    <s v="Invoice"/>
    <s v="Sudah Jadi FJ"/>
    <s v=""/>
  </r>
  <r>
    <d v="2026-08-29T00:00:00"/>
    <d v="2026-08-28T00:00:00"/>
    <s v="SO-KU/2608/280019"/>
    <s v="MKU Bali"/>
    <x v="83"/>
    <x v="0"/>
    <x v="1"/>
    <s v="PEA0003"/>
    <s v="Gold Box Melange Butter MP331"/>
    <n v="25"/>
    <s v="KG"/>
    <n v="25"/>
    <n v="3625000.26"/>
    <n v="0"/>
    <s v="Invoice"/>
    <s v="Sudah Jadi FJ"/>
    <s v=""/>
  </r>
  <r>
    <d v="2026-08-29T00:00:00"/>
    <d v="2026-08-28T00:00:00"/>
    <s v="SO-KU/2608/280020"/>
    <s v="MKU Bali"/>
    <x v="84"/>
    <x v="0"/>
    <x v="11"/>
    <s v="PMS0140"/>
    <s v="Masterista Japanese Matcha Powder Premium 500 Ml"/>
    <n v="1"/>
    <s v="PACK"/>
    <n v="1"/>
    <n v="528000"/>
    <n v="0"/>
    <s v="Invoice"/>
    <s v="Sudah Jadi FJ"/>
    <s v=""/>
  </r>
  <r>
    <d v="2026-08-29T00:00:00"/>
    <d v="2026-08-28T00:00:00"/>
    <s v="SO-KU/2608/280021"/>
    <s v="MKU Bali"/>
    <x v="20"/>
    <x v="0"/>
    <x v="11"/>
    <s v="POS0024"/>
    <s v="O Sole Pomodori Pelati Peeled Tomatoes 2.5Kg"/>
    <n v="3"/>
    <s v="CAN"/>
    <n v="3"/>
    <n v="240000.03"/>
    <n v="0"/>
    <s v="Invoice"/>
    <s v="Sudah Jadi FJ"/>
    <s v=""/>
  </r>
  <r>
    <d v="2026-08-29T00:00:00"/>
    <d v="2026-08-28T00:00:00"/>
    <s v="SO-KU/2608/280022"/>
    <s v="MKU Bali"/>
    <x v="24"/>
    <x v="0"/>
    <x v="5"/>
    <s v="PSJ0032"/>
    <s v="Selecta Pork Belly Skin On"/>
    <n v="8"/>
    <s v="KG"/>
    <n v="5.35"/>
    <n v="909500"/>
    <n v="-2.65"/>
    <s v="Invoice"/>
    <s v="Sudah Jadi FJ"/>
    <s v=""/>
  </r>
  <r>
    <d v="2026-08-29T00:00:00"/>
    <d v="2026-08-28T00:00:00"/>
    <s v="SO-KU/2608/280023"/>
    <s v="MKU Bali"/>
    <x v="85"/>
    <x v="1"/>
    <x v="4"/>
    <s v="PMS0059"/>
    <s v="Flavour Artisan - Belgian Signature Dark Chocolate (80 Cocoa%)  500gr"/>
    <n v="4"/>
    <s v="PACK"/>
    <n v="4"/>
    <n v="471999.99"/>
    <n v="0"/>
    <s v="Invoice"/>
    <s v="Sudah Jadi FJ"/>
    <s v=""/>
  </r>
  <r>
    <d v="2026-08-29T00:00:00"/>
    <d v="2026-08-28T00:00:00"/>
    <s v="SO-KU/2608/280024"/>
    <s v="MKU Bali"/>
    <x v="85"/>
    <x v="1"/>
    <x v="4"/>
    <s v="PMS0059"/>
    <s v="Flavour Artisan - Belgian Signature Dark Chocolate (80 Cocoa%)  500gr"/>
    <n v="4"/>
    <s v="PACK"/>
    <n v="4"/>
    <n v="471999.99"/>
    <n v="0"/>
    <s v="Invoice"/>
    <s v="Sudah Jadi FJ"/>
    <s v="tmbhan"/>
  </r>
  <r>
    <d v="2026-08-29T00:00:00"/>
    <d v="2026-08-28T00:00:00"/>
    <s v="SO-KU/2608/280027"/>
    <s v="MKU Bali"/>
    <x v="86"/>
    <x v="0"/>
    <x v="1"/>
    <s v="PIF0012"/>
    <s v="Pristine Classic Cooking Cream 1 Lt"/>
    <n v="5"/>
    <s v="LTR"/>
    <n v="5"/>
    <n v="340000"/>
    <n v="0"/>
    <s v="Invoice"/>
    <s v="Sudah Jadi FJ"/>
    <s v=""/>
  </r>
  <r>
    <d v="2026-08-29T00:00:00"/>
    <d v="2026-08-28T00:00:00"/>
    <s v="SO-KU/2608/280029"/>
    <s v="MKU Bali"/>
    <x v="87"/>
    <x v="1"/>
    <x v="13"/>
    <s v="PMS0033"/>
    <s v="Masterista Ice Shaken Lemon Tea 1000Gr"/>
    <n v="1"/>
    <s v="PACK"/>
    <n v="1"/>
    <n v="66600"/>
    <n v="0"/>
    <s v="Invoice"/>
    <s v="Sudah Jadi FJ"/>
    <s v=""/>
  </r>
  <r>
    <d v="2026-08-29T00:00:00"/>
    <d v="2026-08-28T00:00:00"/>
    <s v="SO-KU/2608/280029"/>
    <s v="MKU Bali"/>
    <x v="87"/>
    <x v="1"/>
    <x v="13"/>
    <s v="PMS0034"/>
    <s v="Masterista Ice Shaken Lychee Tea 1000Gr"/>
    <n v="2"/>
    <s v="PACK"/>
    <n v="2"/>
    <n v="147630"/>
    <n v="0"/>
    <s v="Invoice"/>
    <s v="Sudah Jadi FJ"/>
    <s v=""/>
  </r>
  <r>
    <d v="2026-08-29T00:00:00"/>
    <d v="2026-08-28T00:00:00"/>
    <s v="SO-KU/2608/280029"/>
    <s v="MKU Bali"/>
    <x v="87"/>
    <x v="1"/>
    <x v="13"/>
    <s v="PMS0037"/>
    <s v="Flavorista Red Velvet (1000Gr/Pack)"/>
    <n v="1"/>
    <s v="PACK"/>
    <n v="1"/>
    <n v="86025"/>
    <n v="0"/>
    <s v="Invoice"/>
    <s v="Sudah Jadi FJ"/>
    <s v=""/>
  </r>
  <r>
    <d v="2026-08-29T00:00:00"/>
    <d v="2026-08-28T00:00:00"/>
    <s v="SO-KU/2608/280029"/>
    <s v="MKU Bali"/>
    <x v="87"/>
    <x v="1"/>
    <x v="13"/>
    <s v="PMS0040"/>
    <s v="Flavorista Taro (1000Gr/Pack)"/>
    <n v="1"/>
    <s v="PACK"/>
    <n v="1"/>
    <n v="80475"/>
    <n v="0"/>
    <s v="Invoice"/>
    <s v="Sudah Jadi FJ"/>
    <s v=""/>
  </r>
  <r>
    <d v="2026-08-29T00:00:00"/>
    <d v="2026-08-28T00:00:00"/>
    <s v="SO-KU/2608/280031"/>
    <s v="MKU Bali"/>
    <x v="88"/>
    <x v="1"/>
    <x v="16"/>
    <s v="POT0034"/>
    <s v="Premium Straight Cut 6x2Kg"/>
    <n v="15"/>
    <s v="KTN"/>
    <n v="15"/>
    <n v="5040000.12"/>
    <n v="0"/>
    <s v="Invoice"/>
    <s v="Sudah Jadi FJ"/>
    <s v=""/>
  </r>
  <r>
    <d v="2026-08-29T00:00:00"/>
    <d v="2026-08-28T00:00:00"/>
    <s v="SO-KU/2608/280035"/>
    <s v="MKU Bali"/>
    <x v="39"/>
    <x v="0"/>
    <x v="5"/>
    <s v="PEA0010"/>
    <s v="Gold Box Extra Butter MP341 1 Kg"/>
    <n v="9"/>
    <s v="KG"/>
    <n v="8.8698999999999995"/>
    <n v="966830.01"/>
    <n v="-0.13009999999999999"/>
    <s v="Invoice"/>
    <s v="Sudah Jadi FJ"/>
    <s v="INTERNASIONAL_x000d__x000a_"/>
  </r>
  <r>
    <d v="2026-08-29T00:00:00"/>
    <d v="2026-08-28T00:00:00"/>
    <s v="SO-KU/2608/280039"/>
    <s v="MKU Bali"/>
    <x v="31"/>
    <x v="0"/>
    <x v="1"/>
    <s v="PIF0012"/>
    <s v="Pristine Classic Cooking Cream 1 Lt"/>
    <n v="5"/>
    <s v="LTR"/>
    <n v="5"/>
    <n v="275000"/>
    <n v="0"/>
    <s v="Invoice"/>
    <s v="Sudah Jadi FJ"/>
    <s v="po Crooked Cactus"/>
  </r>
  <r>
    <d v="2026-08-29T00:00:00"/>
    <d v="2026-08-28T00:00:00"/>
    <s v="SO-KU/2608/280040"/>
    <s v="MKU Bali"/>
    <x v="24"/>
    <x v="0"/>
    <x v="5"/>
    <s v="PSJ0032"/>
    <s v="Selecta Pork Belly Skin On"/>
    <n v="24"/>
    <s v="KG"/>
    <n v="23.5"/>
    <n v="3995000"/>
    <n v="-0.5"/>
    <s v="Invoice"/>
    <s v="Sudah Jadi FJ"/>
    <s v=""/>
  </r>
  <r>
    <d v="2026-08-29T00:00:00"/>
    <d v="2026-08-28T00:00:00"/>
    <s v="SO-KU/2608/280042"/>
    <s v="MKU Bali"/>
    <x v="43"/>
    <x v="0"/>
    <x v="0"/>
    <s v="POS0024"/>
    <s v="O Sole Pomodori Pelati Peeled Tomatoes 2.5Kg"/>
    <n v="24"/>
    <s v="CAN"/>
    <n v="24"/>
    <n v="1920000.21"/>
    <n v="0"/>
    <s v="Invoice"/>
    <s v="Sudah Jadi FJ"/>
    <s v="kitchen fbc"/>
  </r>
  <r>
    <d v="2026-08-29T00:00:00"/>
    <d v="2026-08-28T00:00:00"/>
    <s v="SO-KU/2608/280043"/>
    <s v="MKU Bali"/>
    <x v="89"/>
    <x v="0"/>
    <x v="6"/>
    <s v="PEA0005"/>
    <s v="Gold Box Melange Butter MP331 5 Kg"/>
    <n v="10"/>
    <s v="KG"/>
    <n v="10"/>
    <n v="1150000.07"/>
    <n v="0"/>
    <s v="Invoice"/>
    <s v="Sudah Jadi FJ"/>
    <s v=""/>
  </r>
  <r>
    <d v="2026-08-29T00:00:00"/>
    <d v="2026-08-28T00:00:00"/>
    <s v="SO-KU/2608/280045"/>
    <s v="MKU Bali"/>
    <x v="90"/>
    <x v="1"/>
    <x v="13"/>
    <s v="PMS0038"/>
    <s v="Flavorista Chocolate base (1000Gr/Pack)"/>
    <n v="2"/>
    <s v="PACK"/>
    <n v="2"/>
    <n v="198690"/>
    <n v="0"/>
    <s v="Invoice"/>
    <s v="Sudah Jadi FJ"/>
    <s v=""/>
  </r>
  <r>
    <d v="2026-08-29T00:00:00"/>
    <d v="2026-08-28T00:00:00"/>
    <s v="SO-KU/2608/280045"/>
    <s v="MKU Bali"/>
    <x v="90"/>
    <x v="1"/>
    <x v="13"/>
    <s v="PMS0039"/>
    <s v="Flavorista Matcha (1000Gr/Pack)"/>
    <n v="2"/>
    <s v="PACK"/>
    <n v="2"/>
    <n v="191600"/>
    <n v="0"/>
    <s v="Invoice"/>
    <s v="Sudah Jadi FJ"/>
    <s v=""/>
  </r>
  <r>
    <d v="2026-08-29T00:00:00"/>
    <d v="2026-08-28T00:00:00"/>
    <s v="SO-KU/2608/280045"/>
    <s v="MKU Bali"/>
    <x v="90"/>
    <x v="1"/>
    <x v="13"/>
    <s v="PMS0040"/>
    <s v="Flavorista Taro (1000Gr/Pack)"/>
    <n v="1"/>
    <s v="PACK"/>
    <n v="1"/>
    <n v="80475"/>
    <n v="0"/>
    <s v="Invoice"/>
    <s v="Sudah Jadi FJ"/>
    <s v=""/>
  </r>
  <r>
    <d v="2026-08-29T00:00:00"/>
    <d v="2026-08-28T00:00:00"/>
    <s v="SO-KU/2608/280045"/>
    <s v="MKU Bali"/>
    <x v="90"/>
    <x v="1"/>
    <x v="13"/>
    <s v="PMS0042"/>
    <s v="Flavorista Thai Tea (1000Gr/Pack)"/>
    <n v="1"/>
    <s v="PACK"/>
    <n v="1"/>
    <n v="86025"/>
    <n v="0"/>
    <s v="Invoice"/>
    <s v="Sudah Jadi FJ"/>
    <s v=""/>
  </r>
  <r>
    <d v="2026-08-29T00:00:00"/>
    <d v="2026-08-28T00:00:00"/>
    <s v="SO-KU/2608/280048"/>
    <s v="MKU Bali"/>
    <x v="91"/>
    <x v="1"/>
    <x v="5"/>
    <s v="PSJ0019"/>
    <s v="Pork B Sliced (1kg/pack)"/>
    <n v="5"/>
    <s v="KG"/>
    <n v="5"/>
    <n v="500000"/>
    <n v="0"/>
    <s v="Invoice"/>
    <s v="Sudah Jadi FJ"/>
    <s v=""/>
  </r>
  <r>
    <d v="2026-08-29T00:00:00"/>
    <d v="2026-08-28T00:00:00"/>
    <s v="SO-KU/2608/280051"/>
    <s v="MKU Bali"/>
    <x v="92"/>
    <x v="0"/>
    <x v="15"/>
    <s v="POT0034"/>
    <s v="Premium Straight Cut 6x2Kg"/>
    <n v="1"/>
    <s v="KTN"/>
    <n v="1"/>
    <n v="330000"/>
    <n v="0"/>
    <s v="Invoice"/>
    <s v="Sudah Jadi FJ"/>
    <s v=""/>
  </r>
  <r>
    <d v="2026-08-29T00:00:00"/>
    <d v="2026-08-28T00:00:00"/>
    <s v="SO-KU/2608/280051"/>
    <s v="MKU Bali"/>
    <x v="92"/>
    <x v="0"/>
    <x v="15"/>
    <s v="POT0039"/>
    <s v="Premium Spicy Wedges 2.5 Kg"/>
    <n v="4"/>
    <s v="PACK"/>
    <n v="4"/>
    <n v="435000"/>
    <n v="0"/>
    <s v="Invoice"/>
    <s v="Sudah Jadi FJ"/>
    <s v=""/>
  </r>
  <r>
    <d v="2026-08-29T00:00:00"/>
    <d v="2026-08-28T00:00:00"/>
    <s v="SO-KU/2608/280052"/>
    <s v="MKU Bali"/>
    <x v="50"/>
    <x v="0"/>
    <x v="15"/>
    <s v="PIF0012"/>
    <s v="Pristine Classic Cooking Cream 1 Lt"/>
    <n v="6"/>
    <s v="LTR"/>
    <n v="6"/>
    <n v="326340"/>
    <n v="0"/>
    <s v="Invoice"/>
    <s v="Sudah Jadi FJ"/>
    <s v=""/>
  </r>
  <r>
    <d v="2026-08-29T00:00:00"/>
    <d v="2026-08-28T00:00:00"/>
    <s v="SO-KU/2608/280055"/>
    <s v="MKU Bali"/>
    <x v="93"/>
    <x v="0"/>
    <x v="3"/>
    <s v="PAS0064"/>
    <s v="Crr Rock'n Waffle Fries 2.5 Kg"/>
    <n v="3"/>
    <s v="PACK"/>
    <n v="3"/>
    <n v="465000"/>
    <n v="0"/>
    <s v="Invoice"/>
    <s v="Sudah Jadi FJ"/>
    <s v=""/>
  </r>
  <r>
    <d v="2026-08-29T00:00:00"/>
    <d v="2026-08-28T00:00:00"/>
    <s v="SO-KU/2608/280056"/>
    <s v="MKU Bali"/>
    <x v="94"/>
    <x v="1"/>
    <x v="0"/>
    <s v="POT0038"/>
    <s v="Premium Straight Cut 2Kg"/>
    <n v="4"/>
    <s v="PACK"/>
    <n v="4"/>
    <n v="312000"/>
    <n v="0"/>
    <s v="Invoice"/>
    <s v="Sudah Jadi FJ"/>
    <s v=""/>
  </r>
  <r>
    <d v="2026-08-29T00:00:00"/>
    <d v="2026-08-28T00:00:00"/>
    <s v="SO-KU/2608/280057"/>
    <s v="MKU Bali"/>
    <x v="83"/>
    <x v="0"/>
    <x v="1"/>
    <s v="POS0024"/>
    <s v="O Sole Pomodori Pelati Peeled Tomatoes 2.5Kg"/>
    <n v="6"/>
    <s v="CAN"/>
    <n v="6"/>
    <n v="480000.05"/>
    <n v="0"/>
    <s v="Invoice"/>
    <s v="Sudah Jadi FJ"/>
    <s v=""/>
  </r>
  <r>
    <d v="2026-08-29T00:00:00"/>
    <d v="2026-08-28T00:00:00"/>
    <s v="SO-KU/2608/280058"/>
    <s v="MKU Bali"/>
    <x v="95"/>
    <x v="1"/>
    <x v="3"/>
    <s v="CKPS014"/>
    <s v="Fashion Vodka Premium Quality"/>
    <n v="4"/>
    <s v="BTL"/>
    <n v="4"/>
    <n v="920000"/>
    <n v="0"/>
    <s v="Invoice"/>
    <s v="Sudah Jadi FJ"/>
    <s v=""/>
  </r>
  <r>
    <d v="2026-08-29T00:00:00"/>
    <d v="2026-08-28T00:00:00"/>
    <s v="SO-KU/2608/280060"/>
    <s v="MKU Bali"/>
    <x v="96"/>
    <x v="0"/>
    <x v="5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8-29T00:00:00"/>
    <d v="2026-08-28T00:00:00"/>
    <s v="SO-KU/2608/280064"/>
    <s v="MKU Bali"/>
    <x v="64"/>
    <x v="0"/>
    <x v="16"/>
    <s v="PMS0036"/>
    <s v="Artisan Pure Matcha (500Gr/Pack)"/>
    <n v="12"/>
    <s v="PACK"/>
    <n v="12"/>
    <n v="2471999.9900000002"/>
    <n v="0"/>
    <s v="Invoice"/>
    <s v="Sudah Jadi FJ"/>
    <s v=""/>
  </r>
  <r>
    <d v="2026-08-29T00:00:00"/>
    <d v="2026-08-28T00:00:00"/>
    <s v="SO-KU/2608/280065"/>
    <s v="MKU Bali"/>
    <x v="97"/>
    <x v="0"/>
    <x v="2"/>
    <s v="POT0038"/>
    <s v="Premium Straight Cut 2Kg"/>
    <n v="12"/>
    <s v="PACK"/>
    <n v="12"/>
    <n v="720000"/>
    <n v="0"/>
    <s v="Invoice"/>
    <s v="Sudah Jadi FJ"/>
    <s v=""/>
  </r>
  <r>
    <d v="2026-08-29T00:00:00"/>
    <d v="2026-08-28T00:00:00"/>
    <s v="SO-KU/2608/280066"/>
    <s v="MKU Bali"/>
    <x v="98"/>
    <x v="0"/>
    <x v="11"/>
    <s v="PAA0001"/>
    <s v="Bergold Mozzarella Block"/>
    <n v="2"/>
    <s v="KG"/>
    <n v="2.15"/>
    <n v="215000"/>
    <n v="0.15"/>
    <s v="Invoice"/>
    <s v="Sudah Jadi FJ"/>
    <s v=""/>
  </r>
  <r>
    <d v="2026-08-29T00:00:00"/>
    <d v="2026-08-28T00:00:00"/>
    <s v="SO-KU/2608/280067"/>
    <s v="MKU Bali"/>
    <x v="98"/>
    <x v="0"/>
    <x v="11"/>
    <s v="PAA0001"/>
    <s v="Bergold Mozzarella Block"/>
    <n v="10"/>
    <s v="KG"/>
    <n v="10.869899999999999"/>
    <n v="1087000"/>
    <n v="0.86990000000000001"/>
    <s v="Invoice"/>
    <s v="Sudah Jadi FJ"/>
    <s v=""/>
  </r>
  <r>
    <d v="2026-08-29T00:00:00"/>
    <d v="2026-08-28T00:00:00"/>
    <s v="SO-KU/2608/280071"/>
    <s v="MKU Bali"/>
    <x v="99"/>
    <x v="0"/>
    <x v="2"/>
    <s v="PMS0024"/>
    <s v="Masterista Original Matcha 800Gr"/>
    <n v="1"/>
    <s v="POU"/>
    <n v="1"/>
    <n v="168510"/>
    <n v="0"/>
    <s v="Invoice"/>
    <s v="Sudah Jadi FJ"/>
    <s v=""/>
  </r>
  <r>
    <d v="2026-08-29T00:00:00"/>
    <d v="2026-08-28T00:00:00"/>
    <s v="SO-KU/2608/280071"/>
    <s v="MKU Bali"/>
    <x v="99"/>
    <x v="0"/>
    <x v="2"/>
    <s v="PMS0098"/>
    <s v="Masterista Frappe Base 800 Gr"/>
    <n v="1"/>
    <s v="PACK"/>
    <n v="1"/>
    <n v="126000"/>
    <n v="0"/>
    <s v="Invoice"/>
    <s v="Sudah Jadi FJ"/>
    <s v=""/>
  </r>
  <r>
    <d v="2026-08-29T00:00:00"/>
    <d v="2026-08-28T00:00:00"/>
    <s v="SO-KU/2608/280075"/>
    <s v="MKU Bali"/>
    <x v="100"/>
    <x v="0"/>
    <x v="5"/>
    <s v="PMS0024"/>
    <s v="Masterista Original Matcha 800Gr"/>
    <n v="1"/>
    <s v="POU"/>
    <n v="1"/>
    <n v="156510"/>
    <n v="0"/>
    <s v="Invoice"/>
    <s v="Sudah Jadi FJ"/>
    <s v=""/>
  </r>
  <r>
    <d v="2026-08-29T00:00:00"/>
    <d v="2026-08-28T00:00:00"/>
    <s v="SO-KU/2608/280075"/>
    <s v="MKU Bali"/>
    <x v="100"/>
    <x v="0"/>
    <x v="5"/>
    <s v="PMS0026"/>
    <s v="Masterista Dark Chocolate 800Gr"/>
    <n v="2"/>
    <s v="POU"/>
    <n v="2"/>
    <n v="329670"/>
    <n v="0"/>
    <s v="Invoice"/>
    <s v="Sudah Jadi FJ"/>
    <s v=""/>
  </r>
  <r>
    <d v="2026-08-29T00:00:00"/>
    <d v="2026-08-28T00:00:00"/>
    <s v="SO-KU/2608/280076"/>
    <s v="MKU Bali"/>
    <x v="101"/>
    <x v="0"/>
    <x v="2"/>
    <s v="PMS0131"/>
    <s v="Masterista Syrup Tropical Lychee 850 Ml"/>
    <n v="1"/>
    <s v="BTL"/>
    <n v="1"/>
    <n v="110000"/>
    <n v="0"/>
    <s v="Invoice"/>
    <s v="Sudah Jadi FJ"/>
    <s v=""/>
  </r>
  <r>
    <d v="2026-08-29T00:00:00"/>
    <d v="2026-08-28T00:00:00"/>
    <s v="SO-KU/2608/280077"/>
    <s v="MKU Bali"/>
    <x v="101"/>
    <x v="0"/>
    <x v="2"/>
    <s v="PMS0148"/>
    <s v="Masterista Syrup Grenadine 850 Ml"/>
    <n v="1"/>
    <s v="BTL"/>
    <n v="1"/>
    <n v="110000"/>
    <n v="0"/>
    <s v="Invoice"/>
    <s v="Sudah Jadi FJ"/>
    <s v=""/>
  </r>
  <r>
    <d v="2026-08-29T00:00:00"/>
    <d v="2026-08-28T00:00:00"/>
    <s v="SO-KU/2608/280078"/>
    <s v="MKU Bali"/>
    <x v="102"/>
    <x v="0"/>
    <x v="1"/>
    <s v="150226"/>
    <s v="Belly Skinless Premium (2.5Kg/Pack)"/>
    <n v="7"/>
    <s v="KG"/>
    <n v="5.6"/>
    <n v="700000"/>
    <n v="-1.4"/>
    <s v="Invoice"/>
    <s v="Sudah Jadi FJ"/>
    <s v=""/>
  </r>
  <r>
    <d v="2026-08-29T00:00:00"/>
    <d v="2026-08-28T00:00:00"/>
    <s v="SO-KU/2608/280080"/>
    <s v="MKU Bali"/>
    <x v="103"/>
    <x v="0"/>
    <x v="14"/>
    <s v="CKP1S-164"/>
    <s v="Daebak Soju Lychee @360ml/btl"/>
    <n v="40"/>
    <s v="BTL"/>
    <n v="40"/>
    <n v="2699999.97"/>
    <n v="0"/>
    <s v="Invoice"/>
    <s v="Sudah Jadi FJ"/>
    <s v=""/>
  </r>
  <r>
    <d v="2026-08-29T00:00:00"/>
    <d v="2026-08-28T00:00:00"/>
    <s v="SO-KU/2608/280080"/>
    <s v="MKU Bali"/>
    <x v="103"/>
    <x v="0"/>
    <x v="14"/>
    <s v="CKP1S-163"/>
    <s v="Daebak Soju Peach @360ml/btl"/>
    <n v="20"/>
    <s v="BTL"/>
    <n v="20"/>
    <n v="1349999.98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DDA36-854A-48B8-A0E3-922924D3F9D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05">
        <item x="35"/>
        <item x="58"/>
        <item x="82"/>
        <item x="72"/>
        <item x="42"/>
        <item x="0"/>
        <item x="26"/>
        <item x="90"/>
        <item x="24"/>
        <item x="31"/>
        <item x="4"/>
        <item x="33"/>
        <item x="7"/>
        <item x="102"/>
        <item x="51"/>
        <item x="99"/>
        <item x="29"/>
        <item x="54"/>
        <item x="91"/>
        <item x="63"/>
        <item x="48"/>
        <item x="74"/>
        <item x="62"/>
        <item x="70"/>
        <item x="89"/>
        <item x="67"/>
        <item x="64"/>
        <item x="25"/>
        <item x="47"/>
        <item x="66"/>
        <item x="92"/>
        <item x="77"/>
        <item x="1"/>
        <item x="79"/>
        <item x="78"/>
        <item x="101"/>
        <item x="43"/>
        <item x="18"/>
        <item x="97"/>
        <item x="20"/>
        <item x="30"/>
        <item x="84"/>
        <item x="94"/>
        <item x="8"/>
        <item x="96"/>
        <item x="88"/>
        <item x="10"/>
        <item x="73"/>
        <item x="17"/>
        <item x="65"/>
        <item x="32"/>
        <item x="68"/>
        <item x="12"/>
        <item x="27"/>
        <item x="6"/>
        <item x="5"/>
        <item x="50"/>
        <item x="93"/>
        <item x="98"/>
        <item x="71"/>
        <item x="85"/>
        <item x="38"/>
        <item x="41"/>
        <item x="81"/>
        <item x="21"/>
        <item x="34"/>
        <item x="60"/>
        <item x="53"/>
        <item x="56"/>
        <item x="83"/>
        <item x="57"/>
        <item x="44"/>
        <item x="37"/>
        <item x="36"/>
        <item x="19"/>
        <item x="14"/>
        <item x="39"/>
        <item x="45"/>
        <item x="49"/>
        <item x="3"/>
        <item x="46"/>
        <item x="2"/>
        <item x="100"/>
        <item x="87"/>
        <item x="103"/>
        <item x="75"/>
        <item x="13"/>
        <item x="22"/>
        <item x="11"/>
        <item x="15"/>
        <item x="9"/>
        <item x="61"/>
        <item x="52"/>
        <item x="40"/>
        <item x="76"/>
        <item x="23"/>
        <item x="16"/>
        <item x="59"/>
        <item x="95"/>
        <item x="28"/>
        <item x="69"/>
        <item x="55"/>
        <item x="80"/>
        <item x="8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19">
        <item x="6"/>
        <item x="5"/>
        <item x="13"/>
        <item x="4"/>
        <item x="10"/>
        <item x="15"/>
        <item x="11"/>
        <item x="12"/>
        <item x="14"/>
        <item x="7"/>
        <item x="17"/>
        <item x="8"/>
        <item x="9"/>
        <item x="3"/>
        <item x="1"/>
        <item x="0"/>
        <item x="2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6">
    <i>
      <x/>
    </i>
    <i r="1">
      <x v="20"/>
    </i>
    <i r="1">
      <x v="24"/>
    </i>
    <i r="1">
      <x v="28"/>
    </i>
    <i r="1">
      <x v="43"/>
    </i>
    <i r="1">
      <x v="50"/>
    </i>
    <i r="1">
      <x v="51"/>
    </i>
    <i r="1">
      <x v="59"/>
    </i>
    <i r="1">
      <x v="72"/>
    </i>
    <i r="1">
      <x v="102"/>
    </i>
    <i>
      <x v="1"/>
    </i>
    <i r="1">
      <x v="8"/>
    </i>
    <i r="1">
      <x v="18"/>
    </i>
    <i r="1">
      <x v="40"/>
    </i>
    <i r="1">
      <x v="44"/>
    </i>
    <i r="1">
      <x v="47"/>
    </i>
    <i r="1">
      <x v="55"/>
    </i>
    <i r="1">
      <x v="76"/>
    </i>
    <i r="1">
      <x v="82"/>
    </i>
    <i r="1">
      <x v="88"/>
    </i>
    <i r="1">
      <x v="92"/>
    </i>
    <i>
      <x v="2"/>
    </i>
    <i r="1">
      <x v="3"/>
    </i>
    <i r="1">
      <x v="7"/>
    </i>
    <i r="1">
      <x v="31"/>
    </i>
    <i r="1">
      <x v="65"/>
    </i>
    <i r="1">
      <x v="83"/>
    </i>
    <i r="1">
      <x v="99"/>
    </i>
    <i>
      <x v="3"/>
    </i>
    <i r="1">
      <x v="10"/>
    </i>
    <i r="1">
      <x v="22"/>
    </i>
    <i r="1">
      <x v="60"/>
    </i>
    <i r="1">
      <x v="73"/>
    </i>
    <i r="1">
      <x v="78"/>
    </i>
    <i>
      <x v="4"/>
    </i>
    <i r="1">
      <x v="16"/>
    </i>
    <i r="1">
      <x v="17"/>
    </i>
    <i r="1">
      <x v="37"/>
    </i>
    <i r="1">
      <x v="48"/>
    </i>
    <i r="1">
      <x v="53"/>
    </i>
    <i r="1">
      <x v="61"/>
    </i>
    <i r="1">
      <x v="62"/>
    </i>
    <i>
      <x v="5"/>
    </i>
    <i r="1">
      <x v="30"/>
    </i>
    <i r="1">
      <x v="56"/>
    </i>
    <i>
      <x v="6"/>
    </i>
    <i r="1">
      <x v="23"/>
    </i>
    <i r="1">
      <x v="25"/>
    </i>
    <i r="1">
      <x v="39"/>
    </i>
    <i r="1">
      <x v="41"/>
    </i>
    <i r="1">
      <x v="58"/>
    </i>
    <i r="1">
      <x v="66"/>
    </i>
    <i r="1">
      <x v="67"/>
    </i>
    <i r="1">
      <x v="68"/>
    </i>
    <i r="1">
      <x v="87"/>
    </i>
    <i r="1">
      <x v="95"/>
    </i>
    <i r="1">
      <x v="97"/>
    </i>
    <i r="1">
      <x v="101"/>
    </i>
    <i>
      <x v="7"/>
    </i>
    <i r="1">
      <x v="27"/>
    </i>
    <i>
      <x v="8"/>
    </i>
    <i r="1">
      <x v="71"/>
    </i>
    <i r="1">
      <x v="77"/>
    </i>
    <i r="1">
      <x v="84"/>
    </i>
    <i>
      <x v="9"/>
    </i>
    <i r="1">
      <x v="46"/>
    </i>
    <i>
      <x v="10"/>
    </i>
    <i r="1">
      <x v="29"/>
    </i>
    <i r="1">
      <x v="100"/>
    </i>
    <i>
      <x v="11"/>
    </i>
    <i r="1">
      <x/>
    </i>
    <i r="1">
      <x v="8"/>
    </i>
    <i r="1">
      <x v="11"/>
    </i>
    <i r="1">
      <x v="56"/>
    </i>
    <i r="1">
      <x v="86"/>
    </i>
    <i>
      <x v="12"/>
    </i>
    <i r="1">
      <x v="74"/>
    </i>
    <i r="1">
      <x v="89"/>
    </i>
    <i>
      <x v="13"/>
    </i>
    <i r="1">
      <x v="1"/>
    </i>
    <i r="1">
      <x v="6"/>
    </i>
    <i r="1">
      <x v="46"/>
    </i>
    <i r="1">
      <x v="57"/>
    </i>
    <i r="1">
      <x v="63"/>
    </i>
    <i r="1">
      <x v="64"/>
    </i>
    <i r="1">
      <x v="75"/>
    </i>
    <i r="1">
      <x v="79"/>
    </i>
    <i r="1">
      <x v="91"/>
    </i>
    <i r="1">
      <x v="98"/>
    </i>
    <i>
      <x v="14"/>
    </i>
    <i r="1">
      <x v="9"/>
    </i>
    <i r="1">
      <x v="12"/>
    </i>
    <i r="1">
      <x v="13"/>
    </i>
    <i r="1">
      <x v="21"/>
    </i>
    <i r="1">
      <x v="32"/>
    </i>
    <i r="1">
      <x v="33"/>
    </i>
    <i r="1">
      <x v="69"/>
    </i>
    <i r="1">
      <x v="90"/>
    </i>
    <i r="1">
      <x v="93"/>
    </i>
    <i r="1">
      <x v="94"/>
    </i>
    <i r="1">
      <x v="103"/>
    </i>
    <i>
      <x v="15"/>
    </i>
    <i r="1">
      <x v="4"/>
    </i>
    <i r="1">
      <x v="5"/>
    </i>
    <i r="1">
      <x v="34"/>
    </i>
    <i r="1">
      <x v="36"/>
    </i>
    <i r="1">
      <x v="42"/>
    </i>
    <i r="1">
      <x v="49"/>
    </i>
    <i r="1">
      <x v="52"/>
    </i>
    <i r="1">
      <x v="54"/>
    </i>
    <i r="1">
      <x v="80"/>
    </i>
    <i>
      <x v="16"/>
    </i>
    <i r="1">
      <x v="2"/>
    </i>
    <i r="1">
      <x v="14"/>
    </i>
    <i r="1">
      <x v="15"/>
    </i>
    <i r="1">
      <x v="35"/>
    </i>
    <i r="1">
      <x v="38"/>
    </i>
    <i r="1">
      <x v="70"/>
    </i>
    <i r="1">
      <x v="81"/>
    </i>
    <i r="1">
      <x v="96"/>
    </i>
    <i>
      <x v="17"/>
    </i>
    <i r="1">
      <x v="19"/>
    </i>
    <i r="1">
      <x v="26"/>
    </i>
    <i r="1">
      <x v="45"/>
    </i>
    <i r="1">
      <x v="8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47">
      <pivotArea outline="0" collapsedLevelsAreSubtotals="1" fieldPosition="0"/>
    </format>
    <format dxfId="45">
      <pivotArea dataOnly="0" labelOnly="1" outline="0" fieldPosition="0">
        <references count="1">
          <reference field="5" count="0"/>
        </references>
      </pivotArea>
    </format>
    <format dxfId="42">
      <pivotArea dataOnly="0" labelOnly="1" outline="0" axis="axisValues" fieldPosition="0"/>
    </format>
    <format dxfId="40">
      <pivotArea collapsedLevelsAreSubtotals="1" fieldPosition="0">
        <references count="2">
          <reference field="4" count="1">
            <x v="102"/>
          </reference>
          <reference field="6" count="1" selected="0">
            <x v="0"/>
          </reference>
        </references>
      </pivotArea>
    </format>
    <format dxfId="39">
      <pivotArea collapsedLevelsAreSubtotals="1" fieldPosition="0">
        <references count="2">
          <reference field="4" count="1">
            <x v="22"/>
          </reference>
          <reference field="6" count="1" selected="0">
            <x v="3"/>
          </reference>
        </references>
      </pivotArea>
    </format>
    <format dxfId="38">
      <pivotArea collapsedLevelsAreSubtotals="1" fieldPosition="0">
        <references count="2">
          <reference field="4" count="1">
            <x v="73"/>
          </reference>
          <reference field="6" count="1" selected="0">
            <x v="3"/>
          </reference>
        </references>
      </pivotArea>
    </format>
    <format dxfId="37">
      <pivotArea collapsedLevelsAreSubtotals="1" fieldPosition="0">
        <references count="2">
          <reference field="4" count="1">
            <x v="48"/>
          </reference>
          <reference field="6" count="1" selected="0">
            <x v="4"/>
          </reference>
        </references>
      </pivotArea>
    </format>
    <format dxfId="36">
      <pivotArea collapsedLevelsAreSubtotals="1" fieldPosition="0">
        <references count="2">
          <reference field="4" count="1">
            <x v="68"/>
          </reference>
          <reference field="6" count="1" selected="0">
            <x v="6"/>
          </reference>
        </references>
      </pivotArea>
    </format>
    <format dxfId="35">
      <pivotArea collapsedLevelsAreSubtotals="1" fieldPosition="0">
        <references count="2">
          <reference field="4" count="1">
            <x v="95"/>
          </reference>
          <reference field="6" count="1" selected="0">
            <x v="6"/>
          </reference>
        </references>
      </pivotArea>
    </format>
    <format dxfId="34">
      <pivotArea collapsedLevelsAreSubtotals="1" fieldPosition="0">
        <references count="2">
          <reference field="4" count="1">
            <x v="46"/>
          </reference>
          <reference field="6" count="1" selected="0">
            <x v="9"/>
          </reference>
        </references>
      </pivotArea>
    </format>
    <format dxfId="33">
      <pivotArea collapsedLevelsAreSubtotals="1" fieldPosition="0">
        <references count="2">
          <reference field="4" count="1">
            <x v="56"/>
          </reference>
          <reference field="6" count="1" selected="0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278C-7B47-4B7D-BC21-F11B3FBDB0CC}">
  <dimension ref="A1:B129"/>
  <sheetViews>
    <sheetView tabSelected="1" zoomScale="112" zoomScaleNormal="112" workbookViewId="0">
      <selection activeCell="E14" sqref="E14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496</v>
      </c>
    </row>
    <row r="3" spans="1:2" x14ac:dyDescent="0.25">
      <c r="A3" s="5" t="s">
        <v>494</v>
      </c>
      <c r="B3" s="11" t="s">
        <v>497</v>
      </c>
    </row>
    <row r="4" spans="1:2" x14ac:dyDescent="0.25">
      <c r="A4" s="6" t="s">
        <v>70</v>
      </c>
      <c r="B4" s="11">
        <v>15198330.09</v>
      </c>
    </row>
    <row r="5" spans="1:2" x14ac:dyDescent="0.25">
      <c r="A5" s="7" t="s">
        <v>240</v>
      </c>
      <c r="B5" s="11">
        <v>890000</v>
      </c>
    </row>
    <row r="6" spans="1:2" x14ac:dyDescent="0.25">
      <c r="A6" s="7" t="s">
        <v>429</v>
      </c>
      <c r="B6" s="11">
        <v>1150000.07</v>
      </c>
    </row>
    <row r="7" spans="1:2" x14ac:dyDescent="0.25">
      <c r="A7" s="7" t="s">
        <v>238</v>
      </c>
      <c r="B7" s="11">
        <v>905000.01</v>
      </c>
    </row>
    <row r="8" spans="1:2" x14ac:dyDescent="0.25">
      <c r="A8" s="7" t="s">
        <v>69</v>
      </c>
      <c r="B8" s="11">
        <v>300000.01</v>
      </c>
    </row>
    <row r="9" spans="1:2" x14ac:dyDescent="0.25">
      <c r="A9" s="7" t="s">
        <v>173</v>
      </c>
      <c r="B9" s="11">
        <v>5096000</v>
      </c>
    </row>
    <row r="10" spans="1:2" x14ac:dyDescent="0.25">
      <c r="A10" s="7" t="s">
        <v>315</v>
      </c>
      <c r="B10" s="11">
        <v>4700000</v>
      </c>
    </row>
    <row r="11" spans="1:2" x14ac:dyDescent="0.25">
      <c r="A11" s="7" t="s">
        <v>213</v>
      </c>
      <c r="B11" s="11">
        <v>1318680</v>
      </c>
    </row>
    <row r="12" spans="1:2" x14ac:dyDescent="0.25">
      <c r="A12" s="7" t="s">
        <v>194</v>
      </c>
      <c r="B12" s="11">
        <v>682650</v>
      </c>
    </row>
    <row r="13" spans="1:2" x14ac:dyDescent="0.25">
      <c r="A13" s="7" t="s">
        <v>373</v>
      </c>
      <c r="B13" s="12">
        <v>156000</v>
      </c>
    </row>
    <row r="14" spans="1:2" x14ac:dyDescent="0.25">
      <c r="A14" s="6" t="s">
        <v>58</v>
      </c>
      <c r="B14" s="11">
        <v>18153564.969999999</v>
      </c>
    </row>
    <row r="15" spans="1:2" x14ac:dyDescent="0.25">
      <c r="A15" s="7" t="s">
        <v>134</v>
      </c>
      <c r="B15" s="11">
        <v>6497500</v>
      </c>
    </row>
    <row r="16" spans="1:2" x14ac:dyDescent="0.25">
      <c r="A16" s="7" t="s">
        <v>441</v>
      </c>
      <c r="B16" s="11">
        <v>500000</v>
      </c>
    </row>
    <row r="17" spans="1:2" x14ac:dyDescent="0.25">
      <c r="A17" s="7" t="s">
        <v>167</v>
      </c>
      <c r="B17" s="11">
        <v>536130</v>
      </c>
    </row>
    <row r="18" spans="1:2" x14ac:dyDescent="0.25">
      <c r="A18" s="7" t="s">
        <v>458</v>
      </c>
      <c r="B18" s="11">
        <v>720000</v>
      </c>
    </row>
    <row r="19" spans="1:2" x14ac:dyDescent="0.25">
      <c r="A19" s="7" t="s">
        <v>335</v>
      </c>
      <c r="B19" s="11">
        <v>466200</v>
      </c>
    </row>
    <row r="20" spans="1:2" x14ac:dyDescent="0.25">
      <c r="A20" s="7" t="s">
        <v>57</v>
      </c>
      <c r="B20" s="11">
        <v>1902350.01</v>
      </c>
    </row>
    <row r="21" spans="1:2" x14ac:dyDescent="0.25">
      <c r="A21" s="7" t="s">
        <v>201</v>
      </c>
      <c r="B21" s="11">
        <v>4007779.96</v>
      </c>
    </row>
    <row r="22" spans="1:2" x14ac:dyDescent="0.25">
      <c r="A22" s="7" t="s">
        <v>474</v>
      </c>
      <c r="B22" s="11">
        <v>486180</v>
      </c>
    </row>
    <row r="23" spans="1:2" x14ac:dyDescent="0.25">
      <c r="A23" s="7" t="s">
        <v>87</v>
      </c>
      <c r="B23" s="11">
        <v>637425</v>
      </c>
    </row>
    <row r="24" spans="1:2" x14ac:dyDescent="0.25">
      <c r="A24" s="7" t="s">
        <v>255</v>
      </c>
      <c r="B24" s="11">
        <v>2400000</v>
      </c>
    </row>
    <row r="25" spans="1:2" x14ac:dyDescent="0.25">
      <c r="A25" s="6" t="s">
        <v>155</v>
      </c>
      <c r="B25" s="11">
        <v>6112832.2100000009</v>
      </c>
    </row>
    <row r="26" spans="1:2" x14ac:dyDescent="0.25">
      <c r="A26" s="7" t="s">
        <v>330</v>
      </c>
      <c r="B26" s="11">
        <v>2625000.15</v>
      </c>
    </row>
    <row r="27" spans="1:2" x14ac:dyDescent="0.25">
      <c r="A27" s="7" t="s">
        <v>433</v>
      </c>
      <c r="B27" s="11">
        <v>556790</v>
      </c>
    </row>
    <row r="28" spans="1:2" x14ac:dyDescent="0.25">
      <c r="A28" s="7" t="s">
        <v>352</v>
      </c>
      <c r="B28" s="11">
        <v>987452</v>
      </c>
    </row>
    <row r="29" spans="1:2" x14ac:dyDescent="0.25">
      <c r="A29" s="7" t="s">
        <v>181</v>
      </c>
      <c r="B29" s="11">
        <v>606060</v>
      </c>
    </row>
    <row r="30" spans="1:2" x14ac:dyDescent="0.25">
      <c r="A30" s="7" t="s">
        <v>410</v>
      </c>
      <c r="B30" s="11">
        <v>380730</v>
      </c>
    </row>
    <row r="31" spans="1:2" x14ac:dyDescent="0.25">
      <c r="A31" s="7" t="s">
        <v>154</v>
      </c>
      <c r="B31" s="11">
        <v>956800.06</v>
      </c>
    </row>
    <row r="32" spans="1:2" x14ac:dyDescent="0.25">
      <c r="A32" s="6" t="s">
        <v>32</v>
      </c>
      <c r="B32" s="11">
        <v>7654000.0000000009</v>
      </c>
    </row>
    <row r="33" spans="1:2" x14ac:dyDescent="0.25">
      <c r="A33" s="7" t="s">
        <v>51</v>
      </c>
      <c r="B33" s="11">
        <v>4424999.99</v>
      </c>
    </row>
    <row r="34" spans="1:2" x14ac:dyDescent="0.25">
      <c r="A34" s="7" t="s">
        <v>284</v>
      </c>
      <c r="B34" s="12">
        <v>280000</v>
      </c>
    </row>
    <row r="35" spans="1:2" x14ac:dyDescent="0.25">
      <c r="A35" s="7" t="s">
        <v>402</v>
      </c>
      <c r="B35" s="11">
        <v>943999.98</v>
      </c>
    </row>
    <row r="36" spans="1:2" x14ac:dyDescent="0.25">
      <c r="A36" s="7" t="s">
        <v>190</v>
      </c>
      <c r="B36" s="12">
        <v>235000</v>
      </c>
    </row>
    <row r="37" spans="1:2" x14ac:dyDescent="0.25">
      <c r="A37" s="7" t="s">
        <v>243</v>
      </c>
      <c r="B37" s="11">
        <v>1770000.03</v>
      </c>
    </row>
    <row r="38" spans="1:2" x14ac:dyDescent="0.25">
      <c r="A38" s="6" t="s">
        <v>19</v>
      </c>
      <c r="B38" s="11">
        <v>31471539.670000002</v>
      </c>
    </row>
    <row r="39" spans="1:2" x14ac:dyDescent="0.25">
      <c r="A39" s="7" t="s">
        <v>160</v>
      </c>
      <c r="B39" s="11">
        <v>18660000</v>
      </c>
    </row>
    <row r="40" spans="1:2" x14ac:dyDescent="0.25">
      <c r="A40" s="7" t="s">
        <v>260</v>
      </c>
      <c r="B40" s="11">
        <v>327450</v>
      </c>
    </row>
    <row r="41" spans="1:2" x14ac:dyDescent="0.25">
      <c r="A41" s="7" t="s">
        <v>113</v>
      </c>
      <c r="B41" s="11">
        <v>666000</v>
      </c>
    </row>
    <row r="42" spans="1:2" x14ac:dyDescent="0.25">
      <c r="A42" s="7" t="s">
        <v>111</v>
      </c>
      <c r="B42" s="12">
        <v>241500.01</v>
      </c>
    </row>
    <row r="43" spans="1:2" x14ac:dyDescent="0.25">
      <c r="A43" s="7" t="s">
        <v>152</v>
      </c>
      <c r="B43" s="11">
        <v>945000</v>
      </c>
    </row>
    <row r="44" spans="1:2" x14ac:dyDescent="0.25">
      <c r="A44" s="7" t="s">
        <v>196</v>
      </c>
      <c r="B44" s="11">
        <v>3011589.95</v>
      </c>
    </row>
    <row r="45" spans="1:2" x14ac:dyDescent="0.25">
      <c r="A45" s="7" t="s">
        <v>217</v>
      </c>
      <c r="B45" s="11">
        <v>7619999.71</v>
      </c>
    </row>
    <row r="46" spans="1:2" x14ac:dyDescent="0.25">
      <c r="A46" s="6" t="s">
        <v>246</v>
      </c>
      <c r="B46" s="11">
        <v>1166339.98</v>
      </c>
    </row>
    <row r="47" spans="1:2" x14ac:dyDescent="0.25">
      <c r="A47" s="7" t="s">
        <v>245</v>
      </c>
      <c r="B47" s="11">
        <v>765000</v>
      </c>
    </row>
    <row r="48" spans="1:2" x14ac:dyDescent="0.25">
      <c r="A48" s="7" t="s">
        <v>248</v>
      </c>
      <c r="B48" s="11">
        <v>401339.98</v>
      </c>
    </row>
    <row r="49" spans="1:2" x14ac:dyDescent="0.25">
      <c r="A49" s="6" t="s">
        <v>124</v>
      </c>
      <c r="B49" s="11">
        <v>18187640.030000001</v>
      </c>
    </row>
    <row r="50" spans="1:2" x14ac:dyDescent="0.25">
      <c r="A50" s="7" t="s">
        <v>319</v>
      </c>
      <c r="B50" s="11">
        <v>2100000</v>
      </c>
    </row>
    <row r="51" spans="1:2" x14ac:dyDescent="0.25">
      <c r="A51" s="7" t="s">
        <v>310</v>
      </c>
      <c r="B51" s="11">
        <v>2817500</v>
      </c>
    </row>
    <row r="52" spans="1:2" x14ac:dyDescent="0.25">
      <c r="A52" s="7" t="s">
        <v>123</v>
      </c>
      <c r="B52" s="11">
        <v>4079400.03</v>
      </c>
    </row>
    <row r="53" spans="1:2" x14ac:dyDescent="0.25">
      <c r="A53" s="7" t="s">
        <v>394</v>
      </c>
      <c r="B53" s="11">
        <v>528000</v>
      </c>
    </row>
    <row r="54" spans="1:2" x14ac:dyDescent="0.25">
      <c r="A54" s="7" t="s">
        <v>277</v>
      </c>
      <c r="B54" s="11">
        <v>1302000</v>
      </c>
    </row>
    <row r="55" spans="1:2" x14ac:dyDescent="0.25">
      <c r="A55" s="7" t="s">
        <v>280</v>
      </c>
      <c r="B55" s="11">
        <v>4155000</v>
      </c>
    </row>
    <row r="56" spans="1:2" x14ac:dyDescent="0.25">
      <c r="A56" s="7" t="s">
        <v>258</v>
      </c>
      <c r="B56" s="11">
        <v>571350</v>
      </c>
    </row>
    <row r="57" spans="1:2" x14ac:dyDescent="0.25">
      <c r="A57" s="7" t="s">
        <v>266</v>
      </c>
      <c r="B57" s="12">
        <v>159840</v>
      </c>
    </row>
    <row r="58" spans="1:2" x14ac:dyDescent="0.25">
      <c r="A58" s="7" t="s">
        <v>130</v>
      </c>
      <c r="B58" s="11">
        <v>1200000</v>
      </c>
    </row>
    <row r="59" spans="1:2" x14ac:dyDescent="0.25">
      <c r="A59" s="7" t="s">
        <v>132</v>
      </c>
      <c r="B59" s="12">
        <v>230000</v>
      </c>
    </row>
    <row r="60" spans="1:2" x14ac:dyDescent="0.25">
      <c r="A60" s="7" t="s">
        <v>276</v>
      </c>
      <c r="B60" s="11">
        <v>595000</v>
      </c>
    </row>
    <row r="61" spans="1:2" x14ac:dyDescent="0.25">
      <c r="A61" s="7" t="s">
        <v>262</v>
      </c>
      <c r="B61" s="11">
        <v>449550</v>
      </c>
    </row>
    <row r="62" spans="1:2" x14ac:dyDescent="0.25">
      <c r="A62" s="6" t="s">
        <v>144</v>
      </c>
      <c r="B62" s="11">
        <v>333000</v>
      </c>
    </row>
    <row r="63" spans="1:2" x14ac:dyDescent="0.25">
      <c r="A63" s="7" t="s">
        <v>143</v>
      </c>
      <c r="B63" s="11">
        <v>333000</v>
      </c>
    </row>
    <row r="64" spans="1:2" x14ac:dyDescent="0.25">
      <c r="A64" s="6" t="s">
        <v>140</v>
      </c>
      <c r="B64" s="11">
        <v>5094398.95</v>
      </c>
    </row>
    <row r="65" spans="1:2" x14ac:dyDescent="0.25">
      <c r="A65" s="7" t="s">
        <v>224</v>
      </c>
      <c r="B65" s="11">
        <v>494949</v>
      </c>
    </row>
    <row r="66" spans="1:2" x14ac:dyDescent="0.25">
      <c r="A66" s="7" t="s">
        <v>212</v>
      </c>
      <c r="B66" s="11">
        <v>549450</v>
      </c>
    </row>
    <row r="67" spans="1:2" x14ac:dyDescent="0.25">
      <c r="A67" s="7" t="s">
        <v>489</v>
      </c>
      <c r="B67" s="11">
        <v>4049999.95</v>
      </c>
    </row>
    <row r="68" spans="1:2" x14ac:dyDescent="0.25">
      <c r="A68" s="6" t="s">
        <v>81</v>
      </c>
      <c r="B68" s="11">
        <v>47730</v>
      </c>
    </row>
    <row r="69" spans="1:2" x14ac:dyDescent="0.25">
      <c r="A69" s="7" t="s">
        <v>80</v>
      </c>
      <c r="B69" s="12">
        <v>47730</v>
      </c>
    </row>
    <row r="70" spans="1:2" x14ac:dyDescent="0.25">
      <c r="A70" s="6" t="s">
        <v>303</v>
      </c>
      <c r="B70" s="11">
        <v>3013279.9699999997</v>
      </c>
    </row>
    <row r="71" spans="1:2" x14ac:dyDescent="0.25">
      <c r="A71" s="7" t="s">
        <v>302</v>
      </c>
      <c r="B71" s="11">
        <v>236600.01</v>
      </c>
    </row>
    <row r="72" spans="1:2" x14ac:dyDescent="0.25">
      <c r="A72" s="7" t="s">
        <v>317</v>
      </c>
      <c r="B72" s="11">
        <v>2776679.96</v>
      </c>
    </row>
    <row r="73" spans="1:2" x14ac:dyDescent="0.25">
      <c r="A73" s="6" t="s">
        <v>98</v>
      </c>
      <c r="B73" s="11">
        <v>2932890.0700000003</v>
      </c>
    </row>
    <row r="74" spans="1:2" x14ac:dyDescent="0.25">
      <c r="A74" s="7" t="s">
        <v>183</v>
      </c>
      <c r="B74" s="11">
        <v>1345320</v>
      </c>
    </row>
    <row r="75" spans="1:2" x14ac:dyDescent="0.25">
      <c r="A75" s="7" t="s">
        <v>134</v>
      </c>
      <c r="B75" s="11">
        <v>694170</v>
      </c>
    </row>
    <row r="76" spans="1:2" x14ac:dyDescent="0.25">
      <c r="A76" s="7" t="s">
        <v>178</v>
      </c>
      <c r="B76" s="11">
        <v>306600.03000000003</v>
      </c>
    </row>
    <row r="77" spans="1:2" x14ac:dyDescent="0.25">
      <c r="A77" s="7" t="s">
        <v>248</v>
      </c>
      <c r="B77" s="12">
        <v>178000</v>
      </c>
    </row>
    <row r="78" spans="1:2" x14ac:dyDescent="0.25">
      <c r="A78" s="7" t="s">
        <v>97</v>
      </c>
      <c r="B78" s="11">
        <v>408800.04</v>
      </c>
    </row>
    <row r="79" spans="1:2" x14ac:dyDescent="0.25">
      <c r="A79" s="6" t="s">
        <v>105</v>
      </c>
      <c r="B79" s="11">
        <v>1993200.03</v>
      </c>
    </row>
    <row r="80" spans="1:2" x14ac:dyDescent="0.25">
      <c r="A80" s="7" t="s">
        <v>119</v>
      </c>
      <c r="B80" s="11">
        <v>313199.93</v>
      </c>
    </row>
    <row r="81" spans="1:2" x14ac:dyDescent="0.25">
      <c r="A81" s="7" t="s">
        <v>104</v>
      </c>
      <c r="B81" s="11">
        <v>1680000.1</v>
      </c>
    </row>
    <row r="82" spans="1:2" x14ac:dyDescent="0.25">
      <c r="A82" s="6" t="s">
        <v>46</v>
      </c>
      <c r="B82" s="11">
        <v>9222157.0600000005</v>
      </c>
    </row>
    <row r="83" spans="1:2" x14ac:dyDescent="0.25">
      <c r="A83" s="7" t="s">
        <v>273</v>
      </c>
      <c r="B83" s="11">
        <v>606060</v>
      </c>
    </row>
    <row r="84" spans="1:2" x14ac:dyDescent="0.25">
      <c r="A84" s="7" t="s">
        <v>150</v>
      </c>
      <c r="B84" s="11">
        <v>315000</v>
      </c>
    </row>
    <row r="85" spans="1:2" x14ac:dyDescent="0.25">
      <c r="A85" s="7" t="s">
        <v>80</v>
      </c>
      <c r="B85" s="11">
        <v>570000</v>
      </c>
    </row>
    <row r="86" spans="1:2" x14ac:dyDescent="0.25">
      <c r="A86" s="7" t="s">
        <v>447</v>
      </c>
      <c r="B86" s="11">
        <v>465000</v>
      </c>
    </row>
    <row r="87" spans="1:2" x14ac:dyDescent="0.25">
      <c r="A87" s="7" t="s">
        <v>378</v>
      </c>
      <c r="B87" s="11">
        <v>482517</v>
      </c>
    </row>
    <row r="88" spans="1:2" x14ac:dyDescent="0.25">
      <c r="A88" s="7" t="s">
        <v>128</v>
      </c>
      <c r="B88" s="11">
        <v>3200000</v>
      </c>
    </row>
    <row r="89" spans="1:2" x14ac:dyDescent="0.25">
      <c r="A89" s="7" t="s">
        <v>102</v>
      </c>
      <c r="B89" s="11">
        <v>1800000.06</v>
      </c>
    </row>
    <row r="90" spans="1:2" x14ac:dyDescent="0.25">
      <c r="A90" s="7" t="s">
        <v>44</v>
      </c>
      <c r="B90" s="11">
        <v>536130</v>
      </c>
    </row>
    <row r="91" spans="1:2" x14ac:dyDescent="0.25">
      <c r="A91" s="7" t="s">
        <v>282</v>
      </c>
      <c r="B91" s="11">
        <v>327450</v>
      </c>
    </row>
    <row r="92" spans="1:2" x14ac:dyDescent="0.25">
      <c r="A92" s="7" t="s">
        <v>454</v>
      </c>
      <c r="B92" s="11">
        <v>920000</v>
      </c>
    </row>
    <row r="93" spans="1:2" x14ac:dyDescent="0.25">
      <c r="A93" s="6" t="s">
        <v>35</v>
      </c>
      <c r="B93" s="11">
        <v>24763800.349999998</v>
      </c>
    </row>
    <row r="94" spans="1:2" x14ac:dyDescent="0.25">
      <c r="A94" s="7" t="s">
        <v>170</v>
      </c>
      <c r="B94" s="11">
        <v>1052000</v>
      </c>
    </row>
    <row r="95" spans="1:2" x14ac:dyDescent="0.25">
      <c r="A95" s="7" t="s">
        <v>64</v>
      </c>
      <c r="B95" s="11">
        <v>3163500</v>
      </c>
    </row>
    <row r="96" spans="1:2" x14ac:dyDescent="0.25">
      <c r="A96" s="7" t="s">
        <v>485</v>
      </c>
      <c r="B96" s="11">
        <v>700000</v>
      </c>
    </row>
    <row r="97" spans="1:2" x14ac:dyDescent="0.25">
      <c r="A97" s="7" t="s">
        <v>339</v>
      </c>
      <c r="B97" s="11">
        <v>388000</v>
      </c>
    </row>
    <row r="98" spans="1:2" x14ac:dyDescent="0.25">
      <c r="A98" s="7" t="s">
        <v>34</v>
      </c>
      <c r="B98" s="11">
        <v>1837500</v>
      </c>
    </row>
    <row r="99" spans="1:2" x14ac:dyDescent="0.25">
      <c r="A99" s="7" t="s">
        <v>369</v>
      </c>
      <c r="B99" s="11">
        <v>313500</v>
      </c>
    </row>
    <row r="100" spans="1:2" x14ac:dyDescent="0.25">
      <c r="A100" s="7" t="s">
        <v>390</v>
      </c>
      <c r="B100" s="11">
        <v>4105000.3099999996</v>
      </c>
    </row>
    <row r="101" spans="1:2" x14ac:dyDescent="0.25">
      <c r="A101" s="7" t="s">
        <v>75</v>
      </c>
      <c r="B101" s="11">
        <v>7827300</v>
      </c>
    </row>
    <row r="102" spans="1:2" x14ac:dyDescent="0.25">
      <c r="A102" s="7" t="s">
        <v>215</v>
      </c>
      <c r="B102" s="11">
        <v>912000</v>
      </c>
    </row>
    <row r="103" spans="1:2" x14ac:dyDescent="0.25">
      <c r="A103" s="7" t="s">
        <v>348</v>
      </c>
      <c r="B103" s="11">
        <v>4125000.04</v>
      </c>
    </row>
    <row r="104" spans="1:2" x14ac:dyDescent="0.25">
      <c r="A104" s="7" t="s">
        <v>408</v>
      </c>
      <c r="B104" s="11">
        <v>340000</v>
      </c>
    </row>
    <row r="105" spans="1:2" x14ac:dyDescent="0.25">
      <c r="A105" s="6" t="s">
        <v>25</v>
      </c>
      <c r="B105" s="11">
        <v>19392070.32</v>
      </c>
    </row>
    <row r="106" spans="1:2" x14ac:dyDescent="0.25">
      <c r="A106" s="7" t="s">
        <v>219</v>
      </c>
      <c r="B106" s="11">
        <v>787500</v>
      </c>
    </row>
    <row r="107" spans="1:2" x14ac:dyDescent="0.25">
      <c r="A107" s="7" t="s">
        <v>24</v>
      </c>
      <c r="B107" s="11">
        <v>945000</v>
      </c>
    </row>
    <row r="108" spans="1:2" x14ac:dyDescent="0.25">
      <c r="A108" s="7" t="s">
        <v>363</v>
      </c>
      <c r="B108" s="11">
        <v>959040</v>
      </c>
    </row>
    <row r="109" spans="1:2" x14ac:dyDescent="0.25">
      <c r="A109" s="7" t="s">
        <v>221</v>
      </c>
      <c r="B109" s="11">
        <v>13078000.300000001</v>
      </c>
    </row>
    <row r="110" spans="1:2" x14ac:dyDescent="0.25">
      <c r="A110" s="7" t="s">
        <v>451</v>
      </c>
      <c r="B110" s="11">
        <v>312000</v>
      </c>
    </row>
    <row r="111" spans="1:2" x14ac:dyDescent="0.25">
      <c r="A111" s="7" t="s">
        <v>300</v>
      </c>
      <c r="B111" s="11">
        <v>327450</v>
      </c>
    </row>
    <row r="112" spans="1:2" x14ac:dyDescent="0.25">
      <c r="A112" s="7" t="s">
        <v>92</v>
      </c>
      <c r="B112" s="11">
        <v>606060</v>
      </c>
    </row>
    <row r="113" spans="1:2" x14ac:dyDescent="0.25">
      <c r="A113" s="7" t="s">
        <v>62</v>
      </c>
      <c r="B113" s="11">
        <v>1164900.02</v>
      </c>
    </row>
    <row r="114" spans="1:2" x14ac:dyDescent="0.25">
      <c r="A114" s="7" t="s">
        <v>236</v>
      </c>
      <c r="B114" s="11">
        <v>1212120</v>
      </c>
    </row>
    <row r="115" spans="1:2" x14ac:dyDescent="0.25">
      <c r="A115" s="6" t="s">
        <v>42</v>
      </c>
      <c r="B115" s="11">
        <v>6694160</v>
      </c>
    </row>
    <row r="116" spans="1:2" x14ac:dyDescent="0.25">
      <c r="A116" s="7" t="s">
        <v>380</v>
      </c>
      <c r="B116" s="11">
        <v>1726050</v>
      </c>
    </row>
    <row r="117" spans="1:2" x14ac:dyDescent="0.25">
      <c r="A117" s="7" t="s">
        <v>253</v>
      </c>
      <c r="B117" s="11">
        <v>560000</v>
      </c>
    </row>
    <row r="118" spans="1:2" x14ac:dyDescent="0.25">
      <c r="A118" s="7" t="s">
        <v>468</v>
      </c>
      <c r="B118" s="11">
        <v>294510</v>
      </c>
    </row>
    <row r="119" spans="1:2" x14ac:dyDescent="0.25">
      <c r="A119" s="7" t="s">
        <v>478</v>
      </c>
      <c r="B119" s="11">
        <v>220000</v>
      </c>
    </row>
    <row r="120" spans="1:2" x14ac:dyDescent="0.25">
      <c r="A120" s="7" t="s">
        <v>464</v>
      </c>
      <c r="B120" s="11">
        <v>720000</v>
      </c>
    </row>
    <row r="121" spans="1:2" x14ac:dyDescent="0.25">
      <c r="A121" s="7" t="s">
        <v>270</v>
      </c>
      <c r="B121" s="11">
        <v>554000</v>
      </c>
    </row>
    <row r="122" spans="1:2" x14ac:dyDescent="0.25">
      <c r="A122" s="7" t="s">
        <v>41</v>
      </c>
      <c r="B122" s="11">
        <v>1309800</v>
      </c>
    </row>
    <row r="123" spans="1:2" x14ac:dyDescent="0.25">
      <c r="A123" s="7" t="s">
        <v>109</v>
      </c>
      <c r="B123" s="11">
        <v>1309800</v>
      </c>
    </row>
    <row r="124" spans="1:2" x14ac:dyDescent="0.25">
      <c r="A124" s="6" t="s">
        <v>287</v>
      </c>
      <c r="B124" s="11">
        <v>12304000.379999999</v>
      </c>
    </row>
    <row r="125" spans="1:2" x14ac:dyDescent="0.25">
      <c r="A125" s="7" t="s">
        <v>286</v>
      </c>
      <c r="B125" s="11">
        <v>1240000.0900000001</v>
      </c>
    </row>
    <row r="126" spans="1:2" x14ac:dyDescent="0.25">
      <c r="A126" s="7" t="s">
        <v>292</v>
      </c>
      <c r="B126" s="11">
        <v>3724000.17</v>
      </c>
    </row>
    <row r="127" spans="1:2" x14ac:dyDescent="0.25">
      <c r="A127" s="7" t="s">
        <v>420</v>
      </c>
      <c r="B127" s="11">
        <v>5040000.12</v>
      </c>
    </row>
    <row r="128" spans="1:2" x14ac:dyDescent="0.25">
      <c r="A128" s="7" t="s">
        <v>344</v>
      </c>
      <c r="B128" s="11">
        <v>2300000</v>
      </c>
    </row>
    <row r="129" spans="1:2" x14ac:dyDescent="0.25">
      <c r="A129" s="6" t="s">
        <v>495</v>
      </c>
      <c r="B129" s="11">
        <v>183734934.08000004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4"/>
  <sheetViews>
    <sheetView topLeftCell="D1" workbookViewId="0">
      <pane ySplit="1" topLeftCell="A155" activePane="bottomLeft" state="frozen"/>
      <selection pane="bottomLeft" activeCell="M174" sqref="M174"/>
    </sheetView>
  </sheetViews>
  <sheetFormatPr defaultRowHeight="15" x14ac:dyDescent="0.25"/>
  <cols>
    <col min="1" max="1" width="12.5703125" style="1" customWidth="1"/>
    <col min="2" max="2" width="12.4257812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1.855468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46263</v>
      </c>
      <c r="B2" s="1">
        <v>46261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2</v>
      </c>
      <c r="K2" s="2" t="s">
        <v>28</v>
      </c>
      <c r="L2" s="3">
        <v>2</v>
      </c>
      <c r="M2" s="9">
        <v>630000</v>
      </c>
      <c r="N2" s="3">
        <v>0</v>
      </c>
      <c r="O2" s="2" t="s">
        <v>20</v>
      </c>
      <c r="P2" s="2" t="s">
        <v>21</v>
      </c>
      <c r="Q2" s="2" t="s">
        <v>29</v>
      </c>
    </row>
    <row r="3" spans="1:17" x14ac:dyDescent="0.25">
      <c r="A3" s="1">
        <v>46263</v>
      </c>
      <c r="B3" s="1">
        <v>46261</v>
      </c>
      <c r="C3" s="2" t="s">
        <v>23</v>
      </c>
      <c r="D3" s="2" t="s">
        <v>17</v>
      </c>
      <c r="E3" s="2" t="s">
        <v>24</v>
      </c>
      <c r="F3" s="2" t="s">
        <v>18</v>
      </c>
      <c r="G3" s="2" t="s">
        <v>25</v>
      </c>
      <c r="H3" s="2" t="s">
        <v>30</v>
      </c>
      <c r="I3" s="2" t="s">
        <v>31</v>
      </c>
      <c r="J3" s="3">
        <v>1</v>
      </c>
      <c r="K3" s="2" t="s">
        <v>28</v>
      </c>
      <c r="L3" s="3">
        <v>1</v>
      </c>
      <c r="M3" s="9">
        <v>315000</v>
      </c>
      <c r="N3" s="3">
        <v>0</v>
      </c>
      <c r="O3" s="2" t="s">
        <v>20</v>
      </c>
      <c r="P3" s="2" t="s">
        <v>21</v>
      </c>
      <c r="Q3" s="2" t="s">
        <v>29</v>
      </c>
    </row>
    <row r="4" spans="1:17" x14ac:dyDescent="0.25">
      <c r="A4" s="1">
        <v>46263</v>
      </c>
      <c r="B4" s="1">
        <v>46262</v>
      </c>
      <c r="C4" s="2" t="s">
        <v>33</v>
      </c>
      <c r="D4" s="2" t="s">
        <v>17</v>
      </c>
      <c r="E4" s="2" t="s">
        <v>34</v>
      </c>
      <c r="F4" s="2" t="s">
        <v>18</v>
      </c>
      <c r="G4" s="2" t="s">
        <v>35</v>
      </c>
      <c r="H4" s="2" t="s">
        <v>36</v>
      </c>
      <c r="I4" s="2" t="s">
        <v>37</v>
      </c>
      <c r="J4" s="3">
        <v>4</v>
      </c>
      <c r="K4" s="2" t="s">
        <v>38</v>
      </c>
      <c r="L4" s="3">
        <v>5.25</v>
      </c>
      <c r="M4" s="9">
        <v>1837500</v>
      </c>
      <c r="N4" s="3">
        <v>1.25</v>
      </c>
      <c r="O4" s="2" t="s">
        <v>20</v>
      </c>
      <c r="P4" s="2" t="s">
        <v>21</v>
      </c>
      <c r="Q4" s="2" t="s">
        <v>39</v>
      </c>
    </row>
    <row r="5" spans="1:17" x14ac:dyDescent="0.25">
      <c r="A5" s="1">
        <v>46263</v>
      </c>
      <c r="B5" s="1">
        <v>46262</v>
      </c>
      <c r="C5" s="2" t="s">
        <v>40</v>
      </c>
      <c r="D5" s="2" t="s">
        <v>17</v>
      </c>
      <c r="E5" s="2" t="s">
        <v>41</v>
      </c>
      <c r="F5" s="2" t="s">
        <v>18</v>
      </c>
      <c r="G5" s="2" t="s">
        <v>42</v>
      </c>
      <c r="H5" s="2" t="s">
        <v>26</v>
      </c>
      <c r="I5" s="2" t="s">
        <v>27</v>
      </c>
      <c r="J5" s="3">
        <v>4</v>
      </c>
      <c r="K5" s="2" t="s">
        <v>28</v>
      </c>
      <c r="L5" s="3">
        <v>4</v>
      </c>
      <c r="M5" s="9">
        <v>1309800</v>
      </c>
      <c r="N5" s="3">
        <v>0</v>
      </c>
      <c r="O5" s="2" t="s">
        <v>20</v>
      </c>
      <c r="P5" s="2" t="s">
        <v>21</v>
      </c>
      <c r="Q5" s="2" t="s">
        <v>22</v>
      </c>
    </row>
    <row r="6" spans="1:17" x14ac:dyDescent="0.25">
      <c r="A6" s="1">
        <v>46263</v>
      </c>
      <c r="B6" s="1">
        <v>46262</v>
      </c>
      <c r="C6" s="2" t="s">
        <v>43</v>
      </c>
      <c r="D6" s="2" t="s">
        <v>17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3">
        <v>4.5999999999999996</v>
      </c>
      <c r="K6" s="2" t="s">
        <v>38</v>
      </c>
      <c r="L6" s="3">
        <v>4.5999999999999996</v>
      </c>
      <c r="M6" s="9">
        <v>536130</v>
      </c>
      <c r="N6" s="3">
        <v>0</v>
      </c>
      <c r="O6" s="2" t="s">
        <v>20</v>
      </c>
      <c r="P6" s="2" t="s">
        <v>21</v>
      </c>
      <c r="Q6" s="2" t="s">
        <v>49</v>
      </c>
    </row>
    <row r="7" spans="1:17" x14ac:dyDescent="0.25">
      <c r="A7" s="1">
        <v>46263</v>
      </c>
      <c r="B7" s="1">
        <v>46262</v>
      </c>
      <c r="C7" s="2" t="s">
        <v>50</v>
      </c>
      <c r="D7" s="2" t="s">
        <v>17</v>
      </c>
      <c r="E7" s="2" t="s">
        <v>51</v>
      </c>
      <c r="F7" s="2" t="s">
        <v>45</v>
      </c>
      <c r="G7" s="2" t="s">
        <v>32</v>
      </c>
      <c r="H7" s="2" t="s">
        <v>52</v>
      </c>
      <c r="I7" s="2" t="s">
        <v>53</v>
      </c>
      <c r="J7" s="3">
        <v>15</v>
      </c>
      <c r="K7" s="2" t="s">
        <v>28</v>
      </c>
      <c r="L7" s="3">
        <v>15</v>
      </c>
      <c r="M7" s="9">
        <v>4424999.99</v>
      </c>
      <c r="N7" s="3">
        <v>0</v>
      </c>
      <c r="O7" s="2" t="s">
        <v>20</v>
      </c>
      <c r="P7" s="2" t="s">
        <v>21</v>
      </c>
      <c r="Q7" s="2" t="s">
        <v>22</v>
      </c>
    </row>
    <row r="8" spans="1:17" x14ac:dyDescent="0.25">
      <c r="A8" s="1">
        <v>46263</v>
      </c>
      <c r="B8" s="1">
        <v>46262</v>
      </c>
      <c r="C8" s="2" t="s">
        <v>56</v>
      </c>
      <c r="D8" s="2" t="s">
        <v>17</v>
      </c>
      <c r="E8" s="2" t="s">
        <v>57</v>
      </c>
      <c r="F8" s="2" t="s">
        <v>18</v>
      </c>
      <c r="G8" s="2" t="s">
        <v>58</v>
      </c>
      <c r="H8" s="2" t="s">
        <v>26</v>
      </c>
      <c r="I8" s="2" t="s">
        <v>27</v>
      </c>
      <c r="J8" s="3">
        <v>3</v>
      </c>
      <c r="K8" s="2" t="s">
        <v>28</v>
      </c>
      <c r="L8" s="3">
        <v>3</v>
      </c>
      <c r="M8" s="9">
        <v>982350</v>
      </c>
      <c r="N8" s="3">
        <v>0</v>
      </c>
      <c r="O8" s="2" t="s">
        <v>20</v>
      </c>
      <c r="P8" s="2" t="s">
        <v>21</v>
      </c>
      <c r="Q8" s="2" t="s">
        <v>22</v>
      </c>
    </row>
    <row r="9" spans="1:17" x14ac:dyDescent="0.25">
      <c r="A9" s="1">
        <v>46263</v>
      </c>
      <c r="B9" s="1">
        <v>46262</v>
      </c>
      <c r="C9" s="2" t="s">
        <v>56</v>
      </c>
      <c r="D9" s="2" t="s">
        <v>17</v>
      </c>
      <c r="E9" s="2" t="s">
        <v>57</v>
      </c>
      <c r="F9" s="2" t="s">
        <v>18</v>
      </c>
      <c r="G9" s="2" t="s">
        <v>58</v>
      </c>
      <c r="H9" s="2" t="s">
        <v>59</v>
      </c>
      <c r="I9" s="2" t="s">
        <v>60</v>
      </c>
      <c r="J9" s="3">
        <v>4</v>
      </c>
      <c r="K9" s="2" t="s">
        <v>28</v>
      </c>
      <c r="L9" s="3">
        <v>4</v>
      </c>
      <c r="M9" s="9">
        <v>920000.01</v>
      </c>
      <c r="N9" s="3">
        <v>0</v>
      </c>
      <c r="O9" s="2" t="s">
        <v>20</v>
      </c>
      <c r="P9" s="2" t="s">
        <v>21</v>
      </c>
      <c r="Q9" s="2" t="s">
        <v>22</v>
      </c>
    </row>
    <row r="10" spans="1:17" x14ac:dyDescent="0.25">
      <c r="A10" s="1">
        <v>46263</v>
      </c>
      <c r="B10" s="1">
        <v>46262</v>
      </c>
      <c r="C10" s="2" t="s">
        <v>61</v>
      </c>
      <c r="D10" s="2" t="s">
        <v>17</v>
      </c>
      <c r="E10" s="2" t="s">
        <v>62</v>
      </c>
      <c r="F10" s="2" t="s">
        <v>18</v>
      </c>
      <c r="G10" s="2" t="s">
        <v>25</v>
      </c>
      <c r="H10" s="2" t="s">
        <v>26</v>
      </c>
      <c r="I10" s="2" t="s">
        <v>27</v>
      </c>
      <c r="J10" s="3">
        <v>2</v>
      </c>
      <c r="K10" s="2" t="s">
        <v>28</v>
      </c>
      <c r="L10" s="3">
        <v>2</v>
      </c>
      <c r="M10" s="9">
        <v>654900</v>
      </c>
      <c r="N10" s="3">
        <v>0</v>
      </c>
      <c r="O10" s="2" t="s">
        <v>20</v>
      </c>
      <c r="P10" s="2" t="s">
        <v>21</v>
      </c>
      <c r="Q10" s="2" t="s">
        <v>22</v>
      </c>
    </row>
    <row r="11" spans="1:17" x14ac:dyDescent="0.25">
      <c r="A11" s="1">
        <v>46263</v>
      </c>
      <c r="B11" s="1">
        <v>46262</v>
      </c>
      <c r="C11" s="2" t="s">
        <v>63</v>
      </c>
      <c r="D11" s="2" t="s">
        <v>17</v>
      </c>
      <c r="E11" s="2" t="s">
        <v>64</v>
      </c>
      <c r="F11" s="2" t="s">
        <v>45</v>
      </c>
      <c r="G11" s="2" t="s">
        <v>35</v>
      </c>
      <c r="H11" s="2" t="s">
        <v>65</v>
      </c>
      <c r="I11" s="2" t="s">
        <v>66</v>
      </c>
      <c r="J11" s="3">
        <v>100</v>
      </c>
      <c r="K11" s="2" t="s">
        <v>38</v>
      </c>
      <c r="L11" s="3">
        <v>100</v>
      </c>
      <c r="M11" s="9">
        <v>3163500</v>
      </c>
      <c r="N11" s="3">
        <v>0</v>
      </c>
      <c r="O11" s="2" t="s">
        <v>20</v>
      </c>
      <c r="P11" s="2" t="s">
        <v>21</v>
      </c>
      <c r="Q11" s="2" t="s">
        <v>67</v>
      </c>
    </row>
    <row r="12" spans="1:17" x14ac:dyDescent="0.25">
      <c r="A12" s="1">
        <v>46263</v>
      </c>
      <c r="B12" s="1">
        <v>46262</v>
      </c>
      <c r="C12" s="2" t="s">
        <v>68</v>
      </c>
      <c r="D12" s="2" t="s">
        <v>17</v>
      </c>
      <c r="E12" s="2" t="s">
        <v>69</v>
      </c>
      <c r="F12" s="2" t="s">
        <v>45</v>
      </c>
      <c r="G12" s="2" t="s">
        <v>70</v>
      </c>
      <c r="H12" s="2" t="s">
        <v>71</v>
      </c>
      <c r="I12" s="2" t="s">
        <v>72</v>
      </c>
      <c r="J12" s="3">
        <v>2</v>
      </c>
      <c r="K12" s="2" t="s">
        <v>38</v>
      </c>
      <c r="L12" s="3">
        <v>2</v>
      </c>
      <c r="M12" s="9">
        <v>300000.01</v>
      </c>
      <c r="N12" s="3">
        <v>0</v>
      </c>
      <c r="O12" s="2" t="s">
        <v>20</v>
      </c>
      <c r="P12" s="2" t="s">
        <v>21</v>
      </c>
      <c r="Q12" s="2" t="s">
        <v>73</v>
      </c>
    </row>
    <row r="13" spans="1:17" x14ac:dyDescent="0.25">
      <c r="A13" s="1">
        <v>46263</v>
      </c>
      <c r="B13" s="1">
        <v>46262</v>
      </c>
      <c r="C13" s="2" t="s">
        <v>74</v>
      </c>
      <c r="D13" s="2" t="s">
        <v>17</v>
      </c>
      <c r="E13" s="2" t="s">
        <v>75</v>
      </c>
      <c r="F13" s="2" t="s">
        <v>18</v>
      </c>
      <c r="G13" s="2" t="s">
        <v>35</v>
      </c>
      <c r="H13" s="2" t="s">
        <v>76</v>
      </c>
      <c r="I13" s="2" t="s">
        <v>77</v>
      </c>
      <c r="J13" s="3">
        <v>40</v>
      </c>
      <c r="K13" s="2" t="s">
        <v>38</v>
      </c>
      <c r="L13" s="3">
        <v>40.14</v>
      </c>
      <c r="M13" s="9">
        <v>7827300</v>
      </c>
      <c r="N13" s="3">
        <v>0.14000000000000001</v>
      </c>
      <c r="O13" s="2" t="s">
        <v>20</v>
      </c>
      <c r="P13" s="2" t="s">
        <v>21</v>
      </c>
      <c r="Q13" s="2" t="s">
        <v>78</v>
      </c>
    </row>
    <row r="14" spans="1:17" x14ac:dyDescent="0.25">
      <c r="A14" s="1">
        <v>46263</v>
      </c>
      <c r="B14" s="1">
        <v>46262</v>
      </c>
      <c r="C14" s="2" t="s">
        <v>79</v>
      </c>
      <c r="D14" s="2" t="s">
        <v>17</v>
      </c>
      <c r="E14" s="2" t="s">
        <v>80</v>
      </c>
      <c r="F14" s="2" t="s">
        <v>45</v>
      </c>
      <c r="G14" s="2" t="s">
        <v>81</v>
      </c>
      <c r="H14" s="2" t="s">
        <v>82</v>
      </c>
      <c r="I14" s="2" t="s">
        <v>83</v>
      </c>
      <c r="J14" s="3">
        <v>1</v>
      </c>
      <c r="K14" s="2" t="s">
        <v>84</v>
      </c>
      <c r="L14" s="3">
        <v>1</v>
      </c>
      <c r="M14" s="9">
        <v>47730</v>
      </c>
      <c r="N14" s="3">
        <v>0</v>
      </c>
      <c r="O14" s="2" t="s">
        <v>20</v>
      </c>
      <c r="P14" s="2" t="s">
        <v>21</v>
      </c>
      <c r="Q14" s="2" t="s">
        <v>85</v>
      </c>
    </row>
    <row r="15" spans="1:17" x14ac:dyDescent="0.25">
      <c r="A15" s="1">
        <v>46263</v>
      </c>
      <c r="B15" s="1">
        <v>46262</v>
      </c>
      <c r="C15" s="2" t="s">
        <v>86</v>
      </c>
      <c r="D15" s="2" t="s">
        <v>17</v>
      </c>
      <c r="E15" s="2" t="s">
        <v>87</v>
      </c>
      <c r="F15" s="2" t="s">
        <v>45</v>
      </c>
      <c r="G15" s="2" t="s">
        <v>58</v>
      </c>
      <c r="H15" s="2" t="s">
        <v>88</v>
      </c>
      <c r="I15" s="2" t="s">
        <v>89</v>
      </c>
      <c r="J15" s="3">
        <v>5</v>
      </c>
      <c r="K15" s="2" t="s">
        <v>90</v>
      </c>
      <c r="L15" s="3">
        <v>5</v>
      </c>
      <c r="M15" s="9">
        <v>330000</v>
      </c>
      <c r="N15" s="3">
        <v>0</v>
      </c>
      <c r="O15" s="2" t="s">
        <v>20</v>
      </c>
      <c r="P15" s="2" t="s">
        <v>21</v>
      </c>
      <c r="Q15" s="2" t="s">
        <v>22</v>
      </c>
    </row>
    <row r="16" spans="1:17" x14ac:dyDescent="0.25">
      <c r="A16" s="1">
        <v>46263</v>
      </c>
      <c r="B16" s="1">
        <v>46262</v>
      </c>
      <c r="C16" s="2" t="s">
        <v>91</v>
      </c>
      <c r="D16" s="2" t="s">
        <v>17</v>
      </c>
      <c r="E16" s="2" t="s">
        <v>92</v>
      </c>
      <c r="F16" s="2" t="s">
        <v>45</v>
      </c>
      <c r="G16" s="2" t="s">
        <v>25</v>
      </c>
      <c r="H16" s="2" t="s">
        <v>93</v>
      </c>
      <c r="I16" s="2" t="s">
        <v>94</v>
      </c>
      <c r="J16" s="3">
        <v>12</v>
      </c>
      <c r="K16" s="2" t="s">
        <v>90</v>
      </c>
      <c r="L16" s="3">
        <v>12</v>
      </c>
      <c r="M16" s="9">
        <v>606060</v>
      </c>
      <c r="N16" s="3">
        <v>0</v>
      </c>
      <c r="O16" s="2" t="s">
        <v>20</v>
      </c>
      <c r="P16" s="2" t="s">
        <v>21</v>
      </c>
      <c r="Q16" s="2" t="s">
        <v>22</v>
      </c>
    </row>
    <row r="17" spans="1:17" x14ac:dyDescent="0.25">
      <c r="A17" s="1">
        <v>46263</v>
      </c>
      <c r="B17" s="1">
        <v>46262</v>
      </c>
      <c r="C17" s="2" t="s">
        <v>95</v>
      </c>
      <c r="D17" s="2" t="s">
        <v>17</v>
      </c>
      <c r="E17" s="2" t="s">
        <v>87</v>
      </c>
      <c r="F17" s="2" t="s">
        <v>45</v>
      </c>
      <c r="G17" s="2" t="s">
        <v>58</v>
      </c>
      <c r="H17" s="2" t="s">
        <v>93</v>
      </c>
      <c r="I17" s="2" t="s">
        <v>94</v>
      </c>
      <c r="J17" s="3">
        <v>2</v>
      </c>
      <c r="K17" s="2" t="s">
        <v>90</v>
      </c>
      <c r="L17" s="3">
        <v>2</v>
      </c>
      <c r="M17" s="9">
        <v>101010</v>
      </c>
      <c r="N17" s="3">
        <v>0</v>
      </c>
      <c r="O17" s="2" t="s">
        <v>20</v>
      </c>
      <c r="P17" s="2" t="s">
        <v>21</v>
      </c>
      <c r="Q17" s="2" t="s">
        <v>22</v>
      </c>
    </row>
    <row r="18" spans="1:17" x14ac:dyDescent="0.25">
      <c r="A18" s="1">
        <v>46263</v>
      </c>
      <c r="B18" s="1">
        <v>46262</v>
      </c>
      <c r="C18" s="2" t="s">
        <v>96</v>
      </c>
      <c r="D18" s="2" t="s">
        <v>17</v>
      </c>
      <c r="E18" s="2" t="s">
        <v>97</v>
      </c>
      <c r="F18" s="2" t="s">
        <v>18</v>
      </c>
      <c r="G18" s="2" t="s">
        <v>98</v>
      </c>
      <c r="H18" s="2" t="s">
        <v>99</v>
      </c>
      <c r="I18" s="2" t="s">
        <v>100</v>
      </c>
      <c r="J18" s="3">
        <v>8</v>
      </c>
      <c r="K18" s="2" t="s">
        <v>84</v>
      </c>
      <c r="L18" s="3">
        <v>8</v>
      </c>
      <c r="M18" s="9">
        <v>408800.04</v>
      </c>
      <c r="N18" s="3">
        <v>0</v>
      </c>
      <c r="O18" s="2" t="s">
        <v>20</v>
      </c>
      <c r="P18" s="2" t="s">
        <v>21</v>
      </c>
      <c r="Q18" s="2" t="s">
        <v>22</v>
      </c>
    </row>
    <row r="19" spans="1:17" x14ac:dyDescent="0.25">
      <c r="A19" s="1">
        <v>46263</v>
      </c>
      <c r="B19" s="1">
        <v>46262</v>
      </c>
      <c r="C19" s="2" t="s">
        <v>101</v>
      </c>
      <c r="D19" s="2" t="s">
        <v>17</v>
      </c>
      <c r="E19" s="2" t="s">
        <v>102</v>
      </c>
      <c r="F19" s="2" t="s">
        <v>18</v>
      </c>
      <c r="G19" s="2" t="s">
        <v>46</v>
      </c>
      <c r="H19" s="2" t="s">
        <v>26</v>
      </c>
      <c r="I19" s="2" t="s">
        <v>27</v>
      </c>
      <c r="J19" s="3">
        <v>2</v>
      </c>
      <c r="K19" s="2" t="s">
        <v>28</v>
      </c>
      <c r="L19" s="3">
        <v>2</v>
      </c>
      <c r="M19" s="9">
        <v>600000.02</v>
      </c>
      <c r="N19" s="3">
        <v>0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46263</v>
      </c>
      <c r="B20" s="1">
        <v>46262</v>
      </c>
      <c r="C20" s="2" t="s">
        <v>103</v>
      </c>
      <c r="D20" s="2" t="s">
        <v>17</v>
      </c>
      <c r="E20" s="2" t="s">
        <v>104</v>
      </c>
      <c r="F20" s="2" t="s">
        <v>18</v>
      </c>
      <c r="G20" s="2" t="s">
        <v>105</v>
      </c>
      <c r="H20" s="2" t="s">
        <v>106</v>
      </c>
      <c r="I20" s="2" t="s">
        <v>107</v>
      </c>
      <c r="J20" s="3">
        <v>16</v>
      </c>
      <c r="K20" s="2" t="s">
        <v>84</v>
      </c>
      <c r="L20" s="3">
        <v>16</v>
      </c>
      <c r="M20" s="9">
        <v>1680000.1</v>
      </c>
      <c r="N20" s="3">
        <v>0</v>
      </c>
      <c r="O20" s="2" t="s">
        <v>20</v>
      </c>
      <c r="P20" s="2" t="s">
        <v>21</v>
      </c>
      <c r="Q20" s="2" t="s">
        <v>22</v>
      </c>
    </row>
    <row r="21" spans="1:17" x14ac:dyDescent="0.25">
      <c r="A21" s="1">
        <v>46263</v>
      </c>
      <c r="B21" s="1">
        <v>46262</v>
      </c>
      <c r="C21" s="2" t="s">
        <v>108</v>
      </c>
      <c r="D21" s="2" t="s">
        <v>17</v>
      </c>
      <c r="E21" s="2" t="s">
        <v>109</v>
      </c>
      <c r="F21" s="2" t="s">
        <v>18</v>
      </c>
      <c r="G21" s="2" t="s">
        <v>42</v>
      </c>
      <c r="H21" s="2" t="s">
        <v>26</v>
      </c>
      <c r="I21" s="2" t="s">
        <v>27</v>
      </c>
      <c r="J21" s="3">
        <v>4</v>
      </c>
      <c r="K21" s="2" t="s">
        <v>28</v>
      </c>
      <c r="L21" s="3">
        <v>4</v>
      </c>
      <c r="M21" s="9">
        <v>1309800</v>
      </c>
      <c r="N21" s="3">
        <v>0</v>
      </c>
      <c r="O21" s="2" t="s">
        <v>20</v>
      </c>
      <c r="P21" s="2" t="s">
        <v>21</v>
      </c>
      <c r="Q21" s="2" t="s">
        <v>22</v>
      </c>
    </row>
    <row r="22" spans="1:17" x14ac:dyDescent="0.25">
      <c r="A22" s="1">
        <v>46263</v>
      </c>
      <c r="B22" s="1">
        <v>46262</v>
      </c>
      <c r="C22" s="2" t="s">
        <v>110</v>
      </c>
      <c r="D22" s="2" t="s">
        <v>17</v>
      </c>
      <c r="E22" s="2" t="s">
        <v>111</v>
      </c>
      <c r="F22" s="2" t="s">
        <v>45</v>
      </c>
      <c r="G22" s="2" t="s">
        <v>19</v>
      </c>
      <c r="H22" s="2" t="s">
        <v>47</v>
      </c>
      <c r="I22" s="2" t="s">
        <v>48</v>
      </c>
      <c r="J22" s="3">
        <v>2.2999999999999998</v>
      </c>
      <c r="K22" s="2" t="s">
        <v>38</v>
      </c>
      <c r="L22" s="3">
        <v>2.2999999999999998</v>
      </c>
      <c r="M22" s="9">
        <v>241500.01</v>
      </c>
      <c r="N22" s="3">
        <v>0</v>
      </c>
      <c r="O22" s="2" t="s">
        <v>20</v>
      </c>
      <c r="P22" s="2" t="s">
        <v>21</v>
      </c>
      <c r="Q22" s="2" t="s">
        <v>73</v>
      </c>
    </row>
    <row r="23" spans="1:17" x14ac:dyDescent="0.25">
      <c r="A23" s="1">
        <v>46263</v>
      </c>
      <c r="B23" s="1">
        <v>46262</v>
      </c>
      <c r="C23" s="2" t="s">
        <v>112</v>
      </c>
      <c r="D23" s="2" t="s">
        <v>17</v>
      </c>
      <c r="E23" s="2" t="s">
        <v>113</v>
      </c>
      <c r="F23" s="2" t="s">
        <v>18</v>
      </c>
      <c r="G23" s="2" t="s">
        <v>19</v>
      </c>
      <c r="H23" s="2" t="s">
        <v>114</v>
      </c>
      <c r="I23" s="2" t="s">
        <v>115</v>
      </c>
      <c r="J23" s="3">
        <v>20</v>
      </c>
      <c r="K23" s="2" t="s">
        <v>38</v>
      </c>
      <c r="L23" s="3">
        <v>20</v>
      </c>
      <c r="M23" s="9">
        <v>344100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46263</v>
      </c>
      <c r="B24" s="1">
        <v>46262</v>
      </c>
      <c r="C24" s="2" t="s">
        <v>112</v>
      </c>
      <c r="D24" s="2" t="s">
        <v>17</v>
      </c>
      <c r="E24" s="2" t="s">
        <v>113</v>
      </c>
      <c r="F24" s="2" t="s">
        <v>18</v>
      </c>
      <c r="G24" s="2" t="s">
        <v>19</v>
      </c>
      <c r="H24" s="2" t="s">
        <v>116</v>
      </c>
      <c r="I24" s="2" t="s">
        <v>117</v>
      </c>
      <c r="J24" s="3">
        <v>20</v>
      </c>
      <c r="K24" s="2" t="s">
        <v>38</v>
      </c>
      <c r="L24" s="3">
        <v>20</v>
      </c>
      <c r="M24" s="9">
        <v>321900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46263</v>
      </c>
      <c r="B25" s="1">
        <v>46262</v>
      </c>
      <c r="C25" s="2" t="s">
        <v>118</v>
      </c>
      <c r="D25" s="2" t="s">
        <v>17</v>
      </c>
      <c r="E25" s="2" t="s">
        <v>119</v>
      </c>
      <c r="F25" s="2" t="s">
        <v>18</v>
      </c>
      <c r="G25" s="2" t="s">
        <v>105</v>
      </c>
      <c r="H25" s="2" t="s">
        <v>120</v>
      </c>
      <c r="I25" s="2" t="s">
        <v>121</v>
      </c>
      <c r="J25" s="3">
        <v>108</v>
      </c>
      <c r="K25" s="2" t="s">
        <v>90</v>
      </c>
      <c r="L25" s="3">
        <v>108</v>
      </c>
      <c r="M25" s="9">
        <v>313199.93</v>
      </c>
      <c r="N25" s="3">
        <v>0</v>
      </c>
      <c r="O25" s="2" t="s">
        <v>20</v>
      </c>
      <c r="P25" s="2" t="s">
        <v>21</v>
      </c>
      <c r="Q25" s="2" t="s">
        <v>22</v>
      </c>
    </row>
    <row r="26" spans="1:17" x14ac:dyDescent="0.25">
      <c r="A26" s="1">
        <v>46263</v>
      </c>
      <c r="B26" s="1">
        <v>46262</v>
      </c>
      <c r="C26" s="2" t="s">
        <v>122</v>
      </c>
      <c r="D26" s="2" t="s">
        <v>17</v>
      </c>
      <c r="E26" s="2" t="s">
        <v>123</v>
      </c>
      <c r="F26" s="2" t="s">
        <v>18</v>
      </c>
      <c r="G26" s="2" t="s">
        <v>124</v>
      </c>
      <c r="H26" s="2" t="s">
        <v>125</v>
      </c>
      <c r="I26" s="2" t="s">
        <v>126</v>
      </c>
      <c r="J26" s="3">
        <v>25</v>
      </c>
      <c r="K26" s="2" t="s">
        <v>38</v>
      </c>
      <c r="L26" s="3">
        <v>23.6999</v>
      </c>
      <c r="M26" s="9">
        <v>3839400</v>
      </c>
      <c r="N26" s="3">
        <v>-1.3001</v>
      </c>
      <c r="O26" s="2" t="s">
        <v>20</v>
      </c>
      <c r="P26" s="2" t="s">
        <v>21</v>
      </c>
      <c r="Q26" s="2" t="s">
        <v>22</v>
      </c>
    </row>
    <row r="27" spans="1:17" x14ac:dyDescent="0.25">
      <c r="A27" s="1">
        <v>46263</v>
      </c>
      <c r="B27" s="1">
        <v>46262</v>
      </c>
      <c r="C27" s="2" t="s">
        <v>127</v>
      </c>
      <c r="D27" s="2" t="s">
        <v>17</v>
      </c>
      <c r="E27" s="2" t="s">
        <v>128</v>
      </c>
      <c r="F27" s="2" t="s">
        <v>18</v>
      </c>
      <c r="G27" s="2" t="s">
        <v>46</v>
      </c>
      <c r="H27" s="2" t="s">
        <v>26</v>
      </c>
      <c r="I27" s="2" t="s">
        <v>27</v>
      </c>
      <c r="J27" s="3">
        <v>10</v>
      </c>
      <c r="K27" s="2" t="s">
        <v>28</v>
      </c>
      <c r="L27" s="3">
        <v>10</v>
      </c>
      <c r="M27" s="9">
        <v>3200000</v>
      </c>
      <c r="N27" s="3">
        <v>0</v>
      </c>
      <c r="O27" s="2" t="s">
        <v>20</v>
      </c>
      <c r="P27" s="2" t="s">
        <v>21</v>
      </c>
      <c r="Q27" s="2" t="s">
        <v>22</v>
      </c>
    </row>
    <row r="28" spans="1:17" x14ac:dyDescent="0.25">
      <c r="A28" s="1">
        <v>46263</v>
      </c>
      <c r="B28" s="1">
        <v>46262</v>
      </c>
      <c r="C28" s="2" t="s">
        <v>129</v>
      </c>
      <c r="D28" s="2" t="s">
        <v>17</v>
      </c>
      <c r="E28" s="2" t="s">
        <v>130</v>
      </c>
      <c r="F28" s="2" t="s">
        <v>18</v>
      </c>
      <c r="G28" s="2" t="s">
        <v>124</v>
      </c>
      <c r="H28" s="2" t="s">
        <v>26</v>
      </c>
      <c r="I28" s="2" t="s">
        <v>27</v>
      </c>
      <c r="J28" s="3">
        <v>1</v>
      </c>
      <c r="K28" s="2" t="s">
        <v>28</v>
      </c>
      <c r="L28" s="3">
        <v>1</v>
      </c>
      <c r="M28" s="9">
        <v>300000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46263</v>
      </c>
      <c r="B29" s="1">
        <v>46262</v>
      </c>
      <c r="C29" s="2" t="s">
        <v>129</v>
      </c>
      <c r="D29" s="2" t="s">
        <v>17</v>
      </c>
      <c r="E29" s="2" t="s">
        <v>130</v>
      </c>
      <c r="F29" s="2" t="s">
        <v>18</v>
      </c>
      <c r="G29" s="2" t="s">
        <v>124</v>
      </c>
      <c r="H29" s="2" t="s">
        <v>52</v>
      </c>
      <c r="I29" s="2" t="s">
        <v>53</v>
      </c>
      <c r="J29" s="3">
        <v>2</v>
      </c>
      <c r="K29" s="2" t="s">
        <v>28</v>
      </c>
      <c r="L29" s="3">
        <v>2</v>
      </c>
      <c r="M29" s="9">
        <v>610000</v>
      </c>
      <c r="N29" s="3">
        <v>0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46263</v>
      </c>
      <c r="B30" s="1">
        <v>46262</v>
      </c>
      <c r="C30" s="2" t="s">
        <v>129</v>
      </c>
      <c r="D30" s="2" t="s">
        <v>17</v>
      </c>
      <c r="E30" s="2" t="s">
        <v>130</v>
      </c>
      <c r="F30" s="2" t="s">
        <v>18</v>
      </c>
      <c r="G30" s="2" t="s">
        <v>124</v>
      </c>
      <c r="H30" s="2" t="s">
        <v>30</v>
      </c>
      <c r="I30" s="2" t="s">
        <v>31</v>
      </c>
      <c r="J30" s="3">
        <v>1</v>
      </c>
      <c r="K30" s="2" t="s">
        <v>28</v>
      </c>
      <c r="L30" s="3">
        <v>1</v>
      </c>
      <c r="M30" s="9">
        <v>290000</v>
      </c>
      <c r="N30" s="3">
        <v>0</v>
      </c>
      <c r="O30" s="2" t="s">
        <v>20</v>
      </c>
      <c r="P30" s="2" t="s">
        <v>21</v>
      </c>
      <c r="Q30" s="2" t="s">
        <v>22</v>
      </c>
    </row>
    <row r="31" spans="1:17" x14ac:dyDescent="0.25">
      <c r="A31" s="1">
        <v>46263</v>
      </c>
      <c r="B31" s="1">
        <v>46262</v>
      </c>
      <c r="C31" s="2" t="s">
        <v>131</v>
      </c>
      <c r="D31" s="2" t="s">
        <v>17</v>
      </c>
      <c r="E31" s="2" t="s">
        <v>132</v>
      </c>
      <c r="F31" s="2" t="s">
        <v>18</v>
      </c>
      <c r="G31" s="2" t="s">
        <v>124</v>
      </c>
      <c r="H31" s="2" t="s">
        <v>47</v>
      </c>
      <c r="I31" s="2" t="s">
        <v>48</v>
      </c>
      <c r="J31" s="3">
        <v>2.2999999999999998</v>
      </c>
      <c r="K31" s="2" t="s">
        <v>38</v>
      </c>
      <c r="L31" s="3">
        <v>2.2999999999999998</v>
      </c>
      <c r="M31" s="9">
        <v>230000</v>
      </c>
      <c r="N31" s="3">
        <v>0</v>
      </c>
      <c r="O31" s="2" t="s">
        <v>20</v>
      </c>
      <c r="P31" s="2" t="s">
        <v>21</v>
      </c>
      <c r="Q31" s="2" t="s">
        <v>22</v>
      </c>
    </row>
    <row r="32" spans="1:17" x14ac:dyDescent="0.25">
      <c r="A32" s="1">
        <v>46263</v>
      </c>
      <c r="B32" s="1">
        <v>46262</v>
      </c>
      <c r="C32" s="2" t="s">
        <v>133</v>
      </c>
      <c r="D32" s="2" t="s">
        <v>17</v>
      </c>
      <c r="E32" s="2" t="s">
        <v>134</v>
      </c>
      <c r="F32" s="2" t="s">
        <v>18</v>
      </c>
      <c r="G32" s="2" t="s">
        <v>98</v>
      </c>
      <c r="H32" s="2" t="s">
        <v>135</v>
      </c>
      <c r="I32" s="2" t="s">
        <v>136</v>
      </c>
      <c r="J32" s="3">
        <v>10</v>
      </c>
      <c r="K32" s="2" t="s">
        <v>84</v>
      </c>
      <c r="L32" s="3">
        <v>10</v>
      </c>
      <c r="M32" s="9">
        <v>694170</v>
      </c>
      <c r="N32" s="3">
        <v>0</v>
      </c>
      <c r="O32" s="2" t="s">
        <v>20</v>
      </c>
      <c r="P32" s="2" t="s">
        <v>21</v>
      </c>
      <c r="Q32" s="2" t="s">
        <v>22</v>
      </c>
    </row>
    <row r="33" spans="1:17" x14ac:dyDescent="0.25">
      <c r="A33" s="1">
        <v>46263</v>
      </c>
      <c r="B33" s="1">
        <v>46262</v>
      </c>
      <c r="C33" s="2" t="s">
        <v>137</v>
      </c>
      <c r="D33" s="2" t="s">
        <v>17</v>
      </c>
      <c r="E33" s="2" t="s">
        <v>134</v>
      </c>
      <c r="F33" s="2" t="s">
        <v>18</v>
      </c>
      <c r="G33" s="2" t="s">
        <v>58</v>
      </c>
      <c r="H33" s="2" t="s">
        <v>138</v>
      </c>
      <c r="I33" s="2" t="s">
        <v>139</v>
      </c>
      <c r="J33" s="3">
        <v>12</v>
      </c>
      <c r="K33" s="2" t="s">
        <v>38</v>
      </c>
      <c r="L33" s="3">
        <v>11.8</v>
      </c>
      <c r="M33" s="9">
        <v>1593000</v>
      </c>
      <c r="N33" s="3">
        <v>-0.2</v>
      </c>
      <c r="O33" s="2" t="s">
        <v>20</v>
      </c>
      <c r="P33" s="2" t="s">
        <v>21</v>
      </c>
      <c r="Q33" s="2" t="s">
        <v>22</v>
      </c>
    </row>
    <row r="34" spans="1:17" x14ac:dyDescent="0.25">
      <c r="A34" s="1">
        <v>46263</v>
      </c>
      <c r="B34" s="1">
        <v>46262</v>
      </c>
      <c r="C34" s="2" t="s">
        <v>142</v>
      </c>
      <c r="D34" s="2" t="s">
        <v>17</v>
      </c>
      <c r="E34" s="2" t="s">
        <v>143</v>
      </c>
      <c r="F34" s="2" t="s">
        <v>45</v>
      </c>
      <c r="G34" s="2" t="s">
        <v>144</v>
      </c>
      <c r="H34" s="2" t="s">
        <v>145</v>
      </c>
      <c r="I34" s="2" t="s">
        <v>146</v>
      </c>
      <c r="J34" s="3">
        <v>3</v>
      </c>
      <c r="K34" s="2" t="s">
        <v>90</v>
      </c>
      <c r="L34" s="3">
        <v>3</v>
      </c>
      <c r="M34" s="9">
        <v>166500</v>
      </c>
      <c r="N34" s="3">
        <v>0</v>
      </c>
      <c r="O34" s="2" t="s">
        <v>20</v>
      </c>
      <c r="P34" s="2" t="s">
        <v>21</v>
      </c>
      <c r="Q34" s="2" t="s">
        <v>22</v>
      </c>
    </row>
    <row r="35" spans="1:17" x14ac:dyDescent="0.25">
      <c r="A35" s="1">
        <v>46263</v>
      </c>
      <c r="B35" s="1">
        <v>46262</v>
      </c>
      <c r="C35" s="2" t="s">
        <v>142</v>
      </c>
      <c r="D35" s="2" t="s">
        <v>17</v>
      </c>
      <c r="E35" s="2" t="s">
        <v>143</v>
      </c>
      <c r="F35" s="2" t="s">
        <v>45</v>
      </c>
      <c r="G35" s="2" t="s">
        <v>144</v>
      </c>
      <c r="H35" s="2" t="s">
        <v>147</v>
      </c>
      <c r="I35" s="2" t="s">
        <v>148</v>
      </c>
      <c r="J35" s="3">
        <v>3</v>
      </c>
      <c r="K35" s="2" t="s">
        <v>90</v>
      </c>
      <c r="L35" s="3">
        <v>3</v>
      </c>
      <c r="M35" s="9">
        <v>166500</v>
      </c>
      <c r="N35" s="3">
        <v>0</v>
      </c>
      <c r="O35" s="2" t="s">
        <v>20</v>
      </c>
      <c r="P35" s="2" t="s">
        <v>21</v>
      </c>
      <c r="Q35" s="2" t="s">
        <v>22</v>
      </c>
    </row>
    <row r="36" spans="1:17" x14ac:dyDescent="0.25">
      <c r="A36" s="1">
        <v>46263</v>
      </c>
      <c r="B36" s="1">
        <v>46262</v>
      </c>
      <c r="C36" s="2" t="s">
        <v>149</v>
      </c>
      <c r="D36" s="2" t="s">
        <v>17</v>
      </c>
      <c r="E36" s="2" t="s">
        <v>150</v>
      </c>
      <c r="F36" s="2" t="s">
        <v>18</v>
      </c>
      <c r="G36" s="2" t="s">
        <v>46</v>
      </c>
      <c r="H36" s="2" t="s">
        <v>30</v>
      </c>
      <c r="I36" s="2" t="s">
        <v>31</v>
      </c>
      <c r="J36" s="3">
        <v>1</v>
      </c>
      <c r="K36" s="2" t="s">
        <v>28</v>
      </c>
      <c r="L36" s="3">
        <v>1</v>
      </c>
      <c r="M36" s="9">
        <v>315000</v>
      </c>
      <c r="N36" s="3">
        <v>0</v>
      </c>
      <c r="O36" s="2" t="s">
        <v>20</v>
      </c>
      <c r="P36" s="2" t="s">
        <v>21</v>
      </c>
      <c r="Q36" s="2" t="s">
        <v>22</v>
      </c>
    </row>
    <row r="37" spans="1:17" x14ac:dyDescent="0.25">
      <c r="A37" s="1">
        <v>46263</v>
      </c>
      <c r="B37" s="1">
        <v>46262</v>
      </c>
      <c r="C37" s="2" t="s">
        <v>151</v>
      </c>
      <c r="D37" s="2" t="s">
        <v>17</v>
      </c>
      <c r="E37" s="2" t="s">
        <v>152</v>
      </c>
      <c r="F37" s="2" t="s">
        <v>18</v>
      </c>
      <c r="G37" s="2" t="s">
        <v>19</v>
      </c>
      <c r="H37" s="2" t="s">
        <v>26</v>
      </c>
      <c r="I37" s="2" t="s">
        <v>27</v>
      </c>
      <c r="J37" s="3">
        <v>3</v>
      </c>
      <c r="K37" s="2" t="s">
        <v>28</v>
      </c>
      <c r="L37" s="3">
        <v>3</v>
      </c>
      <c r="M37" s="9">
        <v>945000</v>
      </c>
      <c r="N37" s="3">
        <v>0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46263</v>
      </c>
      <c r="B38" s="1">
        <v>46262</v>
      </c>
      <c r="C38" s="2" t="s">
        <v>153</v>
      </c>
      <c r="D38" s="2" t="s">
        <v>17</v>
      </c>
      <c r="E38" s="2" t="s">
        <v>154</v>
      </c>
      <c r="F38" s="2" t="s">
        <v>45</v>
      </c>
      <c r="G38" s="2" t="s">
        <v>155</v>
      </c>
      <c r="H38" s="2" t="s">
        <v>47</v>
      </c>
      <c r="I38" s="2" t="s">
        <v>48</v>
      </c>
      <c r="J38" s="3">
        <v>9.1998999999999995</v>
      </c>
      <c r="K38" s="2" t="s">
        <v>38</v>
      </c>
      <c r="L38" s="3">
        <v>9.1998999999999995</v>
      </c>
      <c r="M38" s="9">
        <v>956800.06</v>
      </c>
      <c r="N38" s="3">
        <v>0</v>
      </c>
      <c r="O38" s="2" t="s">
        <v>20</v>
      </c>
      <c r="P38" s="2" t="s">
        <v>21</v>
      </c>
      <c r="Q38" s="2" t="s">
        <v>156</v>
      </c>
    </row>
    <row r="39" spans="1:17" x14ac:dyDescent="0.25">
      <c r="A39" s="1">
        <v>46263</v>
      </c>
      <c r="B39" s="1">
        <v>46262</v>
      </c>
      <c r="C39" s="2" t="s">
        <v>157</v>
      </c>
      <c r="D39" s="2" t="s">
        <v>17</v>
      </c>
      <c r="E39" s="2" t="s">
        <v>87</v>
      </c>
      <c r="F39" s="2" t="s">
        <v>45</v>
      </c>
      <c r="G39" s="2" t="s">
        <v>58</v>
      </c>
      <c r="H39" s="2" t="s">
        <v>88</v>
      </c>
      <c r="I39" s="2" t="s">
        <v>89</v>
      </c>
      <c r="J39" s="3">
        <v>1</v>
      </c>
      <c r="K39" s="2" t="s">
        <v>90</v>
      </c>
      <c r="L39" s="3">
        <v>1</v>
      </c>
      <c r="M39" s="9">
        <v>66000</v>
      </c>
      <c r="N39" s="3">
        <v>0</v>
      </c>
      <c r="O39" s="2" t="s">
        <v>20</v>
      </c>
      <c r="P39" s="2" t="s">
        <v>21</v>
      </c>
      <c r="Q39" s="2" t="s">
        <v>158</v>
      </c>
    </row>
    <row r="40" spans="1:17" x14ac:dyDescent="0.25">
      <c r="A40" s="1">
        <v>46263</v>
      </c>
      <c r="B40" s="1">
        <v>46262</v>
      </c>
      <c r="C40" s="2" t="s">
        <v>159</v>
      </c>
      <c r="D40" s="2" t="s">
        <v>17</v>
      </c>
      <c r="E40" s="2" t="s">
        <v>160</v>
      </c>
      <c r="F40" s="2" t="s">
        <v>18</v>
      </c>
      <c r="G40" s="2" t="s">
        <v>19</v>
      </c>
      <c r="H40" s="2" t="s">
        <v>36</v>
      </c>
      <c r="I40" s="2" t="s">
        <v>37</v>
      </c>
      <c r="J40" s="3">
        <v>17.5</v>
      </c>
      <c r="K40" s="2" t="s">
        <v>38</v>
      </c>
      <c r="L40" s="3">
        <v>17.8</v>
      </c>
      <c r="M40" s="9">
        <v>6230000</v>
      </c>
      <c r="N40" s="3">
        <v>0.3</v>
      </c>
      <c r="O40" s="2" t="s">
        <v>20</v>
      </c>
      <c r="P40" s="2" t="s">
        <v>21</v>
      </c>
      <c r="Q40" s="2" t="s">
        <v>161</v>
      </c>
    </row>
    <row r="41" spans="1:17" x14ac:dyDescent="0.25">
      <c r="A41" s="1">
        <v>46263</v>
      </c>
      <c r="B41" s="1">
        <v>46262</v>
      </c>
      <c r="C41" s="2" t="s">
        <v>159</v>
      </c>
      <c r="D41" s="2" t="s">
        <v>17</v>
      </c>
      <c r="E41" s="2" t="s">
        <v>160</v>
      </c>
      <c r="F41" s="2" t="s">
        <v>18</v>
      </c>
      <c r="G41" s="2" t="s">
        <v>19</v>
      </c>
      <c r="H41" s="2" t="s">
        <v>162</v>
      </c>
      <c r="I41" s="2" t="s">
        <v>163</v>
      </c>
      <c r="J41" s="3">
        <v>10</v>
      </c>
      <c r="K41" s="2" t="s">
        <v>38</v>
      </c>
      <c r="L41" s="3">
        <v>10</v>
      </c>
      <c r="M41" s="9">
        <v>1000000</v>
      </c>
      <c r="N41" s="3">
        <v>0</v>
      </c>
      <c r="O41" s="2" t="s">
        <v>20</v>
      </c>
      <c r="P41" s="2" t="s">
        <v>21</v>
      </c>
      <c r="Q41" s="2" t="s">
        <v>161</v>
      </c>
    </row>
    <row r="42" spans="1:17" x14ac:dyDescent="0.25">
      <c r="A42" s="1">
        <v>46263</v>
      </c>
      <c r="B42" s="1">
        <v>46262</v>
      </c>
      <c r="C42" s="2" t="s">
        <v>164</v>
      </c>
      <c r="D42" s="2" t="s">
        <v>17</v>
      </c>
      <c r="E42" s="2" t="s">
        <v>160</v>
      </c>
      <c r="F42" s="2" t="s">
        <v>18</v>
      </c>
      <c r="G42" s="2" t="s">
        <v>19</v>
      </c>
      <c r="H42" s="2" t="s">
        <v>36</v>
      </c>
      <c r="I42" s="2" t="s">
        <v>37</v>
      </c>
      <c r="J42" s="3">
        <v>30</v>
      </c>
      <c r="K42" s="2" t="s">
        <v>38</v>
      </c>
      <c r="L42" s="3">
        <v>29.8</v>
      </c>
      <c r="M42" s="9">
        <v>10430000</v>
      </c>
      <c r="N42" s="3">
        <v>-0.2</v>
      </c>
      <c r="O42" s="2" t="s">
        <v>20</v>
      </c>
      <c r="P42" s="2" t="s">
        <v>21</v>
      </c>
      <c r="Q42" s="2" t="s">
        <v>165</v>
      </c>
    </row>
    <row r="43" spans="1:17" x14ac:dyDescent="0.25">
      <c r="A43" s="1">
        <v>46263</v>
      </c>
      <c r="B43" s="1">
        <v>46262</v>
      </c>
      <c r="C43" s="2" t="s">
        <v>164</v>
      </c>
      <c r="D43" s="2" t="s">
        <v>17</v>
      </c>
      <c r="E43" s="2" t="s">
        <v>160</v>
      </c>
      <c r="F43" s="2" t="s">
        <v>18</v>
      </c>
      <c r="G43" s="2" t="s">
        <v>19</v>
      </c>
      <c r="H43" s="2" t="s">
        <v>162</v>
      </c>
      <c r="I43" s="2" t="s">
        <v>163</v>
      </c>
      <c r="J43" s="3">
        <v>10</v>
      </c>
      <c r="K43" s="2" t="s">
        <v>38</v>
      </c>
      <c r="L43" s="3">
        <v>10</v>
      </c>
      <c r="M43" s="9">
        <v>1000000</v>
      </c>
      <c r="N43" s="3">
        <v>0</v>
      </c>
      <c r="O43" s="2" t="s">
        <v>20</v>
      </c>
      <c r="P43" s="2" t="s">
        <v>21</v>
      </c>
      <c r="Q43" s="2" t="s">
        <v>165</v>
      </c>
    </row>
    <row r="44" spans="1:17" x14ac:dyDescent="0.25">
      <c r="A44" s="1">
        <v>46263</v>
      </c>
      <c r="B44" s="1">
        <v>46262</v>
      </c>
      <c r="C44" s="2" t="s">
        <v>166</v>
      </c>
      <c r="D44" s="2" t="s">
        <v>17</v>
      </c>
      <c r="E44" s="2" t="s">
        <v>167</v>
      </c>
      <c r="F44" s="2" t="s">
        <v>45</v>
      </c>
      <c r="G44" s="2" t="s">
        <v>58</v>
      </c>
      <c r="H44" s="2" t="s">
        <v>47</v>
      </c>
      <c r="I44" s="2" t="s">
        <v>48</v>
      </c>
      <c r="J44" s="3">
        <v>4.5999999999999996</v>
      </c>
      <c r="K44" s="2" t="s">
        <v>38</v>
      </c>
      <c r="L44" s="3">
        <v>4.5999999999999996</v>
      </c>
      <c r="M44" s="9">
        <v>536130</v>
      </c>
      <c r="N44" s="3">
        <v>0</v>
      </c>
      <c r="O44" s="2" t="s">
        <v>20</v>
      </c>
      <c r="P44" s="2" t="s">
        <v>21</v>
      </c>
      <c r="Q44" s="2" t="s">
        <v>168</v>
      </c>
    </row>
    <row r="45" spans="1:17" x14ac:dyDescent="0.25">
      <c r="A45" s="1">
        <v>46263</v>
      </c>
      <c r="B45" s="1">
        <v>46262</v>
      </c>
      <c r="C45" s="2" t="s">
        <v>169</v>
      </c>
      <c r="D45" s="2" t="s">
        <v>17</v>
      </c>
      <c r="E45" s="2" t="s">
        <v>170</v>
      </c>
      <c r="F45" s="2" t="s">
        <v>18</v>
      </c>
      <c r="G45" s="2" t="s">
        <v>35</v>
      </c>
      <c r="H45" s="2" t="s">
        <v>76</v>
      </c>
      <c r="I45" s="2" t="s">
        <v>77</v>
      </c>
      <c r="J45" s="3">
        <v>4</v>
      </c>
      <c r="K45" s="2" t="s">
        <v>38</v>
      </c>
      <c r="L45" s="3">
        <v>3.7</v>
      </c>
      <c r="M45" s="9">
        <v>777000</v>
      </c>
      <c r="N45" s="3">
        <v>-0.3</v>
      </c>
      <c r="O45" s="2" t="s">
        <v>20</v>
      </c>
      <c r="P45" s="2" t="s">
        <v>21</v>
      </c>
      <c r="Q45" s="2" t="s">
        <v>171</v>
      </c>
    </row>
    <row r="46" spans="1:17" x14ac:dyDescent="0.25">
      <c r="A46" s="1">
        <v>46263</v>
      </c>
      <c r="B46" s="1">
        <v>46262</v>
      </c>
      <c r="C46" s="2" t="s">
        <v>172</v>
      </c>
      <c r="D46" s="2" t="s">
        <v>17</v>
      </c>
      <c r="E46" s="2" t="s">
        <v>173</v>
      </c>
      <c r="F46" s="2" t="s">
        <v>18</v>
      </c>
      <c r="G46" s="2" t="s">
        <v>70</v>
      </c>
      <c r="H46" s="2" t="s">
        <v>174</v>
      </c>
      <c r="I46" s="2" t="s">
        <v>175</v>
      </c>
      <c r="J46" s="3">
        <v>7</v>
      </c>
      <c r="K46" s="2" t="s">
        <v>38</v>
      </c>
      <c r="L46" s="3">
        <v>7.84</v>
      </c>
      <c r="M46" s="9">
        <v>5096000</v>
      </c>
      <c r="N46" s="3">
        <v>0.84</v>
      </c>
      <c r="O46" s="2" t="s">
        <v>20</v>
      </c>
      <c r="P46" s="2" t="s">
        <v>21</v>
      </c>
      <c r="Q46" s="2" t="s">
        <v>176</v>
      </c>
    </row>
    <row r="47" spans="1:17" x14ac:dyDescent="0.25">
      <c r="A47" s="1">
        <v>46263</v>
      </c>
      <c r="B47" s="1">
        <v>46262</v>
      </c>
      <c r="C47" s="2" t="s">
        <v>177</v>
      </c>
      <c r="D47" s="2" t="s">
        <v>17</v>
      </c>
      <c r="E47" s="2" t="s">
        <v>178</v>
      </c>
      <c r="F47" s="2" t="s">
        <v>45</v>
      </c>
      <c r="G47" s="2" t="s">
        <v>98</v>
      </c>
      <c r="H47" s="2" t="s">
        <v>99</v>
      </c>
      <c r="I47" s="2" t="s">
        <v>100</v>
      </c>
      <c r="J47" s="3">
        <v>6</v>
      </c>
      <c r="K47" s="2" t="s">
        <v>84</v>
      </c>
      <c r="L47" s="3">
        <v>6</v>
      </c>
      <c r="M47" s="9">
        <v>306600.03000000003</v>
      </c>
      <c r="N47" s="3">
        <v>0</v>
      </c>
      <c r="O47" s="2" t="s">
        <v>20</v>
      </c>
      <c r="P47" s="2" t="s">
        <v>21</v>
      </c>
      <c r="Q47" s="2" t="s">
        <v>179</v>
      </c>
    </row>
    <row r="48" spans="1:17" x14ac:dyDescent="0.25">
      <c r="A48" s="1">
        <v>46263</v>
      </c>
      <c r="B48" s="1">
        <v>46262</v>
      </c>
      <c r="C48" s="2" t="s">
        <v>180</v>
      </c>
      <c r="D48" s="2" t="s">
        <v>17</v>
      </c>
      <c r="E48" s="2" t="s">
        <v>181</v>
      </c>
      <c r="F48" s="2" t="s">
        <v>45</v>
      </c>
      <c r="G48" s="2" t="s">
        <v>155</v>
      </c>
      <c r="H48" s="2" t="s">
        <v>93</v>
      </c>
      <c r="I48" s="2" t="s">
        <v>94</v>
      </c>
      <c r="J48" s="3">
        <v>12</v>
      </c>
      <c r="K48" s="2" t="s">
        <v>90</v>
      </c>
      <c r="L48" s="3">
        <v>12</v>
      </c>
      <c r="M48" s="9">
        <v>606060</v>
      </c>
      <c r="N48" s="3">
        <v>0</v>
      </c>
      <c r="O48" s="2" t="s">
        <v>20</v>
      </c>
      <c r="P48" s="2" t="s">
        <v>21</v>
      </c>
      <c r="Q48" s="2" t="s">
        <v>22</v>
      </c>
    </row>
    <row r="49" spans="1:17" x14ac:dyDescent="0.25">
      <c r="A49" s="1">
        <v>46263</v>
      </c>
      <c r="B49" s="1">
        <v>46262</v>
      </c>
      <c r="C49" s="2" t="s">
        <v>182</v>
      </c>
      <c r="D49" s="2" t="s">
        <v>17</v>
      </c>
      <c r="E49" s="2" t="s">
        <v>183</v>
      </c>
      <c r="F49" s="2" t="s">
        <v>18</v>
      </c>
      <c r="G49" s="2" t="s">
        <v>98</v>
      </c>
      <c r="H49" s="2" t="s">
        <v>99</v>
      </c>
      <c r="I49" s="2" t="s">
        <v>100</v>
      </c>
      <c r="J49" s="3">
        <v>24</v>
      </c>
      <c r="K49" s="2" t="s">
        <v>84</v>
      </c>
      <c r="L49" s="3">
        <v>24</v>
      </c>
      <c r="M49" s="9">
        <v>1345320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46263</v>
      </c>
      <c r="B50" s="1">
        <v>46262</v>
      </c>
      <c r="C50" s="2" t="s">
        <v>184</v>
      </c>
      <c r="D50" s="2" t="s">
        <v>17</v>
      </c>
      <c r="E50" s="2" t="s">
        <v>87</v>
      </c>
      <c r="F50" s="2" t="s">
        <v>45</v>
      </c>
      <c r="G50" s="2" t="s">
        <v>58</v>
      </c>
      <c r="H50" s="2" t="s">
        <v>185</v>
      </c>
      <c r="I50" s="2" t="s">
        <v>186</v>
      </c>
      <c r="J50" s="3">
        <v>2</v>
      </c>
      <c r="K50" s="2" t="s">
        <v>90</v>
      </c>
      <c r="L50" s="3">
        <v>2</v>
      </c>
      <c r="M50" s="9">
        <v>89910</v>
      </c>
      <c r="N50" s="3">
        <v>0</v>
      </c>
      <c r="O50" s="2" t="s">
        <v>20</v>
      </c>
      <c r="P50" s="2" t="s">
        <v>21</v>
      </c>
      <c r="Q50" s="2" t="s">
        <v>22</v>
      </c>
    </row>
    <row r="51" spans="1:17" x14ac:dyDescent="0.25">
      <c r="A51" s="1">
        <v>46263</v>
      </c>
      <c r="B51" s="1">
        <v>46262</v>
      </c>
      <c r="C51" s="2" t="s">
        <v>184</v>
      </c>
      <c r="D51" s="2" t="s">
        <v>17</v>
      </c>
      <c r="E51" s="2" t="s">
        <v>87</v>
      </c>
      <c r="F51" s="2" t="s">
        <v>45</v>
      </c>
      <c r="G51" s="2" t="s">
        <v>58</v>
      </c>
      <c r="H51" s="2" t="s">
        <v>187</v>
      </c>
      <c r="I51" s="2" t="s">
        <v>188</v>
      </c>
      <c r="J51" s="3">
        <v>1</v>
      </c>
      <c r="K51" s="2" t="s">
        <v>90</v>
      </c>
      <c r="L51" s="3">
        <v>1</v>
      </c>
      <c r="M51" s="9">
        <v>50505</v>
      </c>
      <c r="N51" s="3">
        <v>0</v>
      </c>
      <c r="O51" s="2" t="s">
        <v>20</v>
      </c>
      <c r="P51" s="2" t="s">
        <v>21</v>
      </c>
      <c r="Q51" s="2" t="s">
        <v>22</v>
      </c>
    </row>
    <row r="52" spans="1:17" x14ac:dyDescent="0.25">
      <c r="A52" s="1">
        <v>46263</v>
      </c>
      <c r="B52" s="1">
        <v>46262</v>
      </c>
      <c r="C52" s="2" t="s">
        <v>189</v>
      </c>
      <c r="D52" s="2" t="s">
        <v>17</v>
      </c>
      <c r="E52" s="2" t="s">
        <v>190</v>
      </c>
      <c r="F52" s="2" t="s">
        <v>18</v>
      </c>
      <c r="G52" s="2" t="s">
        <v>32</v>
      </c>
      <c r="H52" s="2" t="s">
        <v>191</v>
      </c>
      <c r="I52" s="2" t="s">
        <v>192</v>
      </c>
      <c r="J52" s="3">
        <v>1</v>
      </c>
      <c r="K52" s="2" t="s">
        <v>28</v>
      </c>
      <c r="L52" s="3">
        <v>1</v>
      </c>
      <c r="M52" s="9">
        <v>235000</v>
      </c>
      <c r="N52" s="3">
        <v>0</v>
      </c>
      <c r="O52" s="2" t="s">
        <v>20</v>
      </c>
      <c r="P52" s="2" t="s">
        <v>21</v>
      </c>
      <c r="Q52" s="2" t="s">
        <v>22</v>
      </c>
    </row>
    <row r="53" spans="1:17" x14ac:dyDescent="0.25">
      <c r="A53" s="1">
        <v>46263</v>
      </c>
      <c r="B53" s="1">
        <v>46262</v>
      </c>
      <c r="C53" s="2" t="s">
        <v>193</v>
      </c>
      <c r="D53" s="2" t="s">
        <v>17</v>
      </c>
      <c r="E53" s="2" t="s">
        <v>194</v>
      </c>
      <c r="F53" s="2" t="s">
        <v>18</v>
      </c>
      <c r="G53" s="2" t="s">
        <v>70</v>
      </c>
      <c r="H53" s="2" t="s">
        <v>26</v>
      </c>
      <c r="I53" s="2" t="s">
        <v>27</v>
      </c>
      <c r="J53" s="3">
        <v>1</v>
      </c>
      <c r="K53" s="2" t="s">
        <v>28</v>
      </c>
      <c r="L53" s="3">
        <v>1</v>
      </c>
      <c r="M53" s="9">
        <v>327450</v>
      </c>
      <c r="N53" s="3">
        <v>0</v>
      </c>
      <c r="O53" s="2" t="s">
        <v>20</v>
      </c>
      <c r="P53" s="2" t="s">
        <v>21</v>
      </c>
      <c r="Q53" s="2" t="s">
        <v>22</v>
      </c>
    </row>
    <row r="54" spans="1:17" x14ac:dyDescent="0.25">
      <c r="A54" s="1">
        <v>46263</v>
      </c>
      <c r="B54" s="1">
        <v>46262</v>
      </c>
      <c r="C54" s="2" t="s">
        <v>193</v>
      </c>
      <c r="D54" s="2" t="s">
        <v>17</v>
      </c>
      <c r="E54" s="2" t="s">
        <v>194</v>
      </c>
      <c r="F54" s="2" t="s">
        <v>18</v>
      </c>
      <c r="G54" s="2" t="s">
        <v>70</v>
      </c>
      <c r="H54" s="2" t="s">
        <v>52</v>
      </c>
      <c r="I54" s="2" t="s">
        <v>53</v>
      </c>
      <c r="J54" s="3">
        <v>1</v>
      </c>
      <c r="K54" s="2" t="s">
        <v>28</v>
      </c>
      <c r="L54" s="3">
        <v>1</v>
      </c>
      <c r="M54" s="9">
        <v>355200</v>
      </c>
      <c r="N54" s="3">
        <v>0</v>
      </c>
      <c r="O54" s="2" t="s">
        <v>20</v>
      </c>
      <c r="P54" s="2" t="s">
        <v>21</v>
      </c>
      <c r="Q54" s="2" t="s">
        <v>22</v>
      </c>
    </row>
    <row r="55" spans="1:17" x14ac:dyDescent="0.25">
      <c r="A55" s="1">
        <v>46263</v>
      </c>
      <c r="B55" s="1">
        <v>46262</v>
      </c>
      <c r="C55" s="2" t="s">
        <v>195</v>
      </c>
      <c r="D55" s="2" t="s">
        <v>17</v>
      </c>
      <c r="E55" s="2" t="s">
        <v>196</v>
      </c>
      <c r="F55" s="2" t="s">
        <v>18</v>
      </c>
      <c r="G55" s="2" t="s">
        <v>19</v>
      </c>
      <c r="H55" s="2" t="s">
        <v>52</v>
      </c>
      <c r="I55" s="2" t="s">
        <v>53</v>
      </c>
      <c r="J55" s="3">
        <v>6</v>
      </c>
      <c r="K55" s="2" t="s">
        <v>28</v>
      </c>
      <c r="L55" s="3">
        <v>6</v>
      </c>
      <c r="M55" s="9">
        <v>1741590</v>
      </c>
      <c r="N55" s="3">
        <v>0</v>
      </c>
      <c r="O55" s="2" t="s">
        <v>20</v>
      </c>
      <c r="P55" s="2" t="s">
        <v>21</v>
      </c>
      <c r="Q55" s="2" t="s">
        <v>22</v>
      </c>
    </row>
    <row r="56" spans="1:17" x14ac:dyDescent="0.25">
      <c r="A56" s="1">
        <v>46263</v>
      </c>
      <c r="B56" s="1">
        <v>46262</v>
      </c>
      <c r="C56" s="2" t="s">
        <v>197</v>
      </c>
      <c r="D56" s="2" t="s">
        <v>17</v>
      </c>
      <c r="E56" s="2" t="s">
        <v>196</v>
      </c>
      <c r="F56" s="2" t="s">
        <v>18</v>
      </c>
      <c r="G56" s="2" t="s">
        <v>19</v>
      </c>
      <c r="H56" s="2" t="s">
        <v>198</v>
      </c>
      <c r="I56" s="2" t="s">
        <v>199</v>
      </c>
      <c r="J56" s="3">
        <v>10</v>
      </c>
      <c r="K56" s="2" t="s">
        <v>38</v>
      </c>
      <c r="L56" s="3">
        <v>10</v>
      </c>
      <c r="M56" s="9">
        <v>1269999.95</v>
      </c>
      <c r="N56" s="3">
        <v>0</v>
      </c>
      <c r="O56" s="2" t="s">
        <v>20</v>
      </c>
      <c r="P56" s="2" t="s">
        <v>21</v>
      </c>
      <c r="Q56" s="2" t="s">
        <v>22</v>
      </c>
    </row>
    <row r="57" spans="1:17" x14ac:dyDescent="0.25">
      <c r="A57" s="1">
        <v>46263</v>
      </c>
      <c r="B57" s="1">
        <v>46262</v>
      </c>
      <c r="C57" s="2" t="s">
        <v>200</v>
      </c>
      <c r="D57" s="2" t="s">
        <v>17</v>
      </c>
      <c r="E57" s="2" t="s">
        <v>201</v>
      </c>
      <c r="F57" s="2" t="s">
        <v>18</v>
      </c>
      <c r="G57" s="2" t="s">
        <v>58</v>
      </c>
      <c r="H57" s="2" t="s">
        <v>202</v>
      </c>
      <c r="I57" s="2" t="s">
        <v>203</v>
      </c>
      <c r="J57" s="3">
        <v>10</v>
      </c>
      <c r="K57" s="2" t="s">
        <v>38</v>
      </c>
      <c r="L57" s="3">
        <v>10</v>
      </c>
      <c r="M57" s="9">
        <v>300000.03000000003</v>
      </c>
      <c r="N57" s="3">
        <v>0</v>
      </c>
      <c r="O57" s="2" t="s">
        <v>20</v>
      </c>
      <c r="P57" s="2" t="s">
        <v>21</v>
      </c>
      <c r="Q57" s="2" t="s">
        <v>204</v>
      </c>
    </row>
    <row r="58" spans="1:17" x14ac:dyDescent="0.25">
      <c r="A58" s="1">
        <v>46263</v>
      </c>
      <c r="B58" s="1">
        <v>46262</v>
      </c>
      <c r="C58" s="2" t="s">
        <v>200</v>
      </c>
      <c r="D58" s="2" t="s">
        <v>17</v>
      </c>
      <c r="E58" s="2" t="s">
        <v>201</v>
      </c>
      <c r="F58" s="2" t="s">
        <v>18</v>
      </c>
      <c r="G58" s="2" t="s">
        <v>58</v>
      </c>
      <c r="H58" s="2" t="s">
        <v>26</v>
      </c>
      <c r="I58" s="2" t="s">
        <v>27</v>
      </c>
      <c r="J58" s="3">
        <v>1</v>
      </c>
      <c r="K58" s="2" t="s">
        <v>28</v>
      </c>
      <c r="L58" s="3">
        <v>1</v>
      </c>
      <c r="M58" s="9">
        <v>327450</v>
      </c>
      <c r="N58" s="3">
        <v>0</v>
      </c>
      <c r="O58" s="2" t="s">
        <v>20</v>
      </c>
      <c r="P58" s="2" t="s">
        <v>21</v>
      </c>
      <c r="Q58" s="2" t="s">
        <v>204</v>
      </c>
    </row>
    <row r="59" spans="1:17" x14ac:dyDescent="0.25">
      <c r="A59" s="1">
        <v>46263</v>
      </c>
      <c r="B59" s="1">
        <v>46262</v>
      </c>
      <c r="C59" s="2" t="s">
        <v>205</v>
      </c>
      <c r="D59" s="2" t="s">
        <v>17</v>
      </c>
      <c r="E59" s="2" t="s">
        <v>201</v>
      </c>
      <c r="F59" s="2" t="s">
        <v>18</v>
      </c>
      <c r="G59" s="2" t="s">
        <v>58</v>
      </c>
      <c r="H59" s="2" t="s">
        <v>47</v>
      </c>
      <c r="I59" s="2" t="s">
        <v>48</v>
      </c>
      <c r="J59" s="3">
        <v>13.8</v>
      </c>
      <c r="K59" s="2" t="s">
        <v>38</v>
      </c>
      <c r="L59" s="3">
        <v>13.8</v>
      </c>
      <c r="M59" s="9">
        <v>1448999.93</v>
      </c>
      <c r="N59" s="3">
        <v>0</v>
      </c>
      <c r="O59" s="2" t="s">
        <v>20</v>
      </c>
      <c r="P59" s="2" t="s">
        <v>21</v>
      </c>
      <c r="Q59" s="2" t="s">
        <v>204</v>
      </c>
    </row>
    <row r="60" spans="1:17" x14ac:dyDescent="0.25">
      <c r="A60" s="1">
        <v>46263</v>
      </c>
      <c r="B60" s="1">
        <v>46262</v>
      </c>
      <c r="C60" s="2" t="s">
        <v>206</v>
      </c>
      <c r="D60" s="2" t="s">
        <v>17</v>
      </c>
      <c r="E60" s="2" t="s">
        <v>201</v>
      </c>
      <c r="F60" s="2" t="s">
        <v>18</v>
      </c>
      <c r="G60" s="2" t="s">
        <v>58</v>
      </c>
      <c r="H60" s="2" t="s">
        <v>202</v>
      </c>
      <c r="I60" s="2" t="s">
        <v>203</v>
      </c>
      <c r="J60" s="3">
        <v>8</v>
      </c>
      <c r="K60" s="2" t="s">
        <v>38</v>
      </c>
      <c r="L60" s="3">
        <v>8</v>
      </c>
      <c r="M60" s="9">
        <v>240000.03</v>
      </c>
      <c r="N60" s="3">
        <v>0</v>
      </c>
      <c r="O60" s="2" t="s">
        <v>20</v>
      </c>
      <c r="P60" s="2" t="s">
        <v>21</v>
      </c>
      <c r="Q60" s="2" t="s">
        <v>207</v>
      </c>
    </row>
    <row r="61" spans="1:17" x14ac:dyDescent="0.25">
      <c r="A61" s="1">
        <v>46263</v>
      </c>
      <c r="B61" s="1">
        <v>46262</v>
      </c>
      <c r="C61" s="2" t="s">
        <v>208</v>
      </c>
      <c r="D61" s="2" t="s">
        <v>17</v>
      </c>
      <c r="E61" s="2" t="s">
        <v>201</v>
      </c>
      <c r="F61" s="2" t="s">
        <v>18</v>
      </c>
      <c r="G61" s="2" t="s">
        <v>58</v>
      </c>
      <c r="H61" s="2" t="s">
        <v>47</v>
      </c>
      <c r="I61" s="2" t="s">
        <v>48</v>
      </c>
      <c r="J61" s="3">
        <v>5</v>
      </c>
      <c r="K61" s="2" t="s">
        <v>38</v>
      </c>
      <c r="L61" s="3">
        <v>4.5999999999999996</v>
      </c>
      <c r="M61" s="9">
        <v>482999.97</v>
      </c>
      <c r="N61" s="3">
        <v>-0.4</v>
      </c>
      <c r="O61" s="2" t="s">
        <v>20</v>
      </c>
      <c r="P61" s="2" t="s">
        <v>21</v>
      </c>
      <c r="Q61" s="2" t="s">
        <v>209</v>
      </c>
    </row>
    <row r="62" spans="1:17" x14ac:dyDescent="0.25">
      <c r="A62" s="1">
        <v>46263</v>
      </c>
      <c r="B62" s="1">
        <v>46262</v>
      </c>
      <c r="C62" s="2" t="s">
        <v>210</v>
      </c>
      <c r="D62" s="2" t="s">
        <v>17</v>
      </c>
      <c r="E62" s="2" t="s">
        <v>201</v>
      </c>
      <c r="F62" s="2" t="s">
        <v>18</v>
      </c>
      <c r="G62" s="2" t="s">
        <v>58</v>
      </c>
      <c r="H62" s="2" t="s">
        <v>47</v>
      </c>
      <c r="I62" s="2" t="s">
        <v>48</v>
      </c>
      <c r="J62" s="3">
        <v>2.6</v>
      </c>
      <c r="K62" s="2" t="s">
        <v>38</v>
      </c>
      <c r="L62" s="3">
        <v>2.2999999999999998</v>
      </c>
      <c r="M62" s="9">
        <v>241499.99</v>
      </c>
      <c r="N62" s="3">
        <v>-0.3</v>
      </c>
      <c r="O62" s="2" t="s">
        <v>20</v>
      </c>
      <c r="P62" s="2" t="s">
        <v>21</v>
      </c>
      <c r="Q62" s="2" t="s">
        <v>211</v>
      </c>
    </row>
    <row r="63" spans="1:17" x14ac:dyDescent="0.25">
      <c r="A63" s="1">
        <v>46263</v>
      </c>
      <c r="B63" s="1">
        <v>46262</v>
      </c>
      <c r="C63" s="2" t="s">
        <v>214</v>
      </c>
      <c r="D63" s="2" t="s">
        <v>17</v>
      </c>
      <c r="E63" s="2" t="s">
        <v>215</v>
      </c>
      <c r="F63" s="2" t="s">
        <v>18</v>
      </c>
      <c r="G63" s="2" t="s">
        <v>35</v>
      </c>
      <c r="H63" s="2" t="s">
        <v>26</v>
      </c>
      <c r="I63" s="2" t="s">
        <v>27</v>
      </c>
      <c r="J63" s="3">
        <v>3</v>
      </c>
      <c r="K63" s="2" t="s">
        <v>28</v>
      </c>
      <c r="L63" s="3">
        <v>3</v>
      </c>
      <c r="M63" s="9">
        <v>912000</v>
      </c>
      <c r="N63" s="3">
        <v>0</v>
      </c>
      <c r="O63" s="2" t="s">
        <v>20</v>
      </c>
      <c r="P63" s="2" t="s">
        <v>21</v>
      </c>
      <c r="Q63" s="2" t="s">
        <v>22</v>
      </c>
    </row>
    <row r="64" spans="1:17" x14ac:dyDescent="0.25">
      <c r="A64" s="1">
        <v>46263</v>
      </c>
      <c r="B64" s="1">
        <v>46262</v>
      </c>
      <c r="C64" s="2" t="s">
        <v>216</v>
      </c>
      <c r="D64" s="2" t="s">
        <v>17</v>
      </c>
      <c r="E64" s="2" t="s">
        <v>217</v>
      </c>
      <c r="F64" s="2" t="s">
        <v>18</v>
      </c>
      <c r="G64" s="2" t="s">
        <v>19</v>
      </c>
      <c r="H64" s="2" t="s">
        <v>198</v>
      </c>
      <c r="I64" s="2" t="s">
        <v>199</v>
      </c>
      <c r="J64" s="3">
        <v>60</v>
      </c>
      <c r="K64" s="2" t="s">
        <v>38</v>
      </c>
      <c r="L64" s="3">
        <v>60</v>
      </c>
      <c r="M64" s="9">
        <v>7619999.71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46263</v>
      </c>
      <c r="B65" s="1">
        <v>46262</v>
      </c>
      <c r="C65" s="2" t="s">
        <v>218</v>
      </c>
      <c r="D65" s="2" t="s">
        <v>17</v>
      </c>
      <c r="E65" s="2" t="s">
        <v>219</v>
      </c>
      <c r="F65" s="2" t="s">
        <v>45</v>
      </c>
      <c r="G65" s="2" t="s">
        <v>25</v>
      </c>
      <c r="H65" s="2" t="s">
        <v>125</v>
      </c>
      <c r="I65" s="2" t="s">
        <v>126</v>
      </c>
      <c r="J65" s="3">
        <v>3</v>
      </c>
      <c r="K65" s="2" t="s">
        <v>38</v>
      </c>
      <c r="L65" s="3">
        <v>4.5</v>
      </c>
      <c r="M65" s="9">
        <v>787500</v>
      </c>
      <c r="N65" s="3">
        <v>1.5</v>
      </c>
      <c r="O65" s="2" t="s">
        <v>20</v>
      </c>
      <c r="P65" s="2" t="s">
        <v>21</v>
      </c>
      <c r="Q65" s="2" t="s">
        <v>22</v>
      </c>
    </row>
    <row r="66" spans="1:17" x14ac:dyDescent="0.25">
      <c r="A66" s="1">
        <v>46263</v>
      </c>
      <c r="B66" s="1">
        <v>46262</v>
      </c>
      <c r="C66" s="2" t="s">
        <v>220</v>
      </c>
      <c r="D66" s="2" t="s">
        <v>17</v>
      </c>
      <c r="E66" s="2" t="s">
        <v>221</v>
      </c>
      <c r="F66" s="2" t="s">
        <v>18</v>
      </c>
      <c r="G66" s="2" t="s">
        <v>25</v>
      </c>
      <c r="H66" s="2" t="s">
        <v>47</v>
      </c>
      <c r="I66" s="2" t="s">
        <v>48</v>
      </c>
      <c r="J66" s="3">
        <v>30</v>
      </c>
      <c r="K66" s="2" t="s">
        <v>38</v>
      </c>
      <c r="L66" s="3">
        <v>29.899899999999999</v>
      </c>
      <c r="M66" s="9">
        <v>2990000</v>
      </c>
      <c r="N66" s="3">
        <v>-0.10009999999999999</v>
      </c>
      <c r="O66" s="2" t="s">
        <v>20</v>
      </c>
      <c r="P66" s="2" t="s">
        <v>21</v>
      </c>
      <c r="Q66" s="2" t="s">
        <v>222</v>
      </c>
    </row>
    <row r="67" spans="1:17" x14ac:dyDescent="0.25">
      <c r="A67" s="1">
        <v>46263</v>
      </c>
      <c r="B67" s="1">
        <v>46262</v>
      </c>
      <c r="C67" s="2" t="s">
        <v>223</v>
      </c>
      <c r="D67" s="2" t="s">
        <v>17</v>
      </c>
      <c r="E67" s="2" t="s">
        <v>224</v>
      </c>
      <c r="F67" s="2" t="s">
        <v>18</v>
      </c>
      <c r="G67" s="2" t="s">
        <v>140</v>
      </c>
      <c r="H67" s="2" t="s">
        <v>225</v>
      </c>
      <c r="I67" s="2" t="s">
        <v>226</v>
      </c>
      <c r="J67" s="3">
        <v>10</v>
      </c>
      <c r="K67" s="2" t="s">
        <v>38</v>
      </c>
      <c r="L67" s="3">
        <v>10</v>
      </c>
      <c r="M67" s="9">
        <v>494949</v>
      </c>
      <c r="N67" s="3">
        <v>0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46263</v>
      </c>
      <c r="B68" s="1">
        <v>46262</v>
      </c>
      <c r="C68" s="2" t="s">
        <v>227</v>
      </c>
      <c r="D68" s="2" t="s">
        <v>17</v>
      </c>
      <c r="E68" s="2" t="s">
        <v>221</v>
      </c>
      <c r="F68" s="2" t="s">
        <v>18</v>
      </c>
      <c r="G68" s="2" t="s">
        <v>25</v>
      </c>
      <c r="H68" s="2" t="s">
        <v>47</v>
      </c>
      <c r="I68" s="2" t="s">
        <v>48</v>
      </c>
      <c r="J68" s="3">
        <v>30</v>
      </c>
      <c r="K68" s="2" t="s">
        <v>38</v>
      </c>
      <c r="L68" s="3">
        <v>29.899899999999999</v>
      </c>
      <c r="M68" s="9">
        <v>2990000</v>
      </c>
      <c r="N68" s="3">
        <v>-0.10009999999999999</v>
      </c>
      <c r="O68" s="2" t="s">
        <v>20</v>
      </c>
      <c r="P68" s="2" t="s">
        <v>21</v>
      </c>
      <c r="Q68" s="2" t="s">
        <v>228</v>
      </c>
    </row>
    <row r="69" spans="1:17" x14ac:dyDescent="0.25">
      <c r="A69" s="1">
        <v>46263</v>
      </c>
      <c r="B69" s="1">
        <v>46262</v>
      </c>
      <c r="C69" s="2" t="s">
        <v>227</v>
      </c>
      <c r="D69" s="2" t="s">
        <v>17</v>
      </c>
      <c r="E69" s="2" t="s">
        <v>221</v>
      </c>
      <c r="F69" s="2" t="s">
        <v>18</v>
      </c>
      <c r="G69" s="2" t="s">
        <v>25</v>
      </c>
      <c r="H69" s="2" t="s">
        <v>229</v>
      </c>
      <c r="I69" s="2" t="s">
        <v>230</v>
      </c>
      <c r="J69" s="3">
        <v>1</v>
      </c>
      <c r="K69" s="2" t="s">
        <v>84</v>
      </c>
      <c r="L69" s="3">
        <v>1</v>
      </c>
      <c r="M69" s="9">
        <v>115000</v>
      </c>
      <c r="N69" s="3">
        <v>0</v>
      </c>
      <c r="O69" s="2" t="s">
        <v>20</v>
      </c>
      <c r="P69" s="2" t="s">
        <v>21</v>
      </c>
      <c r="Q69" s="2" t="s">
        <v>228</v>
      </c>
    </row>
    <row r="70" spans="1:17" x14ac:dyDescent="0.25">
      <c r="A70" s="1">
        <v>46263</v>
      </c>
      <c r="B70" s="1">
        <v>46262</v>
      </c>
      <c r="C70" s="2" t="s">
        <v>231</v>
      </c>
      <c r="D70" s="2" t="s">
        <v>17</v>
      </c>
      <c r="E70" s="2" t="s">
        <v>212</v>
      </c>
      <c r="F70" s="2" t="s">
        <v>18</v>
      </c>
      <c r="G70" s="2" t="s">
        <v>140</v>
      </c>
      <c r="H70" s="2" t="s">
        <v>54</v>
      </c>
      <c r="I70" s="2" t="s">
        <v>55</v>
      </c>
      <c r="J70" s="3">
        <v>36</v>
      </c>
      <c r="K70" s="2" t="s">
        <v>38</v>
      </c>
      <c r="L70" s="3">
        <v>30</v>
      </c>
      <c r="M70" s="9">
        <v>549450</v>
      </c>
      <c r="N70" s="3">
        <v>-6</v>
      </c>
      <c r="O70" s="2" t="s">
        <v>20</v>
      </c>
      <c r="P70" s="2" t="s">
        <v>21</v>
      </c>
      <c r="Q70" s="2" t="s">
        <v>22</v>
      </c>
    </row>
    <row r="71" spans="1:17" x14ac:dyDescent="0.25">
      <c r="A71" s="1">
        <v>46263</v>
      </c>
      <c r="B71" s="1">
        <v>46262</v>
      </c>
      <c r="C71" s="2" t="s">
        <v>232</v>
      </c>
      <c r="D71" s="2" t="s">
        <v>17</v>
      </c>
      <c r="E71" s="2" t="s">
        <v>221</v>
      </c>
      <c r="F71" s="2" t="s">
        <v>18</v>
      </c>
      <c r="G71" s="2" t="s">
        <v>25</v>
      </c>
      <c r="H71" s="2" t="s">
        <v>52</v>
      </c>
      <c r="I71" s="2" t="s">
        <v>53</v>
      </c>
      <c r="J71" s="3">
        <v>4</v>
      </c>
      <c r="K71" s="2" t="s">
        <v>28</v>
      </c>
      <c r="L71" s="3">
        <v>4</v>
      </c>
      <c r="M71" s="9">
        <v>1112000.04</v>
      </c>
      <c r="N71" s="3">
        <v>0</v>
      </c>
      <c r="O71" s="2" t="s">
        <v>20</v>
      </c>
      <c r="P71" s="2" t="s">
        <v>21</v>
      </c>
      <c r="Q71" s="2" t="s">
        <v>233</v>
      </c>
    </row>
    <row r="72" spans="1:17" x14ac:dyDescent="0.25">
      <c r="A72" s="1">
        <v>46263</v>
      </c>
      <c r="B72" s="1">
        <v>46262</v>
      </c>
      <c r="C72" s="2" t="s">
        <v>232</v>
      </c>
      <c r="D72" s="2" t="s">
        <v>17</v>
      </c>
      <c r="E72" s="2" t="s">
        <v>221</v>
      </c>
      <c r="F72" s="2" t="s">
        <v>18</v>
      </c>
      <c r="G72" s="2" t="s">
        <v>25</v>
      </c>
      <c r="H72" s="2" t="s">
        <v>26</v>
      </c>
      <c r="I72" s="2" t="s">
        <v>27</v>
      </c>
      <c r="J72" s="3">
        <v>14</v>
      </c>
      <c r="K72" s="2" t="s">
        <v>28</v>
      </c>
      <c r="L72" s="3">
        <v>14</v>
      </c>
      <c r="M72" s="9">
        <v>3836000.05</v>
      </c>
      <c r="N72" s="3">
        <v>0</v>
      </c>
      <c r="O72" s="2" t="s">
        <v>20</v>
      </c>
      <c r="P72" s="2" t="s">
        <v>21</v>
      </c>
      <c r="Q72" s="2" t="s">
        <v>233</v>
      </c>
    </row>
    <row r="73" spans="1:17" x14ac:dyDescent="0.25">
      <c r="A73" s="1">
        <v>46263</v>
      </c>
      <c r="B73" s="1">
        <v>46262</v>
      </c>
      <c r="C73" s="2" t="s">
        <v>234</v>
      </c>
      <c r="D73" s="2" t="s">
        <v>17</v>
      </c>
      <c r="E73" s="2" t="s">
        <v>221</v>
      </c>
      <c r="F73" s="2" t="s">
        <v>18</v>
      </c>
      <c r="G73" s="2" t="s">
        <v>25</v>
      </c>
      <c r="H73" s="2" t="s">
        <v>229</v>
      </c>
      <c r="I73" s="2" t="s">
        <v>230</v>
      </c>
      <c r="J73" s="3">
        <v>1</v>
      </c>
      <c r="K73" s="2" t="s">
        <v>84</v>
      </c>
      <c r="L73" s="3">
        <v>1</v>
      </c>
      <c r="M73" s="9">
        <v>115000</v>
      </c>
      <c r="N73" s="3">
        <v>0</v>
      </c>
      <c r="O73" s="2" t="s">
        <v>20</v>
      </c>
      <c r="P73" s="2" t="s">
        <v>21</v>
      </c>
      <c r="Q73" s="2" t="s">
        <v>233</v>
      </c>
    </row>
    <row r="74" spans="1:17" x14ac:dyDescent="0.25">
      <c r="A74" s="1">
        <v>46263</v>
      </c>
      <c r="B74" s="1">
        <v>46262</v>
      </c>
      <c r="C74" s="2" t="s">
        <v>235</v>
      </c>
      <c r="D74" s="2" t="s">
        <v>17</v>
      </c>
      <c r="E74" s="2" t="s">
        <v>236</v>
      </c>
      <c r="F74" s="2" t="s">
        <v>18</v>
      </c>
      <c r="G74" s="2" t="s">
        <v>25</v>
      </c>
      <c r="H74" s="2" t="s">
        <v>93</v>
      </c>
      <c r="I74" s="2" t="s">
        <v>94</v>
      </c>
      <c r="J74" s="3">
        <v>24</v>
      </c>
      <c r="K74" s="2" t="s">
        <v>90</v>
      </c>
      <c r="L74" s="3">
        <v>24</v>
      </c>
      <c r="M74" s="9">
        <v>1212120</v>
      </c>
      <c r="N74" s="3">
        <v>0</v>
      </c>
      <c r="O74" s="2" t="s">
        <v>20</v>
      </c>
      <c r="P74" s="2" t="s">
        <v>21</v>
      </c>
      <c r="Q74" s="2" t="s">
        <v>22</v>
      </c>
    </row>
    <row r="75" spans="1:17" x14ac:dyDescent="0.25">
      <c r="A75" s="1">
        <v>46263</v>
      </c>
      <c r="B75" s="1">
        <v>46262</v>
      </c>
      <c r="C75" s="2" t="s">
        <v>237</v>
      </c>
      <c r="D75" s="2" t="s">
        <v>17</v>
      </c>
      <c r="E75" s="2" t="s">
        <v>238</v>
      </c>
      <c r="F75" s="2" t="s">
        <v>18</v>
      </c>
      <c r="G75" s="2" t="s">
        <v>70</v>
      </c>
      <c r="H75" s="2" t="s">
        <v>52</v>
      </c>
      <c r="I75" s="2" t="s">
        <v>53</v>
      </c>
      <c r="J75" s="3">
        <v>2</v>
      </c>
      <c r="K75" s="2" t="s">
        <v>28</v>
      </c>
      <c r="L75" s="3">
        <v>2</v>
      </c>
      <c r="M75" s="9">
        <v>620000</v>
      </c>
      <c r="N75" s="3">
        <v>0</v>
      </c>
      <c r="O75" s="2" t="s">
        <v>20</v>
      </c>
      <c r="P75" s="2" t="s">
        <v>21</v>
      </c>
      <c r="Q75" s="2" t="s">
        <v>22</v>
      </c>
    </row>
    <row r="76" spans="1:17" x14ac:dyDescent="0.25">
      <c r="A76" s="1">
        <v>46263</v>
      </c>
      <c r="B76" s="1">
        <v>46262</v>
      </c>
      <c r="C76" s="2" t="s">
        <v>237</v>
      </c>
      <c r="D76" s="2" t="s">
        <v>17</v>
      </c>
      <c r="E76" s="2" t="s">
        <v>238</v>
      </c>
      <c r="F76" s="2" t="s">
        <v>18</v>
      </c>
      <c r="G76" s="2" t="s">
        <v>70</v>
      </c>
      <c r="H76" s="2" t="s">
        <v>30</v>
      </c>
      <c r="I76" s="2" t="s">
        <v>31</v>
      </c>
      <c r="J76" s="3">
        <v>1</v>
      </c>
      <c r="K76" s="2" t="s">
        <v>28</v>
      </c>
      <c r="L76" s="3">
        <v>1</v>
      </c>
      <c r="M76" s="9">
        <v>285000.01</v>
      </c>
      <c r="N76" s="3">
        <v>0</v>
      </c>
      <c r="O76" s="2" t="s">
        <v>20</v>
      </c>
      <c r="P76" s="2" t="s">
        <v>21</v>
      </c>
      <c r="Q76" s="2" t="s">
        <v>22</v>
      </c>
    </row>
    <row r="77" spans="1:17" x14ac:dyDescent="0.25">
      <c r="A77" s="1">
        <v>46263</v>
      </c>
      <c r="B77" s="1">
        <v>46262</v>
      </c>
      <c r="C77" s="2" t="s">
        <v>239</v>
      </c>
      <c r="D77" s="2" t="s">
        <v>17</v>
      </c>
      <c r="E77" s="2" t="s">
        <v>240</v>
      </c>
      <c r="F77" s="2" t="s">
        <v>18</v>
      </c>
      <c r="G77" s="2" t="s">
        <v>70</v>
      </c>
      <c r="H77" s="2" t="s">
        <v>52</v>
      </c>
      <c r="I77" s="2" t="s">
        <v>53</v>
      </c>
      <c r="J77" s="3">
        <v>1</v>
      </c>
      <c r="K77" s="2" t="s">
        <v>28</v>
      </c>
      <c r="L77" s="3">
        <v>1</v>
      </c>
      <c r="M77" s="9">
        <v>310000</v>
      </c>
      <c r="N77" s="3">
        <v>0</v>
      </c>
      <c r="O77" s="2" t="s">
        <v>20</v>
      </c>
      <c r="P77" s="2" t="s">
        <v>21</v>
      </c>
      <c r="Q77" s="2" t="s">
        <v>241</v>
      </c>
    </row>
    <row r="78" spans="1:17" x14ac:dyDescent="0.25">
      <c r="A78" s="1">
        <v>46263</v>
      </c>
      <c r="B78" s="1">
        <v>46262</v>
      </c>
      <c r="C78" s="2" t="s">
        <v>239</v>
      </c>
      <c r="D78" s="2" t="s">
        <v>17</v>
      </c>
      <c r="E78" s="2" t="s">
        <v>240</v>
      </c>
      <c r="F78" s="2" t="s">
        <v>18</v>
      </c>
      <c r="G78" s="2" t="s">
        <v>70</v>
      </c>
      <c r="H78" s="2" t="s">
        <v>26</v>
      </c>
      <c r="I78" s="2" t="s">
        <v>27</v>
      </c>
      <c r="J78" s="3">
        <v>2</v>
      </c>
      <c r="K78" s="2" t="s">
        <v>28</v>
      </c>
      <c r="L78" s="3">
        <v>2</v>
      </c>
      <c r="M78" s="9">
        <v>580000</v>
      </c>
      <c r="N78" s="3">
        <v>0</v>
      </c>
      <c r="O78" s="2" t="s">
        <v>20</v>
      </c>
      <c r="P78" s="2" t="s">
        <v>21</v>
      </c>
      <c r="Q78" s="2" t="s">
        <v>241</v>
      </c>
    </row>
    <row r="79" spans="1:17" x14ac:dyDescent="0.25">
      <c r="A79" s="1">
        <v>46263</v>
      </c>
      <c r="B79" s="1">
        <v>46262</v>
      </c>
      <c r="C79" s="2" t="s">
        <v>242</v>
      </c>
      <c r="D79" s="2" t="s">
        <v>17</v>
      </c>
      <c r="E79" s="2" t="s">
        <v>243</v>
      </c>
      <c r="F79" s="2" t="s">
        <v>45</v>
      </c>
      <c r="G79" s="2" t="s">
        <v>32</v>
      </c>
      <c r="H79" s="2" t="s">
        <v>26</v>
      </c>
      <c r="I79" s="2" t="s">
        <v>27</v>
      </c>
      <c r="J79" s="3">
        <v>6</v>
      </c>
      <c r="K79" s="2" t="s">
        <v>28</v>
      </c>
      <c r="L79" s="3">
        <v>6</v>
      </c>
      <c r="M79" s="9">
        <v>1770000.03</v>
      </c>
      <c r="N79" s="3">
        <v>0</v>
      </c>
      <c r="O79" s="2" t="s">
        <v>20</v>
      </c>
      <c r="P79" s="2" t="s">
        <v>21</v>
      </c>
      <c r="Q79" s="2" t="s">
        <v>244</v>
      </c>
    </row>
    <row r="80" spans="1:17" x14ac:dyDescent="0.25">
      <c r="A80" s="1">
        <v>46263</v>
      </c>
      <c r="B80" s="1">
        <v>46262</v>
      </c>
      <c r="C80" s="2" t="s">
        <v>247</v>
      </c>
      <c r="D80" s="2" t="s">
        <v>17</v>
      </c>
      <c r="E80" s="2" t="s">
        <v>248</v>
      </c>
      <c r="F80" s="2" t="s">
        <v>18</v>
      </c>
      <c r="G80" s="2" t="s">
        <v>246</v>
      </c>
      <c r="H80" s="2" t="s">
        <v>54</v>
      </c>
      <c r="I80" s="2" t="s">
        <v>55</v>
      </c>
      <c r="J80" s="3">
        <v>6</v>
      </c>
      <c r="K80" s="2" t="s">
        <v>38</v>
      </c>
      <c r="L80" s="3">
        <v>5</v>
      </c>
      <c r="M80" s="9">
        <v>74999.98</v>
      </c>
      <c r="N80" s="3">
        <v>-1</v>
      </c>
      <c r="O80" s="2" t="s">
        <v>20</v>
      </c>
      <c r="P80" s="2" t="s">
        <v>21</v>
      </c>
      <c r="Q80" s="2" t="s">
        <v>22</v>
      </c>
    </row>
    <row r="81" spans="1:17" x14ac:dyDescent="0.25">
      <c r="A81" s="1">
        <v>46263</v>
      </c>
      <c r="B81" s="1">
        <v>46262</v>
      </c>
      <c r="C81" s="2" t="s">
        <v>249</v>
      </c>
      <c r="D81" s="2" t="s">
        <v>17</v>
      </c>
      <c r="E81" s="2" t="s">
        <v>248</v>
      </c>
      <c r="F81" s="2" t="s">
        <v>18</v>
      </c>
      <c r="G81" s="2" t="s">
        <v>98</v>
      </c>
      <c r="H81" s="2" t="s">
        <v>250</v>
      </c>
      <c r="I81" s="2" t="s">
        <v>251</v>
      </c>
      <c r="J81" s="3">
        <v>2</v>
      </c>
      <c r="K81" s="2" t="s">
        <v>84</v>
      </c>
      <c r="L81" s="3">
        <v>2</v>
      </c>
      <c r="M81" s="9">
        <v>178000</v>
      </c>
      <c r="N81" s="3">
        <v>0</v>
      </c>
      <c r="O81" s="2" t="s">
        <v>20</v>
      </c>
      <c r="P81" s="2" t="s">
        <v>21</v>
      </c>
      <c r="Q81" s="2" t="s">
        <v>22</v>
      </c>
    </row>
    <row r="82" spans="1:17" x14ac:dyDescent="0.25">
      <c r="A82" s="1">
        <v>46263</v>
      </c>
      <c r="B82" s="1">
        <v>46262</v>
      </c>
      <c r="C82" s="2" t="s">
        <v>252</v>
      </c>
      <c r="D82" s="2" t="s">
        <v>17</v>
      </c>
      <c r="E82" s="2" t="s">
        <v>253</v>
      </c>
      <c r="F82" s="2" t="s">
        <v>18</v>
      </c>
      <c r="G82" s="2" t="s">
        <v>42</v>
      </c>
      <c r="H82" s="2" t="s">
        <v>26</v>
      </c>
      <c r="I82" s="2" t="s">
        <v>27</v>
      </c>
      <c r="J82" s="3">
        <v>2</v>
      </c>
      <c r="K82" s="2" t="s">
        <v>28</v>
      </c>
      <c r="L82" s="3">
        <v>2</v>
      </c>
      <c r="M82" s="9">
        <v>560000</v>
      </c>
      <c r="N82" s="3">
        <v>0</v>
      </c>
      <c r="O82" s="2" t="s">
        <v>20</v>
      </c>
      <c r="P82" s="2" t="s">
        <v>21</v>
      </c>
      <c r="Q82" s="2" t="s">
        <v>22</v>
      </c>
    </row>
    <row r="83" spans="1:17" x14ac:dyDescent="0.25">
      <c r="A83" s="1">
        <v>46263</v>
      </c>
      <c r="B83" s="1">
        <v>46262</v>
      </c>
      <c r="C83" s="2" t="s">
        <v>254</v>
      </c>
      <c r="D83" s="2" t="s">
        <v>17</v>
      </c>
      <c r="E83" s="2" t="s">
        <v>255</v>
      </c>
      <c r="F83" s="2" t="s">
        <v>45</v>
      </c>
      <c r="G83" s="2" t="s">
        <v>58</v>
      </c>
      <c r="H83" s="2" t="s">
        <v>162</v>
      </c>
      <c r="I83" s="2" t="s">
        <v>163</v>
      </c>
      <c r="J83" s="3">
        <v>20</v>
      </c>
      <c r="K83" s="2" t="s">
        <v>38</v>
      </c>
      <c r="L83" s="3">
        <v>20</v>
      </c>
      <c r="M83" s="9">
        <v>2400000</v>
      </c>
      <c r="N83" s="3">
        <v>0</v>
      </c>
      <c r="O83" s="2" t="s">
        <v>20</v>
      </c>
      <c r="P83" s="2" t="s">
        <v>21</v>
      </c>
      <c r="Q83" s="2" t="s">
        <v>256</v>
      </c>
    </row>
    <row r="84" spans="1:17" x14ac:dyDescent="0.25">
      <c r="A84" s="1">
        <v>46263</v>
      </c>
      <c r="B84" s="1">
        <v>46262</v>
      </c>
      <c r="C84" s="2" t="s">
        <v>257</v>
      </c>
      <c r="D84" s="2" t="s">
        <v>17</v>
      </c>
      <c r="E84" s="2" t="s">
        <v>258</v>
      </c>
      <c r="F84" s="2" t="s">
        <v>18</v>
      </c>
      <c r="G84" s="2" t="s">
        <v>124</v>
      </c>
      <c r="H84" s="2" t="s">
        <v>76</v>
      </c>
      <c r="I84" s="2" t="s">
        <v>77</v>
      </c>
      <c r="J84" s="3">
        <v>3</v>
      </c>
      <c r="K84" s="2" t="s">
        <v>38</v>
      </c>
      <c r="L84" s="3">
        <v>2.93</v>
      </c>
      <c r="M84" s="9">
        <v>571350</v>
      </c>
      <c r="N84" s="3">
        <v>-7.0000000000000007E-2</v>
      </c>
      <c r="O84" s="2" t="s">
        <v>20</v>
      </c>
      <c r="P84" s="2" t="s">
        <v>21</v>
      </c>
      <c r="Q84" s="2" t="s">
        <v>22</v>
      </c>
    </row>
    <row r="85" spans="1:17" x14ac:dyDescent="0.25">
      <c r="A85" s="1">
        <v>46263</v>
      </c>
      <c r="B85" s="1">
        <v>46262</v>
      </c>
      <c r="C85" s="2" t="s">
        <v>259</v>
      </c>
      <c r="D85" s="2" t="s">
        <v>17</v>
      </c>
      <c r="E85" s="2" t="s">
        <v>260</v>
      </c>
      <c r="F85" s="2" t="s">
        <v>45</v>
      </c>
      <c r="G85" s="2" t="s">
        <v>19</v>
      </c>
      <c r="H85" s="2" t="s">
        <v>26</v>
      </c>
      <c r="I85" s="2" t="s">
        <v>27</v>
      </c>
      <c r="J85" s="3">
        <v>1</v>
      </c>
      <c r="K85" s="2" t="s">
        <v>28</v>
      </c>
      <c r="L85" s="3">
        <v>1</v>
      </c>
      <c r="M85" s="9">
        <v>327450</v>
      </c>
      <c r="N85" s="3">
        <v>0</v>
      </c>
      <c r="O85" s="2" t="s">
        <v>20</v>
      </c>
      <c r="P85" s="2" t="s">
        <v>21</v>
      </c>
      <c r="Q85" s="2" t="s">
        <v>22</v>
      </c>
    </row>
    <row r="86" spans="1:17" x14ac:dyDescent="0.25">
      <c r="A86" s="1">
        <v>46263</v>
      </c>
      <c r="B86" s="1">
        <v>46262</v>
      </c>
      <c r="C86" s="2" t="s">
        <v>261</v>
      </c>
      <c r="D86" s="2" t="s">
        <v>17</v>
      </c>
      <c r="E86" s="2" t="s">
        <v>262</v>
      </c>
      <c r="F86" s="2" t="s">
        <v>18</v>
      </c>
      <c r="G86" s="2" t="s">
        <v>124</v>
      </c>
      <c r="H86" s="2" t="s">
        <v>263</v>
      </c>
      <c r="I86" s="2" t="s">
        <v>264</v>
      </c>
      <c r="J86" s="3">
        <v>3</v>
      </c>
      <c r="K86" s="2" t="s">
        <v>38</v>
      </c>
      <c r="L86" s="3">
        <v>3.33</v>
      </c>
      <c r="M86" s="9">
        <v>449550</v>
      </c>
      <c r="N86" s="3">
        <v>0.33</v>
      </c>
      <c r="O86" s="2" t="s">
        <v>20</v>
      </c>
      <c r="P86" s="2" t="s">
        <v>21</v>
      </c>
      <c r="Q86" s="2" t="s">
        <v>22</v>
      </c>
    </row>
    <row r="87" spans="1:17" x14ac:dyDescent="0.25">
      <c r="A87" s="1">
        <v>46263</v>
      </c>
      <c r="B87" s="1">
        <v>46262</v>
      </c>
      <c r="C87" s="2" t="s">
        <v>265</v>
      </c>
      <c r="D87" s="2" t="s">
        <v>17</v>
      </c>
      <c r="E87" s="2" t="s">
        <v>266</v>
      </c>
      <c r="F87" s="2" t="s">
        <v>18</v>
      </c>
      <c r="G87" s="2" t="s">
        <v>124</v>
      </c>
      <c r="H87" s="2" t="s">
        <v>267</v>
      </c>
      <c r="I87" s="2" t="s">
        <v>268</v>
      </c>
      <c r="J87" s="3">
        <v>2</v>
      </c>
      <c r="K87" s="2" t="s">
        <v>90</v>
      </c>
      <c r="L87" s="3">
        <v>2</v>
      </c>
      <c r="M87" s="9">
        <v>159840</v>
      </c>
      <c r="N87" s="3">
        <v>0</v>
      </c>
      <c r="O87" s="2" t="s">
        <v>20</v>
      </c>
      <c r="P87" s="2" t="s">
        <v>21</v>
      </c>
      <c r="Q87" s="2" t="s">
        <v>22</v>
      </c>
    </row>
    <row r="88" spans="1:17" x14ac:dyDescent="0.25">
      <c r="A88" s="1">
        <v>46263</v>
      </c>
      <c r="B88" s="1">
        <v>46262</v>
      </c>
      <c r="C88" s="2" t="s">
        <v>269</v>
      </c>
      <c r="D88" s="2" t="s">
        <v>17</v>
      </c>
      <c r="E88" s="2" t="s">
        <v>270</v>
      </c>
      <c r="F88" s="2" t="s">
        <v>18</v>
      </c>
      <c r="G88" s="2" t="s">
        <v>42</v>
      </c>
      <c r="H88" s="2" t="s">
        <v>26</v>
      </c>
      <c r="I88" s="2" t="s">
        <v>27</v>
      </c>
      <c r="J88" s="3">
        <v>2</v>
      </c>
      <c r="K88" s="2" t="s">
        <v>28</v>
      </c>
      <c r="L88" s="3">
        <v>2</v>
      </c>
      <c r="M88" s="9">
        <v>554000</v>
      </c>
      <c r="N88" s="3">
        <v>0</v>
      </c>
      <c r="O88" s="2" t="s">
        <v>20</v>
      </c>
      <c r="P88" s="2" t="s">
        <v>21</v>
      </c>
      <c r="Q88" s="2" t="s">
        <v>22</v>
      </c>
    </row>
    <row r="89" spans="1:17" x14ac:dyDescent="0.25">
      <c r="A89" s="1">
        <v>46263</v>
      </c>
      <c r="B89" s="1">
        <v>46262</v>
      </c>
      <c r="C89" s="2" t="s">
        <v>271</v>
      </c>
      <c r="D89" s="2" t="s">
        <v>17</v>
      </c>
      <c r="E89" s="2" t="s">
        <v>102</v>
      </c>
      <c r="F89" s="2" t="s">
        <v>18</v>
      </c>
      <c r="G89" s="2" t="s">
        <v>46</v>
      </c>
      <c r="H89" s="2" t="s">
        <v>26</v>
      </c>
      <c r="I89" s="2" t="s">
        <v>27</v>
      </c>
      <c r="J89" s="3">
        <v>4</v>
      </c>
      <c r="K89" s="2" t="s">
        <v>28</v>
      </c>
      <c r="L89" s="3">
        <v>4</v>
      </c>
      <c r="M89" s="9">
        <v>1200000.04</v>
      </c>
      <c r="N89" s="3">
        <v>0</v>
      </c>
      <c r="O89" s="2" t="s">
        <v>20</v>
      </c>
      <c r="P89" s="2" t="s">
        <v>21</v>
      </c>
      <c r="Q89" s="2" t="s">
        <v>22</v>
      </c>
    </row>
    <row r="90" spans="1:17" x14ac:dyDescent="0.25">
      <c r="A90" s="1">
        <v>46263</v>
      </c>
      <c r="B90" s="1">
        <v>46262</v>
      </c>
      <c r="C90" s="2" t="s">
        <v>272</v>
      </c>
      <c r="D90" s="2" t="s">
        <v>17</v>
      </c>
      <c r="E90" s="2" t="s">
        <v>273</v>
      </c>
      <c r="F90" s="2" t="s">
        <v>18</v>
      </c>
      <c r="G90" s="2" t="s">
        <v>46</v>
      </c>
      <c r="H90" s="2" t="s">
        <v>187</v>
      </c>
      <c r="I90" s="2" t="s">
        <v>188</v>
      </c>
      <c r="J90" s="3">
        <v>12</v>
      </c>
      <c r="K90" s="2" t="s">
        <v>90</v>
      </c>
      <c r="L90" s="3">
        <v>12</v>
      </c>
      <c r="M90" s="9">
        <v>606060</v>
      </c>
      <c r="N90" s="3">
        <v>0</v>
      </c>
      <c r="O90" s="2" t="s">
        <v>20</v>
      </c>
      <c r="P90" s="2" t="s">
        <v>21</v>
      </c>
      <c r="Q90" s="2" t="s">
        <v>274</v>
      </c>
    </row>
    <row r="91" spans="1:17" x14ac:dyDescent="0.25">
      <c r="A91" s="1">
        <v>46263</v>
      </c>
      <c r="B91" s="1">
        <v>46262</v>
      </c>
      <c r="C91" s="2" t="s">
        <v>275</v>
      </c>
      <c r="D91" s="2" t="s">
        <v>17</v>
      </c>
      <c r="E91" s="2" t="s">
        <v>276</v>
      </c>
      <c r="F91" s="2" t="s">
        <v>18</v>
      </c>
      <c r="G91" s="2" t="s">
        <v>124</v>
      </c>
      <c r="H91" s="2" t="s">
        <v>52</v>
      </c>
      <c r="I91" s="2" t="s">
        <v>53</v>
      </c>
      <c r="J91" s="3">
        <v>1</v>
      </c>
      <c r="K91" s="2" t="s">
        <v>28</v>
      </c>
      <c r="L91" s="3">
        <v>1</v>
      </c>
      <c r="M91" s="9">
        <v>300000</v>
      </c>
      <c r="N91" s="3">
        <v>0</v>
      </c>
      <c r="O91" s="2" t="s">
        <v>20</v>
      </c>
      <c r="P91" s="2" t="s">
        <v>21</v>
      </c>
      <c r="Q91" s="2" t="s">
        <v>22</v>
      </c>
    </row>
    <row r="92" spans="1:17" x14ac:dyDescent="0.25">
      <c r="A92" s="1">
        <v>46263</v>
      </c>
      <c r="B92" s="1">
        <v>46262</v>
      </c>
      <c r="C92" s="2" t="s">
        <v>275</v>
      </c>
      <c r="D92" s="2" t="s">
        <v>17</v>
      </c>
      <c r="E92" s="2" t="s">
        <v>276</v>
      </c>
      <c r="F92" s="2" t="s">
        <v>18</v>
      </c>
      <c r="G92" s="2" t="s">
        <v>124</v>
      </c>
      <c r="H92" s="2" t="s">
        <v>30</v>
      </c>
      <c r="I92" s="2" t="s">
        <v>31</v>
      </c>
      <c r="J92" s="3">
        <v>1</v>
      </c>
      <c r="K92" s="2" t="s">
        <v>28</v>
      </c>
      <c r="L92" s="3">
        <v>1</v>
      </c>
      <c r="M92" s="9">
        <v>295000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46263</v>
      </c>
      <c r="B93" s="1">
        <v>46262</v>
      </c>
      <c r="C93" s="2" t="s">
        <v>279</v>
      </c>
      <c r="D93" s="2" t="s">
        <v>17</v>
      </c>
      <c r="E93" s="2" t="s">
        <v>280</v>
      </c>
      <c r="F93" s="2" t="s">
        <v>18</v>
      </c>
      <c r="G93" s="2" t="s">
        <v>124</v>
      </c>
      <c r="H93" s="2" t="s">
        <v>26</v>
      </c>
      <c r="I93" s="2" t="s">
        <v>27</v>
      </c>
      <c r="J93" s="3">
        <v>15</v>
      </c>
      <c r="K93" s="2" t="s">
        <v>28</v>
      </c>
      <c r="L93" s="3">
        <v>15</v>
      </c>
      <c r="M93" s="9">
        <v>4155000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46263</v>
      </c>
      <c r="B94" s="1">
        <v>46262</v>
      </c>
      <c r="C94" s="2" t="s">
        <v>281</v>
      </c>
      <c r="D94" s="2" t="s">
        <v>17</v>
      </c>
      <c r="E94" s="2" t="s">
        <v>282</v>
      </c>
      <c r="F94" s="2" t="s">
        <v>18</v>
      </c>
      <c r="G94" s="2" t="s">
        <v>46</v>
      </c>
      <c r="H94" s="2" t="s">
        <v>26</v>
      </c>
      <c r="I94" s="2" t="s">
        <v>27</v>
      </c>
      <c r="J94" s="3">
        <v>1</v>
      </c>
      <c r="K94" s="2" t="s">
        <v>28</v>
      </c>
      <c r="L94" s="3">
        <v>1</v>
      </c>
      <c r="M94" s="9">
        <v>327450</v>
      </c>
      <c r="N94" s="3">
        <v>0</v>
      </c>
      <c r="O94" s="2" t="s">
        <v>20</v>
      </c>
      <c r="P94" s="2" t="s">
        <v>21</v>
      </c>
      <c r="Q94" s="2" t="s">
        <v>22</v>
      </c>
    </row>
    <row r="95" spans="1:17" x14ac:dyDescent="0.25">
      <c r="A95" s="1">
        <v>46263</v>
      </c>
      <c r="B95" s="1">
        <v>46262</v>
      </c>
      <c r="C95" s="2" t="s">
        <v>283</v>
      </c>
      <c r="D95" s="2" t="s">
        <v>17</v>
      </c>
      <c r="E95" s="2" t="s">
        <v>284</v>
      </c>
      <c r="F95" s="2" t="s">
        <v>45</v>
      </c>
      <c r="G95" s="2" t="s">
        <v>32</v>
      </c>
      <c r="H95" s="2" t="s">
        <v>26</v>
      </c>
      <c r="I95" s="2" t="s">
        <v>27</v>
      </c>
      <c r="J95" s="3">
        <v>1</v>
      </c>
      <c r="K95" s="2" t="s">
        <v>28</v>
      </c>
      <c r="L95" s="3">
        <v>1</v>
      </c>
      <c r="M95" s="9">
        <v>280000</v>
      </c>
      <c r="N95" s="3">
        <v>0</v>
      </c>
      <c r="O95" s="2" t="s">
        <v>20</v>
      </c>
      <c r="P95" s="2" t="s">
        <v>21</v>
      </c>
      <c r="Q95" s="2" t="s">
        <v>22</v>
      </c>
    </row>
    <row r="96" spans="1:17" x14ac:dyDescent="0.25">
      <c r="A96" s="1">
        <v>46263</v>
      </c>
      <c r="B96" s="1">
        <v>46262</v>
      </c>
      <c r="C96" s="2" t="s">
        <v>285</v>
      </c>
      <c r="D96" s="2" t="s">
        <v>17</v>
      </c>
      <c r="E96" s="2" t="s">
        <v>286</v>
      </c>
      <c r="F96" s="2" t="s">
        <v>45</v>
      </c>
      <c r="G96" s="2" t="s">
        <v>287</v>
      </c>
      <c r="H96" s="2" t="s">
        <v>288</v>
      </c>
      <c r="I96" s="2" t="s">
        <v>289</v>
      </c>
      <c r="J96" s="3">
        <v>40</v>
      </c>
      <c r="K96" s="2" t="s">
        <v>38</v>
      </c>
      <c r="L96" s="3">
        <v>40</v>
      </c>
      <c r="M96" s="9">
        <v>1240000.0900000001</v>
      </c>
      <c r="N96" s="3">
        <v>0</v>
      </c>
      <c r="O96" s="2" t="s">
        <v>20</v>
      </c>
      <c r="P96" s="2" t="s">
        <v>21</v>
      </c>
      <c r="Q96" s="2" t="s">
        <v>290</v>
      </c>
    </row>
    <row r="97" spans="1:17" x14ac:dyDescent="0.25">
      <c r="A97" s="1">
        <v>46263</v>
      </c>
      <c r="B97" s="1">
        <v>46262</v>
      </c>
      <c r="C97" s="2" t="s">
        <v>291</v>
      </c>
      <c r="D97" s="2" t="s">
        <v>17</v>
      </c>
      <c r="E97" s="2" t="s">
        <v>292</v>
      </c>
      <c r="F97" s="2" t="s">
        <v>18</v>
      </c>
      <c r="G97" s="2" t="s">
        <v>287</v>
      </c>
      <c r="H97" s="2" t="s">
        <v>293</v>
      </c>
      <c r="I97" s="2" t="s">
        <v>294</v>
      </c>
      <c r="J97" s="3">
        <v>6</v>
      </c>
      <c r="K97" s="2" t="s">
        <v>295</v>
      </c>
      <c r="L97" s="3">
        <v>6</v>
      </c>
      <c r="M97" s="9">
        <v>551999.99</v>
      </c>
      <c r="N97" s="3">
        <v>0</v>
      </c>
      <c r="O97" s="2" t="s">
        <v>20</v>
      </c>
      <c r="P97" s="2" t="s">
        <v>21</v>
      </c>
      <c r="Q97" s="2" t="s">
        <v>22</v>
      </c>
    </row>
    <row r="98" spans="1:17" x14ac:dyDescent="0.25">
      <c r="A98" s="1">
        <v>46263</v>
      </c>
      <c r="B98" s="1">
        <v>46262</v>
      </c>
      <c r="C98" s="2" t="s">
        <v>296</v>
      </c>
      <c r="D98" s="2" t="s">
        <v>17</v>
      </c>
      <c r="E98" s="2" t="s">
        <v>292</v>
      </c>
      <c r="F98" s="2" t="s">
        <v>18</v>
      </c>
      <c r="G98" s="2" t="s">
        <v>287</v>
      </c>
      <c r="H98" s="2" t="s">
        <v>297</v>
      </c>
      <c r="I98" s="2" t="s">
        <v>298</v>
      </c>
      <c r="J98" s="3">
        <v>40</v>
      </c>
      <c r="K98" s="2" t="s">
        <v>84</v>
      </c>
      <c r="L98" s="3">
        <v>40</v>
      </c>
      <c r="M98" s="9">
        <v>700000.19</v>
      </c>
      <c r="N98" s="3">
        <v>0</v>
      </c>
      <c r="O98" s="2" t="s">
        <v>20</v>
      </c>
      <c r="P98" s="2" t="s">
        <v>21</v>
      </c>
      <c r="Q98" s="2" t="s">
        <v>22</v>
      </c>
    </row>
    <row r="99" spans="1:17" x14ac:dyDescent="0.25">
      <c r="A99" s="1">
        <v>46263</v>
      </c>
      <c r="B99" s="1">
        <v>46262</v>
      </c>
      <c r="C99" s="2" t="s">
        <v>299</v>
      </c>
      <c r="D99" s="2" t="s">
        <v>17</v>
      </c>
      <c r="E99" s="2" t="s">
        <v>300</v>
      </c>
      <c r="F99" s="2" t="s">
        <v>18</v>
      </c>
      <c r="G99" s="2" t="s">
        <v>25</v>
      </c>
      <c r="H99" s="2" t="s">
        <v>26</v>
      </c>
      <c r="I99" s="2" t="s">
        <v>27</v>
      </c>
      <c r="J99" s="3">
        <v>1</v>
      </c>
      <c r="K99" s="2" t="s">
        <v>28</v>
      </c>
      <c r="L99" s="3">
        <v>1</v>
      </c>
      <c r="M99" s="9">
        <v>327450</v>
      </c>
      <c r="N99" s="3">
        <v>0</v>
      </c>
      <c r="O99" s="2" t="s">
        <v>20</v>
      </c>
      <c r="P99" s="2" t="s">
        <v>21</v>
      </c>
      <c r="Q99" s="2" t="s">
        <v>22</v>
      </c>
    </row>
    <row r="100" spans="1:17" x14ac:dyDescent="0.25">
      <c r="A100" s="1">
        <v>46263</v>
      </c>
      <c r="B100" s="1">
        <v>46262</v>
      </c>
      <c r="C100" s="2" t="s">
        <v>301</v>
      </c>
      <c r="D100" s="2" t="s">
        <v>17</v>
      </c>
      <c r="E100" s="2" t="s">
        <v>302</v>
      </c>
      <c r="F100" s="2" t="s">
        <v>45</v>
      </c>
      <c r="G100" s="2" t="s">
        <v>303</v>
      </c>
      <c r="H100" s="2" t="s">
        <v>304</v>
      </c>
      <c r="I100" s="2" t="s">
        <v>305</v>
      </c>
      <c r="J100" s="3">
        <v>2</v>
      </c>
      <c r="K100" s="2" t="s">
        <v>84</v>
      </c>
      <c r="L100" s="3">
        <v>2</v>
      </c>
      <c r="M100" s="9">
        <v>128400.01</v>
      </c>
      <c r="N100" s="3">
        <v>0</v>
      </c>
      <c r="O100" s="2" t="s">
        <v>20</v>
      </c>
      <c r="P100" s="2" t="s">
        <v>21</v>
      </c>
      <c r="Q100" s="2" t="s">
        <v>306</v>
      </c>
    </row>
    <row r="101" spans="1:17" x14ac:dyDescent="0.25">
      <c r="A101" s="1">
        <v>46263</v>
      </c>
      <c r="B101" s="1">
        <v>46262</v>
      </c>
      <c r="C101" s="2" t="s">
        <v>301</v>
      </c>
      <c r="D101" s="2" t="s">
        <v>17</v>
      </c>
      <c r="E101" s="2" t="s">
        <v>302</v>
      </c>
      <c r="F101" s="2" t="s">
        <v>45</v>
      </c>
      <c r="G101" s="2" t="s">
        <v>303</v>
      </c>
      <c r="H101" s="2" t="s">
        <v>307</v>
      </c>
      <c r="I101" s="2" t="s">
        <v>308</v>
      </c>
      <c r="J101" s="3">
        <v>2</v>
      </c>
      <c r="K101" s="2" t="s">
        <v>84</v>
      </c>
      <c r="L101" s="3">
        <v>2</v>
      </c>
      <c r="M101" s="9">
        <v>108200</v>
      </c>
      <c r="N101" s="3">
        <v>0</v>
      </c>
      <c r="O101" s="2" t="s">
        <v>20</v>
      </c>
      <c r="P101" s="2" t="s">
        <v>21</v>
      </c>
      <c r="Q101" s="2" t="s">
        <v>306</v>
      </c>
    </row>
    <row r="102" spans="1:17" x14ac:dyDescent="0.25">
      <c r="A102" s="1">
        <v>46263</v>
      </c>
      <c r="B102" s="1">
        <v>46262</v>
      </c>
      <c r="C102" s="2" t="s">
        <v>309</v>
      </c>
      <c r="D102" s="2" t="s">
        <v>17</v>
      </c>
      <c r="E102" s="2" t="s">
        <v>310</v>
      </c>
      <c r="F102" s="2" t="s">
        <v>18</v>
      </c>
      <c r="G102" s="2" t="s">
        <v>124</v>
      </c>
      <c r="H102" s="2" t="s">
        <v>26</v>
      </c>
      <c r="I102" s="2" t="s">
        <v>27</v>
      </c>
      <c r="J102" s="3">
        <v>4</v>
      </c>
      <c r="K102" s="2" t="s">
        <v>28</v>
      </c>
      <c r="L102" s="3">
        <v>4</v>
      </c>
      <c r="M102" s="9">
        <v>1120000</v>
      </c>
      <c r="N102" s="3">
        <v>0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46263</v>
      </c>
      <c r="B103" s="1">
        <v>46262</v>
      </c>
      <c r="C103" s="2" t="s">
        <v>311</v>
      </c>
      <c r="D103" s="2" t="s">
        <v>17</v>
      </c>
      <c r="E103" s="2" t="s">
        <v>310</v>
      </c>
      <c r="F103" s="2" t="s">
        <v>18</v>
      </c>
      <c r="G103" s="2" t="s">
        <v>124</v>
      </c>
      <c r="H103" s="2" t="s">
        <v>312</v>
      </c>
      <c r="I103" s="2" t="s">
        <v>313</v>
      </c>
      <c r="J103" s="3">
        <v>8</v>
      </c>
      <c r="K103" s="2" t="s">
        <v>38</v>
      </c>
      <c r="L103" s="3">
        <v>9.6998999999999995</v>
      </c>
      <c r="M103" s="9">
        <v>1697500</v>
      </c>
      <c r="N103" s="3">
        <v>1.6999</v>
      </c>
      <c r="O103" s="2" t="s">
        <v>20</v>
      </c>
      <c r="P103" s="2" t="s">
        <v>21</v>
      </c>
      <c r="Q103" s="2" t="s">
        <v>22</v>
      </c>
    </row>
    <row r="104" spans="1:17" x14ac:dyDescent="0.25">
      <c r="A104" s="1">
        <v>46263</v>
      </c>
      <c r="B104" s="1">
        <v>46262</v>
      </c>
      <c r="C104" s="2" t="s">
        <v>314</v>
      </c>
      <c r="D104" s="2" t="s">
        <v>17</v>
      </c>
      <c r="E104" s="2" t="s">
        <v>315</v>
      </c>
      <c r="F104" s="2" t="s">
        <v>18</v>
      </c>
      <c r="G104" s="2" t="s">
        <v>70</v>
      </c>
      <c r="H104" s="2" t="s">
        <v>26</v>
      </c>
      <c r="I104" s="2" t="s">
        <v>27</v>
      </c>
      <c r="J104" s="3">
        <v>4</v>
      </c>
      <c r="K104" s="2" t="s">
        <v>28</v>
      </c>
      <c r="L104" s="3">
        <v>4</v>
      </c>
      <c r="M104" s="9">
        <v>1300000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46263</v>
      </c>
      <c r="B105" s="1">
        <v>46262</v>
      </c>
      <c r="C105" s="2" t="s">
        <v>314</v>
      </c>
      <c r="D105" s="2" t="s">
        <v>17</v>
      </c>
      <c r="E105" s="2" t="s">
        <v>315</v>
      </c>
      <c r="F105" s="2" t="s">
        <v>18</v>
      </c>
      <c r="G105" s="2" t="s">
        <v>70</v>
      </c>
      <c r="H105" s="2" t="s">
        <v>52</v>
      </c>
      <c r="I105" s="2" t="s">
        <v>53</v>
      </c>
      <c r="J105" s="3">
        <v>10</v>
      </c>
      <c r="K105" s="2" t="s">
        <v>28</v>
      </c>
      <c r="L105" s="3">
        <v>10</v>
      </c>
      <c r="M105" s="9">
        <v>3400000</v>
      </c>
      <c r="N105" s="3">
        <v>0</v>
      </c>
      <c r="O105" s="2" t="s">
        <v>20</v>
      </c>
      <c r="P105" s="2" t="s">
        <v>21</v>
      </c>
      <c r="Q105" s="2" t="s">
        <v>22</v>
      </c>
    </row>
    <row r="106" spans="1:17" x14ac:dyDescent="0.25">
      <c r="A106" s="1">
        <v>46263</v>
      </c>
      <c r="B106" s="1">
        <v>46262</v>
      </c>
      <c r="C106" s="2" t="s">
        <v>316</v>
      </c>
      <c r="D106" s="2" t="s">
        <v>17</v>
      </c>
      <c r="E106" s="2" t="s">
        <v>317</v>
      </c>
      <c r="F106" s="2" t="s">
        <v>45</v>
      </c>
      <c r="G106" s="2" t="s">
        <v>303</v>
      </c>
      <c r="H106" s="2" t="s">
        <v>135</v>
      </c>
      <c r="I106" s="2" t="s">
        <v>136</v>
      </c>
      <c r="J106" s="3">
        <v>40</v>
      </c>
      <c r="K106" s="2" t="s">
        <v>84</v>
      </c>
      <c r="L106" s="3">
        <v>40</v>
      </c>
      <c r="M106" s="9">
        <v>2776679.96</v>
      </c>
      <c r="N106" s="3">
        <v>0</v>
      </c>
      <c r="O106" s="2" t="s">
        <v>20</v>
      </c>
      <c r="P106" s="2" t="s">
        <v>21</v>
      </c>
      <c r="Q106" s="2" t="s">
        <v>22</v>
      </c>
    </row>
    <row r="107" spans="1:17" x14ac:dyDescent="0.25">
      <c r="A107" s="1">
        <v>46263</v>
      </c>
      <c r="B107" s="1">
        <v>46263</v>
      </c>
      <c r="C107" s="2" t="s">
        <v>318</v>
      </c>
      <c r="D107" s="2" t="s">
        <v>17</v>
      </c>
      <c r="E107" s="2" t="s">
        <v>319</v>
      </c>
      <c r="F107" s="2" t="s">
        <v>18</v>
      </c>
      <c r="G107" s="2" t="s">
        <v>124</v>
      </c>
      <c r="H107" s="2" t="s">
        <v>162</v>
      </c>
      <c r="I107" s="2" t="s">
        <v>163</v>
      </c>
      <c r="J107" s="3">
        <v>10</v>
      </c>
      <c r="K107" s="2" t="s">
        <v>38</v>
      </c>
      <c r="L107" s="3">
        <v>10</v>
      </c>
      <c r="M107" s="9">
        <v>1050000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46263</v>
      </c>
      <c r="B108" s="1">
        <v>46263</v>
      </c>
      <c r="C108" s="2" t="s">
        <v>318</v>
      </c>
      <c r="D108" s="2" t="s">
        <v>17</v>
      </c>
      <c r="E108" s="2" t="s">
        <v>319</v>
      </c>
      <c r="F108" s="2" t="s">
        <v>18</v>
      </c>
      <c r="G108" s="2" t="s">
        <v>124</v>
      </c>
      <c r="H108" s="2" t="s">
        <v>162</v>
      </c>
      <c r="I108" s="2" t="s">
        <v>163</v>
      </c>
      <c r="J108" s="3">
        <v>10</v>
      </c>
      <c r="K108" s="2" t="s">
        <v>38</v>
      </c>
      <c r="L108" s="3">
        <v>10</v>
      </c>
      <c r="M108" s="9">
        <v>1050000</v>
      </c>
      <c r="N108" s="3">
        <v>0</v>
      </c>
      <c r="O108" s="2" t="s">
        <v>20</v>
      </c>
      <c r="P108" s="2" t="s">
        <v>21</v>
      </c>
      <c r="Q108" s="2" t="s">
        <v>22</v>
      </c>
    </row>
    <row r="109" spans="1:17" x14ac:dyDescent="0.25">
      <c r="A109" s="1">
        <v>46263</v>
      </c>
      <c r="B109" s="1">
        <v>46262</v>
      </c>
      <c r="C109" s="2" t="s">
        <v>320</v>
      </c>
      <c r="D109" s="2" t="s">
        <v>321</v>
      </c>
      <c r="E109" s="2" t="s">
        <v>80</v>
      </c>
      <c r="F109" s="2" t="s">
        <v>45</v>
      </c>
      <c r="G109" s="2" t="s">
        <v>46</v>
      </c>
      <c r="H109" s="2" t="s">
        <v>322</v>
      </c>
      <c r="I109" s="2" t="s">
        <v>323</v>
      </c>
      <c r="J109" s="3">
        <v>6</v>
      </c>
      <c r="K109" s="2" t="s">
        <v>324</v>
      </c>
      <c r="L109" s="3">
        <v>6</v>
      </c>
      <c r="M109" s="9">
        <v>570000</v>
      </c>
      <c r="N109" s="3">
        <v>0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46263</v>
      </c>
      <c r="B110" s="1">
        <v>46262</v>
      </c>
      <c r="C110" s="2" t="s">
        <v>325</v>
      </c>
      <c r="D110" s="2" t="s">
        <v>321</v>
      </c>
      <c r="E110" s="2" t="s">
        <v>213</v>
      </c>
      <c r="F110" s="2" t="s">
        <v>18</v>
      </c>
      <c r="G110" s="2" t="s">
        <v>70</v>
      </c>
      <c r="H110" s="2" t="s">
        <v>326</v>
      </c>
      <c r="I110" s="2" t="s">
        <v>327</v>
      </c>
      <c r="J110" s="3">
        <v>11.5</v>
      </c>
      <c r="K110" s="2" t="s">
        <v>38</v>
      </c>
      <c r="L110" s="3">
        <v>10.8</v>
      </c>
      <c r="M110" s="9">
        <v>1318680</v>
      </c>
      <c r="N110" s="3">
        <v>-0.7</v>
      </c>
      <c r="O110" s="2" t="s">
        <v>20</v>
      </c>
      <c r="P110" s="2" t="s">
        <v>21</v>
      </c>
      <c r="Q110" s="2" t="s">
        <v>328</v>
      </c>
    </row>
    <row r="111" spans="1:17" x14ac:dyDescent="0.25">
      <c r="A111" s="1">
        <v>46263</v>
      </c>
      <c r="B111" s="1">
        <v>46262</v>
      </c>
      <c r="C111" s="2" t="s">
        <v>329</v>
      </c>
      <c r="D111" s="2" t="s">
        <v>321</v>
      </c>
      <c r="E111" s="2" t="s">
        <v>330</v>
      </c>
      <c r="F111" s="2" t="s">
        <v>18</v>
      </c>
      <c r="G111" s="2" t="s">
        <v>155</v>
      </c>
      <c r="H111" s="2" t="s">
        <v>331</v>
      </c>
      <c r="I111" s="2" t="s">
        <v>332</v>
      </c>
      <c r="J111" s="3">
        <v>25</v>
      </c>
      <c r="K111" s="2" t="s">
        <v>38</v>
      </c>
      <c r="L111" s="3">
        <v>25</v>
      </c>
      <c r="M111" s="9">
        <v>2625000.15</v>
      </c>
      <c r="N111" s="3">
        <v>0</v>
      </c>
      <c r="O111" s="2" t="s">
        <v>20</v>
      </c>
      <c r="P111" s="2" t="s">
        <v>21</v>
      </c>
      <c r="Q111" s="2" t="s">
        <v>22</v>
      </c>
    </row>
    <row r="112" spans="1:17" x14ac:dyDescent="0.25">
      <c r="A112" s="1">
        <v>46263</v>
      </c>
      <c r="B112" s="1">
        <v>46262</v>
      </c>
      <c r="C112" s="2" t="s">
        <v>333</v>
      </c>
      <c r="D112" s="2" t="s">
        <v>321</v>
      </c>
      <c r="E112" s="2" t="s">
        <v>62</v>
      </c>
      <c r="F112" s="2" t="s">
        <v>18</v>
      </c>
      <c r="G112" s="2" t="s">
        <v>25</v>
      </c>
      <c r="H112" s="2" t="s">
        <v>322</v>
      </c>
      <c r="I112" s="2" t="s">
        <v>323</v>
      </c>
      <c r="J112" s="3">
        <v>6</v>
      </c>
      <c r="K112" s="2" t="s">
        <v>324</v>
      </c>
      <c r="L112" s="3">
        <v>6</v>
      </c>
      <c r="M112" s="9">
        <v>510000.02</v>
      </c>
      <c r="N112" s="3">
        <v>0</v>
      </c>
      <c r="O112" s="2" t="s">
        <v>20</v>
      </c>
      <c r="P112" s="2" t="s">
        <v>21</v>
      </c>
      <c r="Q112" s="2" t="s">
        <v>22</v>
      </c>
    </row>
    <row r="113" spans="1:17" x14ac:dyDescent="0.25">
      <c r="A113" s="1">
        <v>46263</v>
      </c>
      <c r="B113" s="1">
        <v>46262</v>
      </c>
      <c r="C113" s="2" t="s">
        <v>334</v>
      </c>
      <c r="D113" s="2" t="s">
        <v>321</v>
      </c>
      <c r="E113" s="2" t="s">
        <v>335</v>
      </c>
      <c r="F113" s="2" t="s">
        <v>18</v>
      </c>
      <c r="G113" s="2" t="s">
        <v>58</v>
      </c>
      <c r="H113" s="2" t="s">
        <v>336</v>
      </c>
      <c r="I113" s="2" t="s">
        <v>337</v>
      </c>
      <c r="J113" s="3">
        <v>1</v>
      </c>
      <c r="K113" s="2" t="s">
        <v>141</v>
      </c>
      <c r="L113" s="3">
        <v>1</v>
      </c>
      <c r="M113" s="9">
        <v>466200</v>
      </c>
      <c r="N113" s="3">
        <v>0</v>
      </c>
      <c r="O113" s="2" t="s">
        <v>20</v>
      </c>
      <c r="P113" s="2" t="s">
        <v>21</v>
      </c>
      <c r="Q113" s="2" t="s">
        <v>22</v>
      </c>
    </row>
    <row r="114" spans="1:17" x14ac:dyDescent="0.25">
      <c r="A114" s="1">
        <v>46263</v>
      </c>
      <c r="B114" s="1">
        <v>46262</v>
      </c>
      <c r="C114" s="2" t="s">
        <v>338</v>
      </c>
      <c r="D114" s="2" t="s">
        <v>321</v>
      </c>
      <c r="E114" s="2" t="s">
        <v>339</v>
      </c>
      <c r="F114" s="2" t="s">
        <v>45</v>
      </c>
      <c r="G114" s="2" t="s">
        <v>35</v>
      </c>
      <c r="H114" s="2" t="s">
        <v>322</v>
      </c>
      <c r="I114" s="2" t="s">
        <v>323</v>
      </c>
      <c r="J114" s="3">
        <v>1</v>
      </c>
      <c r="K114" s="2" t="s">
        <v>324</v>
      </c>
      <c r="L114" s="3">
        <v>1</v>
      </c>
      <c r="M114" s="9">
        <v>88000</v>
      </c>
      <c r="N114" s="3">
        <v>0</v>
      </c>
      <c r="O114" s="2" t="s">
        <v>20</v>
      </c>
      <c r="P114" s="2" t="s">
        <v>21</v>
      </c>
      <c r="Q114" s="2" t="s">
        <v>22</v>
      </c>
    </row>
    <row r="115" spans="1:17" x14ac:dyDescent="0.25">
      <c r="A115" s="1">
        <v>46263</v>
      </c>
      <c r="B115" s="1">
        <v>46262</v>
      </c>
      <c r="C115" s="2" t="s">
        <v>340</v>
      </c>
      <c r="D115" s="2" t="s">
        <v>321</v>
      </c>
      <c r="E115" s="2" t="s">
        <v>339</v>
      </c>
      <c r="F115" s="2" t="s">
        <v>45</v>
      </c>
      <c r="G115" s="2" t="s">
        <v>35</v>
      </c>
      <c r="H115" s="2" t="s">
        <v>341</v>
      </c>
      <c r="I115" s="2" t="s">
        <v>342</v>
      </c>
      <c r="J115" s="3">
        <v>1</v>
      </c>
      <c r="K115" s="2" t="s">
        <v>141</v>
      </c>
      <c r="L115" s="3">
        <v>1</v>
      </c>
      <c r="M115" s="9">
        <v>300000</v>
      </c>
      <c r="N115" s="3">
        <v>0</v>
      </c>
      <c r="O115" s="2" t="s">
        <v>20</v>
      </c>
      <c r="P115" s="2" t="s">
        <v>21</v>
      </c>
      <c r="Q115" s="2" t="s">
        <v>22</v>
      </c>
    </row>
    <row r="116" spans="1:17" x14ac:dyDescent="0.25">
      <c r="A116" s="1">
        <v>46263</v>
      </c>
      <c r="B116" s="1">
        <v>46262</v>
      </c>
      <c r="C116" s="2" t="s">
        <v>343</v>
      </c>
      <c r="D116" s="2" t="s">
        <v>321</v>
      </c>
      <c r="E116" s="2" t="s">
        <v>344</v>
      </c>
      <c r="F116" s="2" t="s">
        <v>45</v>
      </c>
      <c r="G116" s="2" t="s">
        <v>287</v>
      </c>
      <c r="H116" s="2" t="s">
        <v>345</v>
      </c>
      <c r="I116" s="2" t="s">
        <v>346</v>
      </c>
      <c r="J116" s="3">
        <v>20</v>
      </c>
      <c r="K116" s="2" t="s">
        <v>38</v>
      </c>
      <c r="L116" s="3">
        <v>20</v>
      </c>
      <c r="M116" s="9">
        <v>2300000</v>
      </c>
      <c r="N116" s="3">
        <v>0</v>
      </c>
      <c r="O116" s="2" t="s">
        <v>20</v>
      </c>
      <c r="P116" s="2" t="s">
        <v>21</v>
      </c>
      <c r="Q116" s="2" t="s">
        <v>22</v>
      </c>
    </row>
    <row r="117" spans="1:17" x14ac:dyDescent="0.25">
      <c r="A117" s="1">
        <v>46263</v>
      </c>
      <c r="B117" s="1">
        <v>46262</v>
      </c>
      <c r="C117" s="2" t="s">
        <v>347</v>
      </c>
      <c r="D117" s="2" t="s">
        <v>321</v>
      </c>
      <c r="E117" s="2" t="s">
        <v>348</v>
      </c>
      <c r="F117" s="2" t="s">
        <v>18</v>
      </c>
      <c r="G117" s="2" t="s">
        <v>35</v>
      </c>
      <c r="H117" s="2" t="s">
        <v>349</v>
      </c>
      <c r="I117" s="2" t="s">
        <v>350</v>
      </c>
      <c r="J117" s="3">
        <v>25</v>
      </c>
      <c r="K117" s="2" t="s">
        <v>38</v>
      </c>
      <c r="L117" s="3">
        <v>25</v>
      </c>
      <c r="M117" s="9">
        <v>4125000.04</v>
      </c>
      <c r="N117" s="3">
        <v>0</v>
      </c>
      <c r="O117" s="2" t="s">
        <v>20</v>
      </c>
      <c r="P117" s="2" t="s">
        <v>21</v>
      </c>
      <c r="Q117" s="2" t="s">
        <v>22</v>
      </c>
    </row>
    <row r="118" spans="1:17" x14ac:dyDescent="0.25">
      <c r="A118" s="1">
        <v>46263</v>
      </c>
      <c r="B118" s="1">
        <v>46262</v>
      </c>
      <c r="C118" s="2" t="s">
        <v>351</v>
      </c>
      <c r="D118" s="2" t="s">
        <v>321</v>
      </c>
      <c r="E118" s="2" t="s">
        <v>352</v>
      </c>
      <c r="F118" s="2" t="s">
        <v>45</v>
      </c>
      <c r="G118" s="2" t="s">
        <v>155</v>
      </c>
      <c r="H118" s="2" t="s">
        <v>353</v>
      </c>
      <c r="I118" s="2" t="s">
        <v>354</v>
      </c>
      <c r="J118" s="3">
        <v>2</v>
      </c>
      <c r="K118" s="2" t="s">
        <v>355</v>
      </c>
      <c r="L118" s="3">
        <v>2</v>
      </c>
      <c r="M118" s="9">
        <v>220000</v>
      </c>
      <c r="N118" s="3">
        <v>0</v>
      </c>
      <c r="O118" s="2" t="s">
        <v>20</v>
      </c>
      <c r="P118" s="2" t="s">
        <v>21</v>
      </c>
      <c r="Q118" s="2" t="s">
        <v>22</v>
      </c>
    </row>
    <row r="119" spans="1:17" x14ac:dyDescent="0.25">
      <c r="A119" s="1">
        <v>46263</v>
      </c>
      <c r="B119" s="1">
        <v>46262</v>
      </c>
      <c r="C119" s="2" t="s">
        <v>351</v>
      </c>
      <c r="D119" s="2" t="s">
        <v>321</v>
      </c>
      <c r="E119" s="2" t="s">
        <v>352</v>
      </c>
      <c r="F119" s="2" t="s">
        <v>45</v>
      </c>
      <c r="G119" s="2" t="s">
        <v>155</v>
      </c>
      <c r="H119" s="2" t="s">
        <v>356</v>
      </c>
      <c r="I119" s="2" t="s">
        <v>357</v>
      </c>
      <c r="J119" s="3">
        <v>4</v>
      </c>
      <c r="K119" s="2" t="s">
        <v>84</v>
      </c>
      <c r="L119" s="3">
        <v>4</v>
      </c>
      <c r="M119" s="9">
        <v>220000</v>
      </c>
      <c r="N119" s="3">
        <v>0</v>
      </c>
      <c r="O119" s="2" t="s">
        <v>20</v>
      </c>
      <c r="P119" s="2" t="s">
        <v>21</v>
      </c>
      <c r="Q119" s="2" t="s">
        <v>22</v>
      </c>
    </row>
    <row r="120" spans="1:17" x14ac:dyDescent="0.25">
      <c r="A120" s="1">
        <v>46263</v>
      </c>
      <c r="B120" s="1">
        <v>46262</v>
      </c>
      <c r="C120" s="2" t="s">
        <v>351</v>
      </c>
      <c r="D120" s="2" t="s">
        <v>321</v>
      </c>
      <c r="E120" s="2" t="s">
        <v>352</v>
      </c>
      <c r="F120" s="2" t="s">
        <v>45</v>
      </c>
      <c r="G120" s="2" t="s">
        <v>155</v>
      </c>
      <c r="H120" s="2" t="s">
        <v>358</v>
      </c>
      <c r="I120" s="2" t="s">
        <v>359</v>
      </c>
      <c r="J120" s="3">
        <v>2</v>
      </c>
      <c r="K120" s="2" t="s">
        <v>355</v>
      </c>
      <c r="L120" s="3">
        <v>2</v>
      </c>
      <c r="M120" s="9">
        <v>220000</v>
      </c>
      <c r="N120" s="3">
        <v>0</v>
      </c>
      <c r="O120" s="2" t="s">
        <v>20</v>
      </c>
      <c r="P120" s="2" t="s">
        <v>21</v>
      </c>
      <c r="Q120" s="2" t="s">
        <v>22</v>
      </c>
    </row>
    <row r="121" spans="1:17" x14ac:dyDescent="0.25">
      <c r="A121" s="1">
        <v>46263</v>
      </c>
      <c r="B121" s="1">
        <v>46262</v>
      </c>
      <c r="C121" s="2" t="s">
        <v>351</v>
      </c>
      <c r="D121" s="2" t="s">
        <v>321</v>
      </c>
      <c r="E121" s="2" t="s">
        <v>352</v>
      </c>
      <c r="F121" s="2" t="s">
        <v>45</v>
      </c>
      <c r="G121" s="2" t="s">
        <v>155</v>
      </c>
      <c r="H121" s="2" t="s">
        <v>360</v>
      </c>
      <c r="I121" s="2" t="s">
        <v>361</v>
      </c>
      <c r="J121" s="3">
        <v>4</v>
      </c>
      <c r="K121" s="2" t="s">
        <v>84</v>
      </c>
      <c r="L121" s="3">
        <v>4</v>
      </c>
      <c r="M121" s="9">
        <v>327452</v>
      </c>
      <c r="N121" s="3">
        <v>0</v>
      </c>
      <c r="O121" s="2" t="s">
        <v>20</v>
      </c>
      <c r="P121" s="2" t="s">
        <v>21</v>
      </c>
      <c r="Q121" s="2" t="s">
        <v>22</v>
      </c>
    </row>
    <row r="122" spans="1:17" x14ac:dyDescent="0.25">
      <c r="A122" s="1">
        <v>46263</v>
      </c>
      <c r="B122" s="1">
        <v>46262</v>
      </c>
      <c r="C122" s="2" t="s">
        <v>362</v>
      </c>
      <c r="D122" s="2" t="s">
        <v>321</v>
      </c>
      <c r="E122" s="2" t="s">
        <v>363</v>
      </c>
      <c r="F122" s="2" t="s">
        <v>18</v>
      </c>
      <c r="G122" s="2" t="s">
        <v>25</v>
      </c>
      <c r="H122" s="2" t="s">
        <v>364</v>
      </c>
      <c r="I122" s="2" t="s">
        <v>365</v>
      </c>
      <c r="J122" s="3">
        <v>12</v>
      </c>
      <c r="K122" s="2" t="s">
        <v>366</v>
      </c>
      <c r="L122" s="3">
        <v>12</v>
      </c>
      <c r="M122" s="9">
        <v>959040</v>
      </c>
      <c r="N122" s="3">
        <v>0</v>
      </c>
      <c r="O122" s="2" t="s">
        <v>20</v>
      </c>
      <c r="P122" s="2" t="s">
        <v>21</v>
      </c>
      <c r="Q122" s="2" t="s">
        <v>367</v>
      </c>
    </row>
    <row r="123" spans="1:17" x14ac:dyDescent="0.25">
      <c r="A123" s="1">
        <v>46263</v>
      </c>
      <c r="B123" s="1">
        <v>46262</v>
      </c>
      <c r="C123" s="2" t="s">
        <v>368</v>
      </c>
      <c r="D123" s="2" t="s">
        <v>321</v>
      </c>
      <c r="E123" s="2" t="s">
        <v>369</v>
      </c>
      <c r="F123" s="2" t="s">
        <v>45</v>
      </c>
      <c r="G123" s="2" t="s">
        <v>35</v>
      </c>
      <c r="H123" s="2" t="s">
        <v>370</v>
      </c>
      <c r="I123" s="2" t="s">
        <v>371</v>
      </c>
      <c r="J123" s="3">
        <v>1</v>
      </c>
      <c r="K123" s="2" t="s">
        <v>355</v>
      </c>
      <c r="L123" s="3">
        <v>1</v>
      </c>
      <c r="M123" s="9">
        <v>104500</v>
      </c>
      <c r="N123" s="3">
        <v>0</v>
      </c>
      <c r="O123" s="2" t="s">
        <v>20</v>
      </c>
      <c r="P123" s="2" t="s">
        <v>21</v>
      </c>
      <c r="Q123" s="2" t="s">
        <v>22</v>
      </c>
    </row>
    <row r="124" spans="1:17" x14ac:dyDescent="0.25">
      <c r="A124" s="1">
        <v>46263</v>
      </c>
      <c r="B124" s="1">
        <v>46262</v>
      </c>
      <c r="C124" s="2" t="s">
        <v>368</v>
      </c>
      <c r="D124" s="2" t="s">
        <v>321</v>
      </c>
      <c r="E124" s="2" t="s">
        <v>369</v>
      </c>
      <c r="F124" s="2" t="s">
        <v>45</v>
      </c>
      <c r="G124" s="2" t="s">
        <v>35</v>
      </c>
      <c r="H124" s="2" t="s">
        <v>358</v>
      </c>
      <c r="I124" s="2" t="s">
        <v>359</v>
      </c>
      <c r="J124" s="3">
        <v>2</v>
      </c>
      <c r="K124" s="2" t="s">
        <v>355</v>
      </c>
      <c r="L124" s="3">
        <v>2</v>
      </c>
      <c r="M124" s="9">
        <v>209000</v>
      </c>
      <c r="N124" s="3">
        <v>0</v>
      </c>
      <c r="O124" s="2" t="s">
        <v>20</v>
      </c>
      <c r="P124" s="2" t="s">
        <v>21</v>
      </c>
      <c r="Q124" s="2" t="s">
        <v>22</v>
      </c>
    </row>
    <row r="125" spans="1:17" x14ac:dyDescent="0.25">
      <c r="A125" s="1">
        <v>46263</v>
      </c>
      <c r="B125" s="1">
        <v>46262</v>
      </c>
      <c r="C125" s="2" t="s">
        <v>372</v>
      </c>
      <c r="D125" s="2" t="s">
        <v>321</v>
      </c>
      <c r="E125" s="2" t="s">
        <v>373</v>
      </c>
      <c r="F125" s="2" t="s">
        <v>18</v>
      </c>
      <c r="G125" s="2" t="s">
        <v>70</v>
      </c>
      <c r="H125" s="2" t="s">
        <v>374</v>
      </c>
      <c r="I125" s="2" t="s">
        <v>375</v>
      </c>
      <c r="J125" s="3">
        <v>2</v>
      </c>
      <c r="K125" s="2" t="s">
        <v>84</v>
      </c>
      <c r="L125" s="3">
        <v>2</v>
      </c>
      <c r="M125" s="9">
        <v>156000</v>
      </c>
      <c r="N125" s="3">
        <v>0</v>
      </c>
      <c r="O125" s="2" t="s">
        <v>20</v>
      </c>
      <c r="P125" s="2" t="s">
        <v>21</v>
      </c>
      <c r="Q125" s="2" t="s">
        <v>376</v>
      </c>
    </row>
    <row r="126" spans="1:17" x14ac:dyDescent="0.25">
      <c r="A126" s="1">
        <v>46263</v>
      </c>
      <c r="B126" s="1">
        <v>46262</v>
      </c>
      <c r="C126" s="2" t="s">
        <v>377</v>
      </c>
      <c r="D126" s="2" t="s">
        <v>321</v>
      </c>
      <c r="E126" s="2" t="s">
        <v>378</v>
      </c>
      <c r="F126" s="2" t="s">
        <v>18</v>
      </c>
      <c r="G126" s="2" t="s">
        <v>46</v>
      </c>
      <c r="H126" s="2" t="s">
        <v>326</v>
      </c>
      <c r="I126" s="2" t="s">
        <v>327</v>
      </c>
      <c r="J126" s="3">
        <v>3</v>
      </c>
      <c r="K126" s="2" t="s">
        <v>38</v>
      </c>
      <c r="L126" s="3">
        <v>4.1399999999999997</v>
      </c>
      <c r="M126" s="9">
        <v>482517</v>
      </c>
      <c r="N126" s="3">
        <v>1.1399999999999999</v>
      </c>
      <c r="O126" s="2" t="s">
        <v>20</v>
      </c>
      <c r="P126" s="2" t="s">
        <v>21</v>
      </c>
      <c r="Q126" s="2" t="s">
        <v>22</v>
      </c>
    </row>
    <row r="127" spans="1:17" x14ac:dyDescent="0.25">
      <c r="A127" s="1">
        <v>46263</v>
      </c>
      <c r="B127" s="1">
        <v>46262</v>
      </c>
      <c r="C127" s="2" t="s">
        <v>379</v>
      </c>
      <c r="D127" s="2" t="s">
        <v>321</v>
      </c>
      <c r="E127" s="2" t="s">
        <v>380</v>
      </c>
      <c r="F127" s="2" t="s">
        <v>18</v>
      </c>
      <c r="G127" s="2" t="s">
        <v>42</v>
      </c>
      <c r="H127" s="2" t="s">
        <v>381</v>
      </c>
      <c r="I127" s="2" t="s">
        <v>382</v>
      </c>
      <c r="J127" s="3">
        <v>3</v>
      </c>
      <c r="K127" s="2" t="s">
        <v>278</v>
      </c>
      <c r="L127" s="3">
        <v>3</v>
      </c>
      <c r="M127" s="9">
        <v>616050</v>
      </c>
      <c r="N127" s="3">
        <v>0</v>
      </c>
      <c r="O127" s="2" t="s">
        <v>20</v>
      </c>
      <c r="P127" s="2" t="s">
        <v>21</v>
      </c>
      <c r="Q127" s="2" t="s">
        <v>22</v>
      </c>
    </row>
    <row r="128" spans="1:17" x14ac:dyDescent="0.25">
      <c r="A128" s="1">
        <v>46263</v>
      </c>
      <c r="B128" s="1">
        <v>46262</v>
      </c>
      <c r="C128" s="2" t="s">
        <v>379</v>
      </c>
      <c r="D128" s="2" t="s">
        <v>321</v>
      </c>
      <c r="E128" s="2" t="s">
        <v>380</v>
      </c>
      <c r="F128" s="2" t="s">
        <v>18</v>
      </c>
      <c r="G128" s="2" t="s">
        <v>42</v>
      </c>
      <c r="H128" s="2" t="s">
        <v>383</v>
      </c>
      <c r="I128" s="2" t="s">
        <v>384</v>
      </c>
      <c r="J128" s="3">
        <v>1</v>
      </c>
      <c r="K128" s="2" t="s">
        <v>278</v>
      </c>
      <c r="L128" s="3">
        <v>1</v>
      </c>
      <c r="M128" s="9">
        <v>338550</v>
      </c>
      <c r="N128" s="3">
        <v>0</v>
      </c>
      <c r="O128" s="2" t="s">
        <v>20</v>
      </c>
      <c r="P128" s="2" t="s">
        <v>21</v>
      </c>
      <c r="Q128" s="2" t="s">
        <v>22</v>
      </c>
    </row>
    <row r="129" spans="1:17" x14ac:dyDescent="0.25">
      <c r="A129" s="1">
        <v>46263</v>
      </c>
      <c r="B129" s="1">
        <v>46262</v>
      </c>
      <c r="C129" s="2" t="s">
        <v>379</v>
      </c>
      <c r="D129" s="2" t="s">
        <v>321</v>
      </c>
      <c r="E129" s="2" t="s">
        <v>380</v>
      </c>
      <c r="F129" s="2" t="s">
        <v>18</v>
      </c>
      <c r="G129" s="2" t="s">
        <v>42</v>
      </c>
      <c r="H129" s="2" t="s">
        <v>385</v>
      </c>
      <c r="I129" s="2" t="s">
        <v>386</v>
      </c>
      <c r="J129" s="3">
        <v>1</v>
      </c>
      <c r="K129" s="2" t="s">
        <v>84</v>
      </c>
      <c r="L129" s="3">
        <v>1</v>
      </c>
      <c r="M129" s="9">
        <v>505050</v>
      </c>
      <c r="N129" s="3">
        <v>0</v>
      </c>
      <c r="O129" s="2" t="s">
        <v>20</v>
      </c>
      <c r="P129" s="2" t="s">
        <v>21</v>
      </c>
      <c r="Q129" s="2" t="s">
        <v>22</v>
      </c>
    </row>
    <row r="130" spans="1:17" x14ac:dyDescent="0.25">
      <c r="A130" s="1">
        <v>46263</v>
      </c>
      <c r="B130" s="1">
        <v>46262</v>
      </c>
      <c r="C130" s="2" t="s">
        <v>379</v>
      </c>
      <c r="D130" s="2" t="s">
        <v>321</v>
      </c>
      <c r="E130" s="2" t="s">
        <v>380</v>
      </c>
      <c r="F130" s="2" t="s">
        <v>18</v>
      </c>
      <c r="G130" s="2" t="s">
        <v>42</v>
      </c>
      <c r="H130" s="2" t="s">
        <v>387</v>
      </c>
      <c r="I130" s="2" t="s">
        <v>388</v>
      </c>
      <c r="J130" s="3">
        <v>1</v>
      </c>
      <c r="K130" s="2" t="s">
        <v>84</v>
      </c>
      <c r="L130" s="3">
        <v>1</v>
      </c>
      <c r="M130" s="9">
        <v>266400</v>
      </c>
      <c r="N130" s="3">
        <v>0</v>
      </c>
      <c r="O130" s="2" t="s">
        <v>20</v>
      </c>
      <c r="P130" s="2" t="s">
        <v>21</v>
      </c>
      <c r="Q130" s="2" t="s">
        <v>22</v>
      </c>
    </row>
    <row r="131" spans="1:17" x14ac:dyDescent="0.25">
      <c r="A131" s="1">
        <v>46263</v>
      </c>
      <c r="B131" s="1">
        <v>46262</v>
      </c>
      <c r="C131" s="2" t="s">
        <v>389</v>
      </c>
      <c r="D131" s="2" t="s">
        <v>321</v>
      </c>
      <c r="E131" s="2" t="s">
        <v>390</v>
      </c>
      <c r="F131" s="2" t="s">
        <v>18</v>
      </c>
      <c r="G131" s="2" t="s">
        <v>35</v>
      </c>
      <c r="H131" s="2" t="s">
        <v>391</v>
      </c>
      <c r="I131" s="2" t="s">
        <v>392</v>
      </c>
      <c r="J131" s="3">
        <v>25</v>
      </c>
      <c r="K131" s="2" t="s">
        <v>38</v>
      </c>
      <c r="L131" s="3">
        <v>25</v>
      </c>
      <c r="M131" s="9">
        <v>3625000.26</v>
      </c>
      <c r="N131" s="3">
        <v>0</v>
      </c>
      <c r="O131" s="2" t="s">
        <v>20</v>
      </c>
      <c r="P131" s="2" t="s">
        <v>21</v>
      </c>
      <c r="Q131" s="2" t="s">
        <v>22</v>
      </c>
    </row>
    <row r="132" spans="1:17" x14ac:dyDescent="0.25">
      <c r="A132" s="1">
        <v>46263</v>
      </c>
      <c r="B132" s="1">
        <v>46262</v>
      </c>
      <c r="C132" s="2" t="s">
        <v>393</v>
      </c>
      <c r="D132" s="2" t="s">
        <v>321</v>
      </c>
      <c r="E132" s="2" t="s">
        <v>394</v>
      </c>
      <c r="F132" s="2" t="s">
        <v>18</v>
      </c>
      <c r="G132" s="2" t="s">
        <v>124</v>
      </c>
      <c r="H132" s="2" t="s">
        <v>395</v>
      </c>
      <c r="I132" s="2" t="s">
        <v>396</v>
      </c>
      <c r="J132" s="3">
        <v>1</v>
      </c>
      <c r="K132" s="2" t="s">
        <v>84</v>
      </c>
      <c r="L132" s="3">
        <v>1</v>
      </c>
      <c r="M132" s="9">
        <v>528000</v>
      </c>
      <c r="N132" s="3">
        <v>0</v>
      </c>
      <c r="O132" s="2" t="s">
        <v>20</v>
      </c>
      <c r="P132" s="2" t="s">
        <v>21</v>
      </c>
      <c r="Q132" s="2" t="s">
        <v>22</v>
      </c>
    </row>
    <row r="133" spans="1:17" x14ac:dyDescent="0.25">
      <c r="A133" s="1">
        <v>46263</v>
      </c>
      <c r="B133" s="1">
        <v>46262</v>
      </c>
      <c r="C133" s="2" t="s">
        <v>397</v>
      </c>
      <c r="D133" s="2" t="s">
        <v>321</v>
      </c>
      <c r="E133" s="2" t="s">
        <v>123</v>
      </c>
      <c r="F133" s="2" t="s">
        <v>18</v>
      </c>
      <c r="G133" s="2" t="s">
        <v>124</v>
      </c>
      <c r="H133" s="2" t="s">
        <v>322</v>
      </c>
      <c r="I133" s="2" t="s">
        <v>323</v>
      </c>
      <c r="J133" s="3">
        <v>3</v>
      </c>
      <c r="K133" s="2" t="s">
        <v>324</v>
      </c>
      <c r="L133" s="3">
        <v>3</v>
      </c>
      <c r="M133" s="9">
        <v>240000.03</v>
      </c>
      <c r="N133" s="3">
        <v>0</v>
      </c>
      <c r="O133" s="2" t="s">
        <v>20</v>
      </c>
      <c r="P133" s="2" t="s">
        <v>21</v>
      </c>
      <c r="Q133" s="2" t="s">
        <v>22</v>
      </c>
    </row>
    <row r="134" spans="1:17" x14ac:dyDescent="0.25">
      <c r="A134" s="1">
        <v>46263</v>
      </c>
      <c r="B134" s="1">
        <v>46262</v>
      </c>
      <c r="C134" s="2" t="s">
        <v>398</v>
      </c>
      <c r="D134" s="2" t="s">
        <v>321</v>
      </c>
      <c r="E134" s="2" t="s">
        <v>134</v>
      </c>
      <c r="F134" s="2" t="s">
        <v>18</v>
      </c>
      <c r="G134" s="2" t="s">
        <v>58</v>
      </c>
      <c r="H134" s="2" t="s">
        <v>399</v>
      </c>
      <c r="I134" s="2" t="s">
        <v>400</v>
      </c>
      <c r="J134" s="3">
        <v>8</v>
      </c>
      <c r="K134" s="2" t="s">
        <v>38</v>
      </c>
      <c r="L134" s="3">
        <v>5.35</v>
      </c>
      <c r="M134" s="9">
        <v>909500</v>
      </c>
      <c r="N134" s="3">
        <v>-2.65</v>
      </c>
      <c r="O134" s="2" t="s">
        <v>20</v>
      </c>
      <c r="P134" s="2" t="s">
        <v>21</v>
      </c>
      <c r="Q134" s="2" t="s">
        <v>22</v>
      </c>
    </row>
    <row r="135" spans="1:17" x14ac:dyDescent="0.25">
      <c r="A135" s="1">
        <v>46263</v>
      </c>
      <c r="B135" s="1">
        <v>46262</v>
      </c>
      <c r="C135" s="2" t="s">
        <v>401</v>
      </c>
      <c r="D135" s="2" t="s">
        <v>321</v>
      </c>
      <c r="E135" s="2" t="s">
        <v>402</v>
      </c>
      <c r="F135" s="2" t="s">
        <v>45</v>
      </c>
      <c r="G135" s="2" t="s">
        <v>32</v>
      </c>
      <c r="H135" s="2" t="s">
        <v>403</v>
      </c>
      <c r="I135" s="2" t="s">
        <v>404</v>
      </c>
      <c r="J135" s="3">
        <v>4</v>
      </c>
      <c r="K135" s="2" t="s">
        <v>84</v>
      </c>
      <c r="L135" s="3">
        <v>4</v>
      </c>
      <c r="M135" s="9">
        <v>471999.99</v>
      </c>
      <c r="N135" s="3">
        <v>0</v>
      </c>
      <c r="O135" s="2" t="s">
        <v>20</v>
      </c>
      <c r="P135" s="2" t="s">
        <v>21</v>
      </c>
      <c r="Q135" s="2" t="s">
        <v>22</v>
      </c>
    </row>
    <row r="136" spans="1:17" x14ac:dyDescent="0.25">
      <c r="A136" s="1">
        <v>46263</v>
      </c>
      <c r="B136" s="1">
        <v>46262</v>
      </c>
      <c r="C136" s="2" t="s">
        <v>405</v>
      </c>
      <c r="D136" s="2" t="s">
        <v>321</v>
      </c>
      <c r="E136" s="2" t="s">
        <v>402</v>
      </c>
      <c r="F136" s="2" t="s">
        <v>45</v>
      </c>
      <c r="G136" s="2" t="s">
        <v>32</v>
      </c>
      <c r="H136" s="2" t="s">
        <v>403</v>
      </c>
      <c r="I136" s="2" t="s">
        <v>404</v>
      </c>
      <c r="J136" s="3">
        <v>4</v>
      </c>
      <c r="K136" s="2" t="s">
        <v>84</v>
      </c>
      <c r="L136" s="3">
        <v>4</v>
      </c>
      <c r="M136" s="9">
        <v>471999.99</v>
      </c>
      <c r="N136" s="3">
        <v>0</v>
      </c>
      <c r="O136" s="2" t="s">
        <v>20</v>
      </c>
      <c r="P136" s="2" t="s">
        <v>21</v>
      </c>
      <c r="Q136" s="2" t="s">
        <v>406</v>
      </c>
    </row>
    <row r="137" spans="1:17" x14ac:dyDescent="0.25">
      <c r="A137" s="1">
        <v>46263</v>
      </c>
      <c r="B137" s="1">
        <v>46262</v>
      </c>
      <c r="C137" s="2" t="s">
        <v>407</v>
      </c>
      <c r="D137" s="2" t="s">
        <v>321</v>
      </c>
      <c r="E137" s="2" t="s">
        <v>408</v>
      </c>
      <c r="F137" s="2" t="s">
        <v>18</v>
      </c>
      <c r="G137" s="2" t="s">
        <v>35</v>
      </c>
      <c r="H137" s="2" t="s">
        <v>364</v>
      </c>
      <c r="I137" s="2" t="s">
        <v>365</v>
      </c>
      <c r="J137" s="3">
        <v>5</v>
      </c>
      <c r="K137" s="2" t="s">
        <v>366</v>
      </c>
      <c r="L137" s="3">
        <v>5</v>
      </c>
      <c r="M137" s="9">
        <v>340000</v>
      </c>
      <c r="N137" s="3">
        <v>0</v>
      </c>
      <c r="O137" s="2" t="s">
        <v>20</v>
      </c>
      <c r="P137" s="2" t="s">
        <v>21</v>
      </c>
      <c r="Q137" s="2" t="s">
        <v>22</v>
      </c>
    </row>
    <row r="138" spans="1:17" x14ac:dyDescent="0.25">
      <c r="A138" s="1">
        <v>46263</v>
      </c>
      <c r="B138" s="1">
        <v>46262</v>
      </c>
      <c r="C138" s="2" t="s">
        <v>409</v>
      </c>
      <c r="D138" s="2" t="s">
        <v>321</v>
      </c>
      <c r="E138" s="2" t="s">
        <v>410</v>
      </c>
      <c r="F138" s="2" t="s">
        <v>45</v>
      </c>
      <c r="G138" s="2" t="s">
        <v>155</v>
      </c>
      <c r="H138" s="2" t="s">
        <v>411</v>
      </c>
      <c r="I138" s="2" t="s">
        <v>412</v>
      </c>
      <c r="J138" s="3">
        <v>1</v>
      </c>
      <c r="K138" s="2" t="s">
        <v>84</v>
      </c>
      <c r="L138" s="3">
        <v>1</v>
      </c>
      <c r="M138" s="9">
        <v>66600</v>
      </c>
      <c r="N138" s="3">
        <v>0</v>
      </c>
      <c r="O138" s="2" t="s">
        <v>20</v>
      </c>
      <c r="P138" s="2" t="s">
        <v>21</v>
      </c>
      <c r="Q138" s="2" t="s">
        <v>22</v>
      </c>
    </row>
    <row r="139" spans="1:17" x14ac:dyDescent="0.25">
      <c r="A139" s="1">
        <v>46263</v>
      </c>
      <c r="B139" s="1">
        <v>46262</v>
      </c>
      <c r="C139" s="2" t="s">
        <v>409</v>
      </c>
      <c r="D139" s="2" t="s">
        <v>321</v>
      </c>
      <c r="E139" s="2" t="s">
        <v>410</v>
      </c>
      <c r="F139" s="2" t="s">
        <v>45</v>
      </c>
      <c r="G139" s="2" t="s">
        <v>155</v>
      </c>
      <c r="H139" s="2" t="s">
        <v>413</v>
      </c>
      <c r="I139" s="2" t="s">
        <v>414</v>
      </c>
      <c r="J139" s="3">
        <v>2</v>
      </c>
      <c r="K139" s="2" t="s">
        <v>84</v>
      </c>
      <c r="L139" s="3">
        <v>2</v>
      </c>
      <c r="M139" s="9">
        <v>147630</v>
      </c>
      <c r="N139" s="3">
        <v>0</v>
      </c>
      <c r="O139" s="2" t="s">
        <v>20</v>
      </c>
      <c r="P139" s="2" t="s">
        <v>21</v>
      </c>
      <c r="Q139" s="2" t="s">
        <v>22</v>
      </c>
    </row>
    <row r="140" spans="1:17" x14ac:dyDescent="0.25">
      <c r="A140" s="1">
        <v>46263</v>
      </c>
      <c r="B140" s="1">
        <v>46262</v>
      </c>
      <c r="C140" s="2" t="s">
        <v>409</v>
      </c>
      <c r="D140" s="2" t="s">
        <v>321</v>
      </c>
      <c r="E140" s="2" t="s">
        <v>410</v>
      </c>
      <c r="F140" s="2" t="s">
        <v>45</v>
      </c>
      <c r="G140" s="2" t="s">
        <v>155</v>
      </c>
      <c r="H140" s="2" t="s">
        <v>415</v>
      </c>
      <c r="I140" s="2" t="s">
        <v>416</v>
      </c>
      <c r="J140" s="3">
        <v>1</v>
      </c>
      <c r="K140" s="2" t="s">
        <v>84</v>
      </c>
      <c r="L140" s="3">
        <v>1</v>
      </c>
      <c r="M140" s="9">
        <v>86025</v>
      </c>
      <c r="N140" s="3">
        <v>0</v>
      </c>
      <c r="O140" s="2" t="s">
        <v>20</v>
      </c>
      <c r="P140" s="2" t="s">
        <v>21</v>
      </c>
      <c r="Q140" s="2" t="s">
        <v>22</v>
      </c>
    </row>
    <row r="141" spans="1:17" x14ac:dyDescent="0.25">
      <c r="A141" s="1">
        <v>46263</v>
      </c>
      <c r="B141" s="1">
        <v>46262</v>
      </c>
      <c r="C141" s="2" t="s">
        <v>409</v>
      </c>
      <c r="D141" s="2" t="s">
        <v>321</v>
      </c>
      <c r="E141" s="2" t="s">
        <v>410</v>
      </c>
      <c r="F141" s="2" t="s">
        <v>45</v>
      </c>
      <c r="G141" s="2" t="s">
        <v>155</v>
      </c>
      <c r="H141" s="2" t="s">
        <v>417</v>
      </c>
      <c r="I141" s="2" t="s">
        <v>418</v>
      </c>
      <c r="J141" s="3">
        <v>1</v>
      </c>
      <c r="K141" s="2" t="s">
        <v>84</v>
      </c>
      <c r="L141" s="3">
        <v>1</v>
      </c>
      <c r="M141" s="9">
        <v>80475</v>
      </c>
      <c r="N141" s="3">
        <v>0</v>
      </c>
      <c r="O141" s="2" t="s">
        <v>20</v>
      </c>
      <c r="P141" s="2" t="s">
        <v>21</v>
      </c>
      <c r="Q141" s="2" t="s">
        <v>22</v>
      </c>
    </row>
    <row r="142" spans="1:17" x14ac:dyDescent="0.25">
      <c r="A142" s="1">
        <v>46263</v>
      </c>
      <c r="B142" s="1">
        <v>46262</v>
      </c>
      <c r="C142" s="2" t="s">
        <v>419</v>
      </c>
      <c r="D142" s="2" t="s">
        <v>321</v>
      </c>
      <c r="E142" s="2" t="s">
        <v>420</v>
      </c>
      <c r="F142" s="2" t="s">
        <v>45</v>
      </c>
      <c r="G142" s="2" t="s">
        <v>287</v>
      </c>
      <c r="H142" s="2" t="s">
        <v>336</v>
      </c>
      <c r="I142" s="2" t="s">
        <v>337</v>
      </c>
      <c r="J142" s="3">
        <v>15</v>
      </c>
      <c r="K142" s="2" t="s">
        <v>141</v>
      </c>
      <c r="L142" s="3">
        <v>15</v>
      </c>
      <c r="M142" s="9">
        <v>5040000.12</v>
      </c>
      <c r="N142" s="3">
        <v>0</v>
      </c>
      <c r="O142" s="2" t="s">
        <v>20</v>
      </c>
      <c r="P142" s="2" t="s">
        <v>21</v>
      </c>
      <c r="Q142" s="2" t="s">
        <v>22</v>
      </c>
    </row>
    <row r="143" spans="1:17" x14ac:dyDescent="0.25">
      <c r="A143" s="1">
        <v>46263</v>
      </c>
      <c r="B143" s="1">
        <v>46262</v>
      </c>
      <c r="C143" s="2" t="s">
        <v>421</v>
      </c>
      <c r="D143" s="2" t="s">
        <v>321</v>
      </c>
      <c r="E143" s="2" t="s">
        <v>201</v>
      </c>
      <c r="F143" s="2" t="s">
        <v>18</v>
      </c>
      <c r="G143" s="2" t="s">
        <v>58</v>
      </c>
      <c r="H143" s="2" t="s">
        <v>422</v>
      </c>
      <c r="I143" s="2" t="s">
        <v>423</v>
      </c>
      <c r="J143" s="3">
        <v>9</v>
      </c>
      <c r="K143" s="2" t="s">
        <v>38</v>
      </c>
      <c r="L143" s="3">
        <v>8.8698999999999995</v>
      </c>
      <c r="M143" s="9">
        <v>966830.01</v>
      </c>
      <c r="N143" s="3">
        <v>-0.13009999999999999</v>
      </c>
      <c r="O143" s="2" t="s">
        <v>20</v>
      </c>
      <c r="P143" s="2" t="s">
        <v>21</v>
      </c>
      <c r="Q143" s="2" t="s">
        <v>211</v>
      </c>
    </row>
    <row r="144" spans="1:17" x14ac:dyDescent="0.25">
      <c r="A144" s="1">
        <v>46263</v>
      </c>
      <c r="B144" s="1">
        <v>46262</v>
      </c>
      <c r="C144" s="2" t="s">
        <v>424</v>
      </c>
      <c r="D144" s="2" t="s">
        <v>321</v>
      </c>
      <c r="E144" s="2" t="s">
        <v>170</v>
      </c>
      <c r="F144" s="2" t="s">
        <v>18</v>
      </c>
      <c r="G144" s="2" t="s">
        <v>35</v>
      </c>
      <c r="H144" s="2" t="s">
        <v>364</v>
      </c>
      <c r="I144" s="2" t="s">
        <v>365</v>
      </c>
      <c r="J144" s="3">
        <v>5</v>
      </c>
      <c r="K144" s="2" t="s">
        <v>366</v>
      </c>
      <c r="L144" s="3">
        <v>5</v>
      </c>
      <c r="M144" s="9">
        <v>275000</v>
      </c>
      <c r="N144" s="3">
        <v>0</v>
      </c>
      <c r="O144" s="2" t="s">
        <v>20</v>
      </c>
      <c r="P144" s="2" t="s">
        <v>21</v>
      </c>
      <c r="Q144" s="2" t="s">
        <v>425</v>
      </c>
    </row>
    <row r="145" spans="1:17" x14ac:dyDescent="0.25">
      <c r="A145" s="1">
        <v>46263</v>
      </c>
      <c r="B145" s="1">
        <v>46262</v>
      </c>
      <c r="C145" s="2" t="s">
        <v>426</v>
      </c>
      <c r="D145" s="2" t="s">
        <v>321</v>
      </c>
      <c r="E145" s="2" t="s">
        <v>134</v>
      </c>
      <c r="F145" s="2" t="s">
        <v>18</v>
      </c>
      <c r="G145" s="2" t="s">
        <v>58</v>
      </c>
      <c r="H145" s="2" t="s">
        <v>399</v>
      </c>
      <c r="I145" s="2" t="s">
        <v>400</v>
      </c>
      <c r="J145" s="3">
        <v>24</v>
      </c>
      <c r="K145" s="2" t="s">
        <v>38</v>
      </c>
      <c r="L145" s="3">
        <v>23.5</v>
      </c>
      <c r="M145" s="9">
        <v>3995000</v>
      </c>
      <c r="N145" s="3">
        <v>-0.5</v>
      </c>
      <c r="O145" s="2" t="s">
        <v>20</v>
      </c>
      <c r="P145" s="2" t="s">
        <v>21</v>
      </c>
      <c r="Q145" s="2" t="s">
        <v>22</v>
      </c>
    </row>
    <row r="146" spans="1:17" x14ac:dyDescent="0.25">
      <c r="A146" s="1">
        <v>46263</v>
      </c>
      <c r="B146" s="1">
        <v>46262</v>
      </c>
      <c r="C146" s="2" t="s">
        <v>427</v>
      </c>
      <c r="D146" s="2" t="s">
        <v>321</v>
      </c>
      <c r="E146" s="2" t="s">
        <v>221</v>
      </c>
      <c r="F146" s="2" t="s">
        <v>18</v>
      </c>
      <c r="G146" s="2" t="s">
        <v>25</v>
      </c>
      <c r="H146" s="2" t="s">
        <v>322</v>
      </c>
      <c r="I146" s="2" t="s">
        <v>323</v>
      </c>
      <c r="J146" s="3">
        <v>24</v>
      </c>
      <c r="K146" s="2" t="s">
        <v>324</v>
      </c>
      <c r="L146" s="3">
        <v>24</v>
      </c>
      <c r="M146" s="9">
        <v>1920000.21</v>
      </c>
      <c r="N146" s="3">
        <v>0</v>
      </c>
      <c r="O146" s="2" t="s">
        <v>20</v>
      </c>
      <c r="P146" s="2" t="s">
        <v>21</v>
      </c>
      <c r="Q146" s="2" t="s">
        <v>233</v>
      </c>
    </row>
    <row r="147" spans="1:17" x14ac:dyDescent="0.25">
      <c r="A147" s="1">
        <v>46263</v>
      </c>
      <c r="B147" s="1">
        <v>46262</v>
      </c>
      <c r="C147" s="2" t="s">
        <v>428</v>
      </c>
      <c r="D147" s="2" t="s">
        <v>321</v>
      </c>
      <c r="E147" s="2" t="s">
        <v>429</v>
      </c>
      <c r="F147" s="2" t="s">
        <v>18</v>
      </c>
      <c r="G147" s="2" t="s">
        <v>70</v>
      </c>
      <c r="H147" s="2" t="s">
        <v>430</v>
      </c>
      <c r="I147" s="2" t="s">
        <v>431</v>
      </c>
      <c r="J147" s="3">
        <v>10</v>
      </c>
      <c r="K147" s="2" t="s">
        <v>38</v>
      </c>
      <c r="L147" s="3">
        <v>10</v>
      </c>
      <c r="M147" s="9">
        <v>1150000.07</v>
      </c>
      <c r="N147" s="3">
        <v>0</v>
      </c>
      <c r="O147" s="2" t="s">
        <v>20</v>
      </c>
      <c r="P147" s="2" t="s">
        <v>21</v>
      </c>
      <c r="Q147" s="2" t="s">
        <v>22</v>
      </c>
    </row>
    <row r="148" spans="1:17" x14ac:dyDescent="0.25">
      <c r="A148" s="1">
        <v>46263</v>
      </c>
      <c r="B148" s="1">
        <v>46262</v>
      </c>
      <c r="C148" s="2" t="s">
        <v>432</v>
      </c>
      <c r="D148" s="2" t="s">
        <v>321</v>
      </c>
      <c r="E148" s="2" t="s">
        <v>433</v>
      </c>
      <c r="F148" s="2" t="s">
        <v>45</v>
      </c>
      <c r="G148" s="2" t="s">
        <v>155</v>
      </c>
      <c r="H148" s="2" t="s">
        <v>434</v>
      </c>
      <c r="I148" s="2" t="s">
        <v>435</v>
      </c>
      <c r="J148" s="3">
        <v>2</v>
      </c>
      <c r="K148" s="2" t="s">
        <v>84</v>
      </c>
      <c r="L148" s="3">
        <v>2</v>
      </c>
      <c r="M148" s="9">
        <v>198690</v>
      </c>
      <c r="N148" s="3">
        <v>0</v>
      </c>
      <c r="O148" s="2" t="s">
        <v>20</v>
      </c>
      <c r="P148" s="2" t="s">
        <v>21</v>
      </c>
      <c r="Q148" s="2" t="s">
        <v>22</v>
      </c>
    </row>
    <row r="149" spans="1:17" x14ac:dyDescent="0.25">
      <c r="A149" s="1">
        <v>46263</v>
      </c>
      <c r="B149" s="1">
        <v>46262</v>
      </c>
      <c r="C149" s="2" t="s">
        <v>432</v>
      </c>
      <c r="D149" s="2" t="s">
        <v>321</v>
      </c>
      <c r="E149" s="2" t="s">
        <v>433</v>
      </c>
      <c r="F149" s="2" t="s">
        <v>45</v>
      </c>
      <c r="G149" s="2" t="s">
        <v>155</v>
      </c>
      <c r="H149" s="2" t="s">
        <v>436</v>
      </c>
      <c r="I149" s="2" t="s">
        <v>437</v>
      </c>
      <c r="J149" s="3">
        <v>2</v>
      </c>
      <c r="K149" s="2" t="s">
        <v>84</v>
      </c>
      <c r="L149" s="3">
        <v>2</v>
      </c>
      <c r="M149" s="9">
        <v>191600</v>
      </c>
      <c r="N149" s="3">
        <v>0</v>
      </c>
      <c r="O149" s="2" t="s">
        <v>20</v>
      </c>
      <c r="P149" s="2" t="s">
        <v>21</v>
      </c>
      <c r="Q149" s="2" t="s">
        <v>22</v>
      </c>
    </row>
    <row r="150" spans="1:17" x14ac:dyDescent="0.25">
      <c r="A150" s="1">
        <v>46263</v>
      </c>
      <c r="B150" s="1">
        <v>46262</v>
      </c>
      <c r="C150" s="2" t="s">
        <v>432</v>
      </c>
      <c r="D150" s="2" t="s">
        <v>321</v>
      </c>
      <c r="E150" s="2" t="s">
        <v>433</v>
      </c>
      <c r="F150" s="2" t="s">
        <v>45</v>
      </c>
      <c r="G150" s="2" t="s">
        <v>155</v>
      </c>
      <c r="H150" s="2" t="s">
        <v>417</v>
      </c>
      <c r="I150" s="2" t="s">
        <v>418</v>
      </c>
      <c r="J150" s="3">
        <v>1</v>
      </c>
      <c r="K150" s="2" t="s">
        <v>84</v>
      </c>
      <c r="L150" s="3">
        <v>1</v>
      </c>
      <c r="M150" s="9">
        <v>80475</v>
      </c>
      <c r="N150" s="3">
        <v>0</v>
      </c>
      <c r="O150" s="2" t="s">
        <v>20</v>
      </c>
      <c r="P150" s="2" t="s">
        <v>21</v>
      </c>
      <c r="Q150" s="2" t="s">
        <v>22</v>
      </c>
    </row>
    <row r="151" spans="1:17" x14ac:dyDescent="0.25">
      <c r="A151" s="1">
        <v>46263</v>
      </c>
      <c r="B151" s="1">
        <v>46262</v>
      </c>
      <c r="C151" s="2" t="s">
        <v>432</v>
      </c>
      <c r="D151" s="2" t="s">
        <v>321</v>
      </c>
      <c r="E151" s="2" t="s">
        <v>433</v>
      </c>
      <c r="F151" s="2" t="s">
        <v>45</v>
      </c>
      <c r="G151" s="2" t="s">
        <v>155</v>
      </c>
      <c r="H151" s="2" t="s">
        <v>438</v>
      </c>
      <c r="I151" s="2" t="s">
        <v>439</v>
      </c>
      <c r="J151" s="3">
        <v>1</v>
      </c>
      <c r="K151" s="2" t="s">
        <v>84</v>
      </c>
      <c r="L151" s="3">
        <v>1</v>
      </c>
      <c r="M151" s="9">
        <v>86025</v>
      </c>
      <c r="N151" s="3">
        <v>0</v>
      </c>
      <c r="O151" s="2" t="s">
        <v>20</v>
      </c>
      <c r="P151" s="2" t="s">
        <v>21</v>
      </c>
      <c r="Q151" s="2" t="s">
        <v>22</v>
      </c>
    </row>
    <row r="152" spans="1:17" x14ac:dyDescent="0.25">
      <c r="A152" s="1">
        <v>46263</v>
      </c>
      <c r="B152" s="1">
        <v>46262</v>
      </c>
      <c r="C152" s="2" t="s">
        <v>440</v>
      </c>
      <c r="D152" s="2" t="s">
        <v>321</v>
      </c>
      <c r="E152" s="2" t="s">
        <v>441</v>
      </c>
      <c r="F152" s="2" t="s">
        <v>45</v>
      </c>
      <c r="G152" s="2" t="s">
        <v>58</v>
      </c>
      <c r="H152" s="2" t="s">
        <v>345</v>
      </c>
      <c r="I152" s="2" t="s">
        <v>346</v>
      </c>
      <c r="J152" s="3">
        <v>5</v>
      </c>
      <c r="K152" s="2" t="s">
        <v>38</v>
      </c>
      <c r="L152" s="3">
        <v>5</v>
      </c>
      <c r="M152" s="9">
        <v>500000</v>
      </c>
      <c r="N152" s="3">
        <v>0</v>
      </c>
      <c r="O152" s="2" t="s">
        <v>20</v>
      </c>
      <c r="P152" s="2" t="s">
        <v>21</v>
      </c>
      <c r="Q152" s="2" t="s">
        <v>22</v>
      </c>
    </row>
    <row r="153" spans="1:17" x14ac:dyDescent="0.25">
      <c r="A153" s="1">
        <v>46263</v>
      </c>
      <c r="B153" s="1">
        <v>46262</v>
      </c>
      <c r="C153" s="2" t="s">
        <v>442</v>
      </c>
      <c r="D153" s="2" t="s">
        <v>321</v>
      </c>
      <c r="E153" s="2" t="s">
        <v>245</v>
      </c>
      <c r="F153" s="2" t="s">
        <v>18</v>
      </c>
      <c r="G153" s="2" t="s">
        <v>246</v>
      </c>
      <c r="H153" s="2" t="s">
        <v>336</v>
      </c>
      <c r="I153" s="2" t="s">
        <v>337</v>
      </c>
      <c r="J153" s="3">
        <v>1</v>
      </c>
      <c r="K153" s="2" t="s">
        <v>141</v>
      </c>
      <c r="L153" s="3">
        <v>1</v>
      </c>
      <c r="M153" s="9">
        <v>330000</v>
      </c>
      <c r="N153" s="3">
        <v>0</v>
      </c>
      <c r="O153" s="2" t="s">
        <v>20</v>
      </c>
      <c r="P153" s="2" t="s">
        <v>21</v>
      </c>
      <c r="Q153" s="2" t="s">
        <v>22</v>
      </c>
    </row>
    <row r="154" spans="1:17" x14ac:dyDescent="0.25">
      <c r="A154" s="1">
        <v>46263</v>
      </c>
      <c r="B154" s="1">
        <v>46262</v>
      </c>
      <c r="C154" s="2" t="s">
        <v>442</v>
      </c>
      <c r="D154" s="2" t="s">
        <v>321</v>
      </c>
      <c r="E154" s="2" t="s">
        <v>245</v>
      </c>
      <c r="F154" s="2" t="s">
        <v>18</v>
      </c>
      <c r="G154" s="2" t="s">
        <v>246</v>
      </c>
      <c r="H154" s="2" t="s">
        <v>443</v>
      </c>
      <c r="I154" s="2" t="s">
        <v>444</v>
      </c>
      <c r="J154" s="3">
        <v>4</v>
      </c>
      <c r="K154" s="2" t="s">
        <v>84</v>
      </c>
      <c r="L154" s="3">
        <v>4</v>
      </c>
      <c r="M154" s="9">
        <v>435000</v>
      </c>
      <c r="N154" s="3">
        <v>0</v>
      </c>
      <c r="O154" s="2" t="s">
        <v>20</v>
      </c>
      <c r="P154" s="2" t="s">
        <v>21</v>
      </c>
      <c r="Q154" s="2" t="s">
        <v>22</v>
      </c>
    </row>
    <row r="155" spans="1:17" x14ac:dyDescent="0.25">
      <c r="A155" s="1">
        <v>46263</v>
      </c>
      <c r="B155" s="1">
        <v>46262</v>
      </c>
      <c r="C155" s="2" t="s">
        <v>445</v>
      </c>
      <c r="D155" s="2" t="s">
        <v>321</v>
      </c>
      <c r="E155" s="2" t="s">
        <v>248</v>
      </c>
      <c r="F155" s="2" t="s">
        <v>18</v>
      </c>
      <c r="G155" s="2" t="s">
        <v>246</v>
      </c>
      <c r="H155" s="2" t="s">
        <v>364</v>
      </c>
      <c r="I155" s="2" t="s">
        <v>365</v>
      </c>
      <c r="J155" s="3">
        <v>6</v>
      </c>
      <c r="K155" s="2" t="s">
        <v>366</v>
      </c>
      <c r="L155" s="3">
        <v>6</v>
      </c>
      <c r="M155" s="9">
        <v>326340</v>
      </c>
      <c r="N155" s="3">
        <v>0</v>
      </c>
      <c r="O155" s="2" t="s">
        <v>20</v>
      </c>
      <c r="P155" s="2" t="s">
        <v>21</v>
      </c>
      <c r="Q155" s="2" t="s">
        <v>22</v>
      </c>
    </row>
    <row r="156" spans="1:17" x14ac:dyDescent="0.25">
      <c r="A156" s="1">
        <v>46263</v>
      </c>
      <c r="B156" s="1">
        <v>46262</v>
      </c>
      <c r="C156" s="2" t="s">
        <v>446</v>
      </c>
      <c r="D156" s="2" t="s">
        <v>321</v>
      </c>
      <c r="E156" s="2" t="s">
        <v>447</v>
      </c>
      <c r="F156" s="2" t="s">
        <v>18</v>
      </c>
      <c r="G156" s="2" t="s">
        <v>46</v>
      </c>
      <c r="H156" s="2" t="s">
        <v>448</v>
      </c>
      <c r="I156" s="2" t="s">
        <v>449</v>
      </c>
      <c r="J156" s="3">
        <v>3</v>
      </c>
      <c r="K156" s="2" t="s">
        <v>84</v>
      </c>
      <c r="L156" s="3">
        <v>3</v>
      </c>
      <c r="M156" s="9">
        <v>465000</v>
      </c>
      <c r="N156" s="3">
        <v>0</v>
      </c>
      <c r="O156" s="2" t="s">
        <v>20</v>
      </c>
      <c r="P156" s="2" t="s">
        <v>21</v>
      </c>
      <c r="Q156" s="2" t="s">
        <v>22</v>
      </c>
    </row>
    <row r="157" spans="1:17" x14ac:dyDescent="0.25">
      <c r="A157" s="1">
        <v>46263</v>
      </c>
      <c r="B157" s="1">
        <v>46262</v>
      </c>
      <c r="C157" s="2" t="s">
        <v>450</v>
      </c>
      <c r="D157" s="2" t="s">
        <v>321</v>
      </c>
      <c r="E157" s="2" t="s">
        <v>451</v>
      </c>
      <c r="F157" s="2" t="s">
        <v>45</v>
      </c>
      <c r="G157" s="2" t="s">
        <v>25</v>
      </c>
      <c r="H157" s="2" t="s">
        <v>374</v>
      </c>
      <c r="I157" s="2" t="s">
        <v>375</v>
      </c>
      <c r="J157" s="3">
        <v>4</v>
      </c>
      <c r="K157" s="2" t="s">
        <v>84</v>
      </c>
      <c r="L157" s="3">
        <v>4</v>
      </c>
      <c r="M157" s="9">
        <v>312000</v>
      </c>
      <c r="N157" s="3">
        <v>0</v>
      </c>
      <c r="O157" s="2" t="s">
        <v>20</v>
      </c>
      <c r="P157" s="2" t="s">
        <v>21</v>
      </c>
      <c r="Q157" s="2" t="s">
        <v>22</v>
      </c>
    </row>
    <row r="158" spans="1:17" x14ac:dyDescent="0.25">
      <c r="A158" s="1">
        <v>46263</v>
      </c>
      <c r="B158" s="1">
        <v>46262</v>
      </c>
      <c r="C158" s="2" t="s">
        <v>452</v>
      </c>
      <c r="D158" s="2" t="s">
        <v>321</v>
      </c>
      <c r="E158" s="2" t="s">
        <v>390</v>
      </c>
      <c r="F158" s="2" t="s">
        <v>18</v>
      </c>
      <c r="G158" s="2" t="s">
        <v>35</v>
      </c>
      <c r="H158" s="2" t="s">
        <v>322</v>
      </c>
      <c r="I158" s="2" t="s">
        <v>323</v>
      </c>
      <c r="J158" s="3">
        <v>6</v>
      </c>
      <c r="K158" s="2" t="s">
        <v>324</v>
      </c>
      <c r="L158" s="3">
        <v>6</v>
      </c>
      <c r="M158" s="9">
        <v>480000.05</v>
      </c>
      <c r="N158" s="3">
        <v>0</v>
      </c>
      <c r="O158" s="2" t="s">
        <v>20</v>
      </c>
      <c r="P158" s="2" t="s">
        <v>21</v>
      </c>
      <c r="Q158" s="2" t="s">
        <v>22</v>
      </c>
    </row>
    <row r="159" spans="1:17" x14ac:dyDescent="0.25">
      <c r="A159" s="1">
        <v>46263</v>
      </c>
      <c r="B159" s="1">
        <v>46262</v>
      </c>
      <c r="C159" s="2" t="s">
        <v>453</v>
      </c>
      <c r="D159" s="2" t="s">
        <v>321</v>
      </c>
      <c r="E159" s="2" t="s">
        <v>454</v>
      </c>
      <c r="F159" s="2" t="s">
        <v>45</v>
      </c>
      <c r="G159" s="2" t="s">
        <v>46</v>
      </c>
      <c r="H159" s="2" t="s">
        <v>455</v>
      </c>
      <c r="I159" s="2" t="s">
        <v>456</v>
      </c>
      <c r="J159" s="3">
        <v>4</v>
      </c>
      <c r="K159" s="2" t="s">
        <v>355</v>
      </c>
      <c r="L159" s="3">
        <v>4</v>
      </c>
      <c r="M159" s="9">
        <v>920000</v>
      </c>
      <c r="N159" s="3">
        <v>0</v>
      </c>
      <c r="O159" s="2" t="s">
        <v>20</v>
      </c>
      <c r="P159" s="2" t="s">
        <v>21</v>
      </c>
      <c r="Q159" s="2" t="s">
        <v>22</v>
      </c>
    </row>
    <row r="160" spans="1:17" x14ac:dyDescent="0.25">
      <c r="A160" s="1">
        <v>46263</v>
      </c>
      <c r="B160" s="1">
        <v>46262</v>
      </c>
      <c r="C160" s="2" t="s">
        <v>457</v>
      </c>
      <c r="D160" s="2" t="s">
        <v>321</v>
      </c>
      <c r="E160" s="2" t="s">
        <v>458</v>
      </c>
      <c r="F160" s="2" t="s">
        <v>18</v>
      </c>
      <c r="G160" s="2" t="s">
        <v>58</v>
      </c>
      <c r="H160" s="2" t="s">
        <v>345</v>
      </c>
      <c r="I160" s="2" t="s">
        <v>346</v>
      </c>
      <c r="J160" s="3">
        <v>6</v>
      </c>
      <c r="K160" s="2" t="s">
        <v>38</v>
      </c>
      <c r="L160" s="3">
        <v>6</v>
      </c>
      <c r="M160" s="9">
        <v>720000</v>
      </c>
      <c r="N160" s="3">
        <v>0</v>
      </c>
      <c r="O160" s="2" t="s">
        <v>20</v>
      </c>
      <c r="P160" s="2" t="s">
        <v>21</v>
      </c>
      <c r="Q160" s="2" t="s">
        <v>459</v>
      </c>
    </row>
    <row r="161" spans="1:17" x14ac:dyDescent="0.25">
      <c r="A161" s="1">
        <v>46263</v>
      </c>
      <c r="B161" s="1">
        <v>46262</v>
      </c>
      <c r="C161" s="2" t="s">
        <v>460</v>
      </c>
      <c r="D161" s="2" t="s">
        <v>321</v>
      </c>
      <c r="E161" s="2" t="s">
        <v>292</v>
      </c>
      <c r="F161" s="2" t="s">
        <v>18</v>
      </c>
      <c r="G161" s="2" t="s">
        <v>287</v>
      </c>
      <c r="H161" s="2" t="s">
        <v>461</v>
      </c>
      <c r="I161" s="2" t="s">
        <v>462</v>
      </c>
      <c r="J161" s="3">
        <v>12</v>
      </c>
      <c r="K161" s="2" t="s">
        <v>84</v>
      </c>
      <c r="L161" s="3">
        <v>12</v>
      </c>
      <c r="M161" s="9">
        <v>2471999.9900000002</v>
      </c>
      <c r="N161" s="3">
        <v>0</v>
      </c>
      <c r="O161" s="2" t="s">
        <v>20</v>
      </c>
      <c r="P161" s="2" t="s">
        <v>21</v>
      </c>
      <c r="Q161" s="2" t="s">
        <v>22</v>
      </c>
    </row>
    <row r="162" spans="1:17" x14ac:dyDescent="0.25">
      <c r="A162" s="1">
        <v>46263</v>
      </c>
      <c r="B162" s="1">
        <v>46262</v>
      </c>
      <c r="C162" s="2" t="s">
        <v>463</v>
      </c>
      <c r="D162" s="2" t="s">
        <v>321</v>
      </c>
      <c r="E162" s="2" t="s">
        <v>464</v>
      </c>
      <c r="F162" s="2" t="s">
        <v>18</v>
      </c>
      <c r="G162" s="2" t="s">
        <v>42</v>
      </c>
      <c r="H162" s="2" t="s">
        <v>374</v>
      </c>
      <c r="I162" s="2" t="s">
        <v>375</v>
      </c>
      <c r="J162" s="3">
        <v>12</v>
      </c>
      <c r="K162" s="2" t="s">
        <v>84</v>
      </c>
      <c r="L162" s="3">
        <v>12</v>
      </c>
      <c r="M162" s="9">
        <v>720000</v>
      </c>
      <c r="N162" s="3">
        <v>0</v>
      </c>
      <c r="O162" s="2" t="s">
        <v>20</v>
      </c>
      <c r="P162" s="2" t="s">
        <v>21</v>
      </c>
      <c r="Q162" s="2" t="s">
        <v>22</v>
      </c>
    </row>
    <row r="163" spans="1:17" x14ac:dyDescent="0.25">
      <c r="A163" s="1">
        <v>46263</v>
      </c>
      <c r="B163" s="1">
        <v>46262</v>
      </c>
      <c r="C163" s="2" t="s">
        <v>465</v>
      </c>
      <c r="D163" s="2" t="s">
        <v>321</v>
      </c>
      <c r="E163" s="2" t="s">
        <v>277</v>
      </c>
      <c r="F163" s="2" t="s">
        <v>18</v>
      </c>
      <c r="G163" s="2" t="s">
        <v>124</v>
      </c>
      <c r="H163" s="2" t="s">
        <v>326</v>
      </c>
      <c r="I163" s="2" t="s">
        <v>327</v>
      </c>
      <c r="J163" s="3">
        <v>2</v>
      </c>
      <c r="K163" s="2" t="s">
        <v>38</v>
      </c>
      <c r="L163" s="3">
        <v>2.15</v>
      </c>
      <c r="M163" s="9">
        <v>215000</v>
      </c>
      <c r="N163" s="3">
        <v>0.15</v>
      </c>
      <c r="O163" s="2" t="s">
        <v>20</v>
      </c>
      <c r="P163" s="2" t="s">
        <v>21</v>
      </c>
      <c r="Q163" s="2" t="s">
        <v>22</v>
      </c>
    </row>
    <row r="164" spans="1:17" x14ac:dyDescent="0.25">
      <c r="A164" s="1">
        <v>46263</v>
      </c>
      <c r="B164" s="1">
        <v>46262</v>
      </c>
      <c r="C164" s="2" t="s">
        <v>466</v>
      </c>
      <c r="D164" s="2" t="s">
        <v>321</v>
      </c>
      <c r="E164" s="2" t="s">
        <v>277</v>
      </c>
      <c r="F164" s="2" t="s">
        <v>18</v>
      </c>
      <c r="G164" s="2" t="s">
        <v>124</v>
      </c>
      <c r="H164" s="2" t="s">
        <v>326</v>
      </c>
      <c r="I164" s="2" t="s">
        <v>327</v>
      </c>
      <c r="J164" s="3">
        <v>10</v>
      </c>
      <c r="K164" s="2" t="s">
        <v>38</v>
      </c>
      <c r="L164" s="3">
        <v>10.869899999999999</v>
      </c>
      <c r="M164" s="9">
        <v>1087000</v>
      </c>
      <c r="N164" s="3">
        <v>0.86990000000000001</v>
      </c>
      <c r="O164" s="2" t="s">
        <v>20</v>
      </c>
      <c r="P164" s="2" t="s">
        <v>21</v>
      </c>
      <c r="Q164" s="2" t="s">
        <v>22</v>
      </c>
    </row>
    <row r="165" spans="1:17" x14ac:dyDescent="0.25">
      <c r="A165" s="1">
        <v>46263</v>
      </c>
      <c r="B165" s="1">
        <v>46262</v>
      </c>
      <c r="C165" s="2" t="s">
        <v>467</v>
      </c>
      <c r="D165" s="2" t="s">
        <v>321</v>
      </c>
      <c r="E165" s="2" t="s">
        <v>468</v>
      </c>
      <c r="F165" s="2" t="s">
        <v>18</v>
      </c>
      <c r="G165" s="2" t="s">
        <v>42</v>
      </c>
      <c r="H165" s="2" t="s">
        <v>469</v>
      </c>
      <c r="I165" s="2" t="s">
        <v>470</v>
      </c>
      <c r="J165" s="3">
        <v>1</v>
      </c>
      <c r="K165" s="2" t="s">
        <v>278</v>
      </c>
      <c r="L165" s="3">
        <v>1</v>
      </c>
      <c r="M165" s="9">
        <v>168510</v>
      </c>
      <c r="N165" s="3">
        <v>0</v>
      </c>
      <c r="O165" s="2" t="s">
        <v>20</v>
      </c>
      <c r="P165" s="2" t="s">
        <v>21</v>
      </c>
      <c r="Q165" s="2" t="s">
        <v>22</v>
      </c>
    </row>
    <row r="166" spans="1:17" x14ac:dyDescent="0.25">
      <c r="A166" s="1">
        <v>46263</v>
      </c>
      <c r="B166" s="1">
        <v>46262</v>
      </c>
      <c r="C166" s="2" t="s">
        <v>467</v>
      </c>
      <c r="D166" s="2" t="s">
        <v>321</v>
      </c>
      <c r="E166" s="2" t="s">
        <v>468</v>
      </c>
      <c r="F166" s="2" t="s">
        <v>18</v>
      </c>
      <c r="G166" s="2" t="s">
        <v>42</v>
      </c>
      <c r="H166" s="2" t="s">
        <v>471</v>
      </c>
      <c r="I166" s="2" t="s">
        <v>472</v>
      </c>
      <c r="J166" s="3">
        <v>1</v>
      </c>
      <c r="K166" s="2" t="s">
        <v>84</v>
      </c>
      <c r="L166" s="3">
        <v>1</v>
      </c>
      <c r="M166" s="9">
        <v>126000</v>
      </c>
      <c r="N166" s="3">
        <v>0</v>
      </c>
      <c r="O166" s="2" t="s">
        <v>20</v>
      </c>
      <c r="P166" s="2" t="s">
        <v>21</v>
      </c>
      <c r="Q166" s="2" t="s">
        <v>22</v>
      </c>
    </row>
    <row r="167" spans="1:17" x14ac:dyDescent="0.25">
      <c r="A167" s="1">
        <v>46263</v>
      </c>
      <c r="B167" s="1">
        <v>46262</v>
      </c>
      <c r="C167" s="2" t="s">
        <v>473</v>
      </c>
      <c r="D167" s="2" t="s">
        <v>321</v>
      </c>
      <c r="E167" s="2" t="s">
        <v>474</v>
      </c>
      <c r="F167" s="2" t="s">
        <v>18</v>
      </c>
      <c r="G167" s="2" t="s">
        <v>58</v>
      </c>
      <c r="H167" s="2" t="s">
        <v>469</v>
      </c>
      <c r="I167" s="2" t="s">
        <v>470</v>
      </c>
      <c r="J167" s="3">
        <v>1</v>
      </c>
      <c r="K167" s="2" t="s">
        <v>278</v>
      </c>
      <c r="L167" s="3">
        <v>1</v>
      </c>
      <c r="M167" s="9">
        <v>156510</v>
      </c>
      <c r="N167" s="3">
        <v>0</v>
      </c>
      <c r="O167" s="2" t="s">
        <v>20</v>
      </c>
      <c r="P167" s="2" t="s">
        <v>21</v>
      </c>
      <c r="Q167" s="2" t="s">
        <v>22</v>
      </c>
    </row>
    <row r="168" spans="1:17" x14ac:dyDescent="0.25">
      <c r="A168" s="1">
        <v>46263</v>
      </c>
      <c r="B168" s="1">
        <v>46262</v>
      </c>
      <c r="C168" s="2" t="s">
        <v>473</v>
      </c>
      <c r="D168" s="2" t="s">
        <v>321</v>
      </c>
      <c r="E168" s="2" t="s">
        <v>474</v>
      </c>
      <c r="F168" s="2" t="s">
        <v>18</v>
      </c>
      <c r="G168" s="2" t="s">
        <v>58</v>
      </c>
      <c r="H168" s="2" t="s">
        <v>475</v>
      </c>
      <c r="I168" s="2" t="s">
        <v>476</v>
      </c>
      <c r="J168" s="3">
        <v>2</v>
      </c>
      <c r="K168" s="2" t="s">
        <v>278</v>
      </c>
      <c r="L168" s="3">
        <v>2</v>
      </c>
      <c r="M168" s="9">
        <v>329670</v>
      </c>
      <c r="N168" s="3">
        <v>0</v>
      </c>
      <c r="O168" s="2" t="s">
        <v>20</v>
      </c>
      <c r="P168" s="2" t="s">
        <v>21</v>
      </c>
      <c r="Q168" s="2" t="s">
        <v>22</v>
      </c>
    </row>
    <row r="169" spans="1:17" x14ac:dyDescent="0.25">
      <c r="A169" s="1">
        <v>46263</v>
      </c>
      <c r="B169" s="1">
        <v>46262</v>
      </c>
      <c r="C169" s="2" t="s">
        <v>477</v>
      </c>
      <c r="D169" s="2" t="s">
        <v>321</v>
      </c>
      <c r="E169" s="2" t="s">
        <v>478</v>
      </c>
      <c r="F169" s="2" t="s">
        <v>18</v>
      </c>
      <c r="G169" s="2" t="s">
        <v>42</v>
      </c>
      <c r="H169" s="2" t="s">
        <v>479</v>
      </c>
      <c r="I169" s="2" t="s">
        <v>480</v>
      </c>
      <c r="J169" s="3">
        <v>1</v>
      </c>
      <c r="K169" s="2" t="s">
        <v>355</v>
      </c>
      <c r="L169" s="3">
        <v>1</v>
      </c>
      <c r="M169" s="9">
        <v>110000</v>
      </c>
      <c r="N169" s="3">
        <v>0</v>
      </c>
      <c r="O169" s="2" t="s">
        <v>20</v>
      </c>
      <c r="P169" s="2" t="s">
        <v>21</v>
      </c>
      <c r="Q169" s="2" t="s">
        <v>22</v>
      </c>
    </row>
    <row r="170" spans="1:17" x14ac:dyDescent="0.25">
      <c r="A170" s="1">
        <v>46263</v>
      </c>
      <c r="B170" s="1">
        <v>46262</v>
      </c>
      <c r="C170" s="2" t="s">
        <v>481</v>
      </c>
      <c r="D170" s="2" t="s">
        <v>321</v>
      </c>
      <c r="E170" s="2" t="s">
        <v>478</v>
      </c>
      <c r="F170" s="2" t="s">
        <v>18</v>
      </c>
      <c r="G170" s="2" t="s">
        <v>42</v>
      </c>
      <c r="H170" s="2" t="s">
        <v>482</v>
      </c>
      <c r="I170" s="2" t="s">
        <v>483</v>
      </c>
      <c r="J170" s="3">
        <v>1</v>
      </c>
      <c r="K170" s="2" t="s">
        <v>355</v>
      </c>
      <c r="L170" s="3">
        <v>1</v>
      </c>
      <c r="M170" s="9">
        <v>110000</v>
      </c>
      <c r="N170" s="3">
        <v>0</v>
      </c>
      <c r="O170" s="2" t="s">
        <v>20</v>
      </c>
      <c r="P170" s="2" t="s">
        <v>21</v>
      </c>
      <c r="Q170" s="2" t="s">
        <v>22</v>
      </c>
    </row>
    <row r="171" spans="1:17" x14ac:dyDescent="0.25">
      <c r="A171" s="1">
        <v>46263</v>
      </c>
      <c r="B171" s="1">
        <v>46262</v>
      </c>
      <c r="C171" s="2" t="s">
        <v>484</v>
      </c>
      <c r="D171" s="2" t="s">
        <v>321</v>
      </c>
      <c r="E171" s="2" t="s">
        <v>485</v>
      </c>
      <c r="F171" s="2" t="s">
        <v>18</v>
      </c>
      <c r="G171" s="2" t="s">
        <v>35</v>
      </c>
      <c r="H171" s="2" t="s">
        <v>486</v>
      </c>
      <c r="I171" s="2" t="s">
        <v>487</v>
      </c>
      <c r="J171" s="3">
        <v>7</v>
      </c>
      <c r="K171" s="2" t="s">
        <v>38</v>
      </c>
      <c r="L171" s="3">
        <v>5.6</v>
      </c>
      <c r="M171" s="9">
        <v>700000</v>
      </c>
      <c r="N171" s="3">
        <v>-1.4</v>
      </c>
      <c r="O171" s="2" t="s">
        <v>20</v>
      </c>
      <c r="P171" s="2" t="s">
        <v>21</v>
      </c>
      <c r="Q171" s="2" t="s">
        <v>22</v>
      </c>
    </row>
    <row r="172" spans="1:17" x14ac:dyDescent="0.25">
      <c r="A172" s="1">
        <v>46263</v>
      </c>
      <c r="B172" s="1">
        <v>46262</v>
      </c>
      <c r="C172" s="2" t="s">
        <v>488</v>
      </c>
      <c r="D172" s="2" t="s">
        <v>321</v>
      </c>
      <c r="E172" s="2" t="s">
        <v>489</v>
      </c>
      <c r="F172" s="2" t="s">
        <v>18</v>
      </c>
      <c r="G172" s="2" t="s">
        <v>140</v>
      </c>
      <c r="H172" s="2" t="s">
        <v>490</v>
      </c>
      <c r="I172" s="2" t="s">
        <v>491</v>
      </c>
      <c r="J172" s="3">
        <v>40</v>
      </c>
      <c r="K172" s="2" t="s">
        <v>355</v>
      </c>
      <c r="L172" s="3">
        <v>40</v>
      </c>
      <c r="M172" s="9">
        <v>2699999.97</v>
      </c>
      <c r="N172" s="3">
        <v>0</v>
      </c>
      <c r="O172" s="2" t="s">
        <v>20</v>
      </c>
      <c r="P172" s="2" t="s">
        <v>21</v>
      </c>
      <c r="Q172" s="2" t="s">
        <v>22</v>
      </c>
    </row>
    <row r="173" spans="1:17" x14ac:dyDescent="0.25">
      <c r="A173" s="1">
        <v>46263</v>
      </c>
      <c r="B173" s="1">
        <v>46262</v>
      </c>
      <c r="C173" s="2" t="s">
        <v>488</v>
      </c>
      <c r="D173" s="2" t="s">
        <v>321</v>
      </c>
      <c r="E173" s="2" t="s">
        <v>489</v>
      </c>
      <c r="F173" s="2" t="s">
        <v>18</v>
      </c>
      <c r="G173" s="2" t="s">
        <v>140</v>
      </c>
      <c r="H173" s="2" t="s">
        <v>492</v>
      </c>
      <c r="I173" s="2" t="s">
        <v>493</v>
      </c>
      <c r="J173" s="3">
        <v>20</v>
      </c>
      <c r="K173" s="2" t="s">
        <v>355</v>
      </c>
      <c r="L173" s="3">
        <v>20</v>
      </c>
      <c r="M173" s="9">
        <v>1349999.98</v>
      </c>
      <c r="N173" s="3">
        <v>0</v>
      </c>
      <c r="O173" s="2" t="s">
        <v>20</v>
      </c>
      <c r="P173" s="2" t="s">
        <v>21</v>
      </c>
      <c r="Q173" s="2" t="s">
        <v>22</v>
      </c>
    </row>
    <row r="174" spans="1:17" x14ac:dyDescent="0.25">
      <c r="M174" s="10">
        <f>SUM(M2:M173)</f>
        <v>183734934.08000004</v>
      </c>
    </row>
  </sheetData>
  <autoFilter ref="A1:Q174" xr:uid="{00000000-0009-0000-0000-000000000000}"/>
  <pageMargins left="0.7" right="0.7" top="0.75" bottom="0.75" header="0.3" footer="0.3"/>
  <ignoredErrors>
    <ignoredError sqref="A1:Q1 A98:Q105 A93:Q93 A36:Q36 A25:Q25 A10:Q24 A8:Q9 A106:Q108 A94:Q97 A80:Q92 A77:Q79 A75:Q76 A63:Q74 A61:Q62 A57:Q60 A55:Q56 A52:Q54 A37:Q51 A34:Q35 A32:Q33 A28:Q31 A26:Q27 A4:Q7 A2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2026-08-29T00:35:27Z</dcterms:created>
  <dcterms:modified xsi:type="dcterms:W3CDTF">2026-08-29T00:50:43Z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