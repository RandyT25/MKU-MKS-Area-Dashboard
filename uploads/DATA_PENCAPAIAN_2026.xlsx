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DATA\"/>
    </mc:Choice>
  </mc:AlternateContent>
  <xr:revisionPtr revIDLastSave="0" documentId="13_ncr:1_{0FA9E0FF-447E-4DA2-AAA5-263D8BFC4121}" xr6:coauthVersionLast="47" xr6:coauthVersionMax="47" xr10:uidLastSave="{00000000-0000-0000-0000-000000000000}"/>
  <bookViews>
    <workbookView xWindow="-120" yWindow="-120" windowWidth="20730" windowHeight="11160" tabRatio="500" activeTab="5" xr2:uid="{00000000-000D-0000-FFFF-FFFF00000000}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8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46" i="6" l="1"/>
  <c r="F41" i="6"/>
  <c r="D93" i="14" l="1"/>
  <c r="D92" i="14"/>
  <c r="D91" i="14"/>
  <c r="D90" i="14"/>
  <c r="D89" i="14"/>
  <c r="D45" i="14"/>
  <c r="D43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F41" i="14"/>
  <c r="E3" i="14"/>
  <c r="C3" i="14"/>
  <c r="D93" i="13"/>
  <c r="D92" i="13"/>
  <c r="D91" i="13"/>
  <c r="D90" i="13"/>
  <c r="D89" i="13"/>
  <c r="D45" i="13"/>
  <c r="D44" i="13"/>
  <c r="D43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F41" i="13"/>
  <c r="E3" i="13"/>
  <c r="C3" i="13"/>
  <c r="D93" i="12"/>
  <c r="D92" i="12"/>
  <c r="D91" i="12"/>
  <c r="D90" i="12"/>
  <c r="D89" i="12"/>
  <c r="D45" i="12"/>
  <c r="D44" i="12"/>
  <c r="D43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F41" i="12"/>
  <c r="E3" i="12"/>
  <c r="C3" i="12"/>
  <c r="D93" i="11"/>
  <c r="D92" i="11"/>
  <c r="D91" i="11"/>
  <c r="D90" i="11"/>
  <c r="D89" i="11"/>
  <c r="D45" i="11"/>
  <c r="D44" i="11"/>
  <c r="D43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F41" i="11"/>
  <c r="E3" i="11"/>
  <c r="C3" i="11"/>
  <c r="D93" i="10"/>
  <c r="D92" i="10"/>
  <c r="D91" i="10"/>
  <c r="D90" i="10"/>
  <c r="D89" i="10"/>
  <c r="D45" i="10"/>
  <c r="D44" i="10"/>
  <c r="D43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F41" i="10"/>
  <c r="E3" i="10"/>
  <c r="C3" i="10"/>
  <c r="D93" i="9"/>
  <c r="D92" i="9"/>
  <c r="D91" i="9"/>
  <c r="D90" i="9"/>
  <c r="D89" i="9"/>
  <c r="D45" i="9"/>
  <c r="D44" i="9"/>
  <c r="D43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F41" i="9"/>
  <c r="E3" i="9"/>
  <c r="C3" i="9"/>
  <c r="H90" i="9" s="1"/>
  <c r="D93" i="8"/>
  <c r="D92" i="8"/>
  <c r="D91" i="8"/>
  <c r="D90" i="8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F41" i="8"/>
  <c r="E3" i="8"/>
  <c r="C3" i="8"/>
  <c r="D93" i="7"/>
  <c r="D92" i="7"/>
  <c r="D91" i="7"/>
  <c r="D90" i="7"/>
  <c r="D89" i="7"/>
  <c r="D45" i="7"/>
  <c r="D44" i="7"/>
  <c r="D43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F41" i="7"/>
  <c r="E3" i="7"/>
  <c r="C3" i="7"/>
  <c r="D94" i="14"/>
  <c r="E93" i="14"/>
  <c r="F93" i="14" s="1"/>
  <c r="G92" i="14"/>
  <c r="H92" i="14" s="1"/>
  <c r="F92" i="14"/>
  <c r="E92" i="14"/>
  <c r="E90" i="14"/>
  <c r="G90" i="14" s="1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D65" i="14"/>
  <c r="F64" i="14"/>
  <c r="F63" i="14"/>
  <c r="H62" i="14"/>
  <c r="L62" i="14" s="1"/>
  <c r="F62" i="14"/>
  <c r="F61" i="14"/>
  <c r="F60" i="14"/>
  <c r="L59" i="14"/>
  <c r="K59" i="14"/>
  <c r="H59" i="14"/>
  <c r="G59" i="14"/>
  <c r="I59" i="14" s="1"/>
  <c r="F59" i="14"/>
  <c r="F58" i="14"/>
  <c r="F57" i="14"/>
  <c r="F56" i="14"/>
  <c r="H55" i="14"/>
  <c r="L55" i="14" s="1"/>
  <c r="G55" i="14"/>
  <c r="K55" i="14" s="1"/>
  <c r="F55" i="14"/>
  <c r="F54" i="14"/>
  <c r="L53" i="14"/>
  <c r="I53" i="14"/>
  <c r="M53" i="14" s="1"/>
  <c r="H53" i="14"/>
  <c r="G53" i="14"/>
  <c r="K53" i="14" s="1"/>
  <c r="F53" i="14"/>
  <c r="H52" i="14"/>
  <c r="L52" i="14" s="1"/>
  <c r="F52" i="14"/>
  <c r="F51" i="14"/>
  <c r="D46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M11" i="14"/>
  <c r="N10" i="14"/>
  <c r="H54" i="14" s="1"/>
  <c r="L54" i="14" s="1"/>
  <c r="M10" i="14"/>
  <c r="G54" i="14" s="1"/>
  <c r="N9" i="14"/>
  <c r="M9" i="14"/>
  <c r="G52" i="14" s="1"/>
  <c r="N8" i="14"/>
  <c r="E44" i="14" s="1"/>
  <c r="M8" i="14"/>
  <c r="G51" i="14" s="1"/>
  <c r="N7" i="14"/>
  <c r="M7" i="14"/>
  <c r="D94" i="13"/>
  <c r="E93" i="13"/>
  <c r="F93" i="13" s="1"/>
  <c r="E92" i="13"/>
  <c r="E90" i="13"/>
  <c r="G89" i="13"/>
  <c r="H89" i="13" s="1"/>
  <c r="F89" i="13"/>
  <c r="E89" i="13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E65" i="13"/>
  <c r="D65" i="13"/>
  <c r="H64" i="13"/>
  <c r="L64" i="13" s="1"/>
  <c r="F64" i="13"/>
  <c r="F63" i="13"/>
  <c r="H62" i="13"/>
  <c r="L62" i="13" s="1"/>
  <c r="F62" i="13"/>
  <c r="H61" i="13"/>
  <c r="L61" i="13" s="1"/>
  <c r="F61" i="13"/>
  <c r="I60" i="13"/>
  <c r="J60" i="13" s="1"/>
  <c r="F60" i="13"/>
  <c r="H59" i="13"/>
  <c r="L59" i="13" s="1"/>
  <c r="G59" i="13"/>
  <c r="F59" i="13"/>
  <c r="F58" i="13"/>
  <c r="F57" i="13"/>
  <c r="F56" i="13"/>
  <c r="F55" i="13"/>
  <c r="F54" i="13"/>
  <c r="H53" i="13"/>
  <c r="L53" i="13" s="1"/>
  <c r="G53" i="13"/>
  <c r="F53" i="13"/>
  <c r="H52" i="13"/>
  <c r="L52" i="13" s="1"/>
  <c r="F52" i="13"/>
  <c r="F51" i="13"/>
  <c r="F65" i="13" s="1"/>
  <c r="D46" i="13"/>
  <c r="M20" i="13"/>
  <c r="M21" i="13" s="1"/>
  <c r="E45" i="13" s="1"/>
  <c r="N19" i="13"/>
  <c r="M19" i="13"/>
  <c r="G64" i="13" s="1"/>
  <c r="N18" i="13"/>
  <c r="H63" i="13" s="1"/>
  <c r="L63" i="13" s="1"/>
  <c r="M18" i="13"/>
  <c r="G63" i="13" s="1"/>
  <c r="N17" i="13"/>
  <c r="M17" i="13"/>
  <c r="G62" i="13" s="1"/>
  <c r="N16" i="13"/>
  <c r="M16" i="13"/>
  <c r="G61" i="13" s="1"/>
  <c r="I61" i="13" s="1"/>
  <c r="N15" i="13"/>
  <c r="H60" i="13" s="1"/>
  <c r="L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L55" i="13" s="1"/>
  <c r="M11" i="13"/>
  <c r="G55" i="13" s="1"/>
  <c r="K55" i="13" s="1"/>
  <c r="N10" i="13"/>
  <c r="H54" i="13" s="1"/>
  <c r="L54" i="13" s="1"/>
  <c r="M10" i="13"/>
  <c r="G54" i="13" s="1"/>
  <c r="N9" i="13"/>
  <c r="M9" i="13"/>
  <c r="G52" i="13" s="1"/>
  <c r="N8" i="13"/>
  <c r="H51" i="13" s="1"/>
  <c r="M8" i="13"/>
  <c r="G51" i="13" s="1"/>
  <c r="I51" i="13" s="1"/>
  <c r="N7" i="13"/>
  <c r="M7" i="13"/>
  <c r="D94" i="12"/>
  <c r="G93" i="12"/>
  <c r="E93" i="12"/>
  <c r="F93" i="12" s="1"/>
  <c r="E92" i="12"/>
  <c r="E90" i="12"/>
  <c r="G90" i="12" s="1"/>
  <c r="H90" i="12" s="1"/>
  <c r="G89" i="12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E65" i="12"/>
  <c r="D65" i="12"/>
  <c r="H64" i="12"/>
  <c r="L64" i="12" s="1"/>
  <c r="F64" i="12"/>
  <c r="L63" i="12"/>
  <c r="F63" i="12"/>
  <c r="L62" i="12"/>
  <c r="F62" i="12"/>
  <c r="F61" i="12"/>
  <c r="L60" i="12"/>
  <c r="F60" i="12"/>
  <c r="H59" i="12"/>
  <c r="L59" i="12" s="1"/>
  <c r="G59" i="12"/>
  <c r="F59" i="12"/>
  <c r="H58" i="12"/>
  <c r="F58" i="12"/>
  <c r="F57" i="12"/>
  <c r="H56" i="12"/>
  <c r="L56" i="12" s="1"/>
  <c r="F56" i="12"/>
  <c r="F55" i="12"/>
  <c r="H54" i="12"/>
  <c r="L54" i="12" s="1"/>
  <c r="F54" i="12"/>
  <c r="K53" i="12"/>
  <c r="H53" i="12"/>
  <c r="G53" i="12"/>
  <c r="F53" i="12"/>
  <c r="H52" i="12"/>
  <c r="L52" i="12" s="1"/>
  <c r="F52" i="12"/>
  <c r="H51" i="12"/>
  <c r="L51" i="12" s="1"/>
  <c r="F51" i="12"/>
  <c r="D46" i="12"/>
  <c r="M20" i="12"/>
  <c r="M21" i="12" s="1"/>
  <c r="N19" i="12"/>
  <c r="M19" i="12"/>
  <c r="G64" i="12" s="1"/>
  <c r="K64" i="12" s="1"/>
  <c r="N18" i="12"/>
  <c r="H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M15" i="12"/>
  <c r="G60" i="12" s="1"/>
  <c r="N14" i="12"/>
  <c r="M14" i="12"/>
  <c r="G58" i="12" s="1"/>
  <c r="K58" i="12" s="1"/>
  <c r="N13" i="12"/>
  <c r="H57" i="12" s="1"/>
  <c r="L57" i="12" s="1"/>
  <c r="M13" i="12"/>
  <c r="G57" i="12" s="1"/>
  <c r="N12" i="12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M9" i="12"/>
  <c r="G52" i="12" s="1"/>
  <c r="N8" i="12"/>
  <c r="M8" i="12"/>
  <c r="G51" i="12" s="1"/>
  <c r="N7" i="12"/>
  <c r="M7" i="12"/>
  <c r="D94" i="11"/>
  <c r="E93" i="11"/>
  <c r="G92" i="11"/>
  <c r="F92" i="11"/>
  <c r="E92" i="11"/>
  <c r="E90" i="1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E65" i="11"/>
  <c r="D65" i="11"/>
  <c r="F64" i="11"/>
  <c r="F63" i="11"/>
  <c r="F62" i="11"/>
  <c r="F61" i="11"/>
  <c r="F60" i="11"/>
  <c r="H59" i="11"/>
  <c r="L59" i="11" s="1"/>
  <c r="G59" i="11"/>
  <c r="F59" i="11"/>
  <c r="L58" i="11"/>
  <c r="G58" i="11"/>
  <c r="F58" i="11"/>
  <c r="F57" i="11"/>
  <c r="F56" i="11"/>
  <c r="F55" i="11"/>
  <c r="H54" i="11"/>
  <c r="L54" i="11" s="1"/>
  <c r="F54" i="11"/>
  <c r="H53" i="11"/>
  <c r="L53" i="11" s="1"/>
  <c r="G53" i="11"/>
  <c r="F53" i="11"/>
  <c r="F52" i="11"/>
  <c r="F51" i="11"/>
  <c r="D46" i="11"/>
  <c r="M20" i="11"/>
  <c r="M21" i="11" s="1"/>
  <c r="N19" i="11"/>
  <c r="H64" i="11" s="1"/>
  <c r="L64" i="11" s="1"/>
  <c r="M19" i="11"/>
  <c r="G64" i="11" s="1"/>
  <c r="I64" i="11" s="1"/>
  <c r="J64" i="11" s="1"/>
  <c r="N18" i="11"/>
  <c r="H63" i="11" s="1"/>
  <c r="L63" i="11" s="1"/>
  <c r="M18" i="11"/>
  <c r="G63" i="11" s="1"/>
  <c r="K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M14" i="11"/>
  <c r="N13" i="11"/>
  <c r="H57" i="11" s="1"/>
  <c r="L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D94" i="10"/>
  <c r="E93" i="10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84" i="10" s="1"/>
  <c r="E65" i="10"/>
  <c r="D65" i="10"/>
  <c r="H64" i="10"/>
  <c r="L64" i="10" s="1"/>
  <c r="F64" i="10"/>
  <c r="F63" i="10"/>
  <c r="H62" i="10"/>
  <c r="L62" i="10" s="1"/>
  <c r="F62" i="10"/>
  <c r="F61" i="10"/>
  <c r="H60" i="10"/>
  <c r="L60" i="10" s="1"/>
  <c r="F60" i="10"/>
  <c r="H59" i="10"/>
  <c r="L59" i="10" s="1"/>
  <c r="G59" i="10"/>
  <c r="F59" i="10"/>
  <c r="F58" i="10"/>
  <c r="F57" i="10"/>
  <c r="L56" i="10"/>
  <c r="K56" i="10"/>
  <c r="F56" i="10"/>
  <c r="L55" i="10"/>
  <c r="F55" i="10"/>
  <c r="F54" i="10"/>
  <c r="I53" i="10"/>
  <c r="J53" i="10" s="1"/>
  <c r="H53" i="10"/>
  <c r="L53" i="10" s="1"/>
  <c r="G53" i="10"/>
  <c r="K53" i="10" s="1"/>
  <c r="F53" i="10"/>
  <c r="M53" i="10" s="1"/>
  <c r="H52" i="10"/>
  <c r="L52" i="10" s="1"/>
  <c r="F52" i="10"/>
  <c r="H51" i="10"/>
  <c r="G51" i="10"/>
  <c r="F51" i="10"/>
  <c r="D46" i="10"/>
  <c r="G45" i="10"/>
  <c r="M20" i="10"/>
  <c r="M21" i="10" s="1"/>
  <c r="E45" i="10" s="1"/>
  <c r="F45" i="10" s="1"/>
  <c r="N19" i="10"/>
  <c r="M19" i="10"/>
  <c r="G64" i="10" s="1"/>
  <c r="K64" i="10" s="1"/>
  <c r="N18" i="10"/>
  <c r="H63" i="10" s="1"/>
  <c r="L63" i="10" s="1"/>
  <c r="M18" i="10"/>
  <c r="G63" i="10" s="1"/>
  <c r="N17" i="10"/>
  <c r="M17" i="10"/>
  <c r="G62" i="10" s="1"/>
  <c r="K62" i="10" s="1"/>
  <c r="N16" i="10"/>
  <c r="H61" i="10" s="1"/>
  <c r="L61" i="10" s="1"/>
  <c r="M16" i="10"/>
  <c r="G61" i="10" s="1"/>
  <c r="N15" i="10"/>
  <c r="M15" i="10"/>
  <c r="G60" i="10" s="1"/>
  <c r="I60" i="10" s="1"/>
  <c r="J60" i="10" s="1"/>
  <c r="N14" i="10"/>
  <c r="H58" i="10" s="1"/>
  <c r="L58" i="10" s="1"/>
  <c r="M14" i="10"/>
  <c r="G58" i="10" s="1"/>
  <c r="N13" i="10"/>
  <c r="H57" i="10" s="1"/>
  <c r="L57" i="10" s="1"/>
  <c r="M13" i="10"/>
  <c r="G57" i="10" s="1"/>
  <c r="I57" i="10" s="1"/>
  <c r="J57" i="10" s="1"/>
  <c r="N12" i="10"/>
  <c r="H56" i="10" s="1"/>
  <c r="M12" i="10"/>
  <c r="G56" i="10" s="1"/>
  <c r="N11" i="10"/>
  <c r="H55" i="10" s="1"/>
  <c r="M11" i="10"/>
  <c r="G55" i="10" s="1"/>
  <c r="I55" i="10" s="1"/>
  <c r="J55" i="10" s="1"/>
  <c r="N10" i="10"/>
  <c r="H54" i="10" s="1"/>
  <c r="L54" i="10" s="1"/>
  <c r="M10" i="10"/>
  <c r="G54" i="10" s="1"/>
  <c r="N9" i="10"/>
  <c r="M9" i="10"/>
  <c r="G52" i="10" s="1"/>
  <c r="K52" i="10" s="1"/>
  <c r="N8" i="10"/>
  <c r="E44" i="10" s="1"/>
  <c r="G44" i="10" s="1"/>
  <c r="M8" i="10"/>
  <c r="N7" i="10"/>
  <c r="M7" i="10"/>
  <c r="D94" i="9"/>
  <c r="E93" i="9"/>
  <c r="G93" i="9" s="1"/>
  <c r="H93" i="9" s="1"/>
  <c r="E92" i="9"/>
  <c r="G92" i="9" s="1"/>
  <c r="E90" i="9"/>
  <c r="G90" i="9" s="1"/>
  <c r="E89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E65" i="9"/>
  <c r="D65" i="9"/>
  <c r="K64" i="9"/>
  <c r="F64" i="9"/>
  <c r="L63" i="9"/>
  <c r="F63" i="9"/>
  <c r="F62" i="9"/>
  <c r="G61" i="9"/>
  <c r="F61" i="9"/>
  <c r="F60" i="9"/>
  <c r="I59" i="9"/>
  <c r="H59" i="9"/>
  <c r="L59" i="9" s="1"/>
  <c r="G59" i="9"/>
  <c r="K59" i="9" s="1"/>
  <c r="F59" i="9"/>
  <c r="F58" i="9"/>
  <c r="F57" i="9"/>
  <c r="L56" i="9"/>
  <c r="F56" i="9"/>
  <c r="L55" i="9"/>
  <c r="K55" i="9"/>
  <c r="F55" i="9"/>
  <c r="K54" i="9"/>
  <c r="F54" i="9"/>
  <c r="H53" i="9"/>
  <c r="L53" i="9" s="1"/>
  <c r="G53" i="9"/>
  <c r="F53" i="9"/>
  <c r="F52" i="9"/>
  <c r="G51" i="9"/>
  <c r="K51" i="9" s="1"/>
  <c r="F51" i="9"/>
  <c r="D46" i="9"/>
  <c r="M21" i="9"/>
  <c r="E45" i="9" s="1"/>
  <c r="M20" i="9"/>
  <c r="N19" i="9"/>
  <c r="H64" i="9" s="1"/>
  <c r="L64" i="9" s="1"/>
  <c r="M19" i="9"/>
  <c r="G64" i="9" s="1"/>
  <c r="N18" i="9"/>
  <c r="H63" i="9" s="1"/>
  <c r="M18" i="9"/>
  <c r="G63" i="9" s="1"/>
  <c r="N17" i="9"/>
  <c r="H62" i="9" s="1"/>
  <c r="L62" i="9" s="1"/>
  <c r="M17" i="9"/>
  <c r="G62" i="9" s="1"/>
  <c r="I62" i="9" s="1"/>
  <c r="M62" i="9" s="1"/>
  <c r="N16" i="9"/>
  <c r="H61" i="9" s="1"/>
  <c r="L61" i="9" s="1"/>
  <c r="M16" i="9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M12" i="9"/>
  <c r="G56" i="9" s="1"/>
  <c r="N11" i="9"/>
  <c r="H55" i="9" s="1"/>
  <c r="M11" i="9"/>
  <c r="G55" i="9" s="1"/>
  <c r="I55" i="9" s="1"/>
  <c r="J55" i="9" s="1"/>
  <c r="N10" i="9"/>
  <c r="H54" i="9" s="1"/>
  <c r="L54" i="9" s="1"/>
  <c r="M10" i="9"/>
  <c r="G54" i="9" s="1"/>
  <c r="N9" i="9"/>
  <c r="M9" i="9"/>
  <c r="G52" i="9" s="1"/>
  <c r="N8" i="9"/>
  <c r="H51" i="9" s="1"/>
  <c r="L51" i="9" s="1"/>
  <c r="M8" i="9"/>
  <c r="N7" i="9"/>
  <c r="M7" i="9"/>
  <c r="D94" i="8"/>
  <c r="E93" i="8"/>
  <c r="G93" i="8" s="1"/>
  <c r="G92" i="8"/>
  <c r="F92" i="8"/>
  <c r="E92" i="8"/>
  <c r="E90" i="8"/>
  <c r="G90" i="8" s="1"/>
  <c r="E89" i="8"/>
  <c r="G89" i="8" s="1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84" i="8" s="1"/>
  <c r="E65" i="8"/>
  <c r="D65" i="8"/>
  <c r="F64" i="8"/>
  <c r="F63" i="8"/>
  <c r="F62" i="8"/>
  <c r="H61" i="8"/>
  <c r="L61" i="8" s="1"/>
  <c r="F61" i="8"/>
  <c r="F60" i="8"/>
  <c r="H59" i="8"/>
  <c r="L59" i="8" s="1"/>
  <c r="G59" i="8"/>
  <c r="K59" i="8" s="1"/>
  <c r="F59" i="8"/>
  <c r="H58" i="8"/>
  <c r="L58" i="8" s="1"/>
  <c r="G58" i="8"/>
  <c r="K58" i="8" s="1"/>
  <c r="F58" i="8"/>
  <c r="F57" i="8"/>
  <c r="K56" i="8"/>
  <c r="F56" i="8"/>
  <c r="F55" i="8"/>
  <c r="L54" i="8"/>
  <c r="F54" i="8"/>
  <c r="H53" i="8"/>
  <c r="L53" i="8" s="1"/>
  <c r="G53" i="8"/>
  <c r="F53" i="8"/>
  <c r="F52" i="8"/>
  <c r="F51" i="8"/>
  <c r="D46" i="8"/>
  <c r="M20" i="8"/>
  <c r="M21" i="8" s="1"/>
  <c r="E45" i="8" s="1"/>
  <c r="F45" i="8" s="1"/>
  <c r="N19" i="8"/>
  <c r="H64" i="8" s="1"/>
  <c r="L64" i="8" s="1"/>
  <c r="M19" i="8"/>
  <c r="G64" i="8" s="1"/>
  <c r="K64" i="8" s="1"/>
  <c r="N18" i="8"/>
  <c r="H63" i="8" s="1"/>
  <c r="L63" i="8" s="1"/>
  <c r="M18" i="8"/>
  <c r="G63" i="8" s="1"/>
  <c r="K63" i="8" s="1"/>
  <c r="N17" i="8"/>
  <c r="H62" i="8" s="1"/>
  <c r="L62" i="8" s="1"/>
  <c r="M17" i="8"/>
  <c r="G62" i="8" s="1"/>
  <c r="K62" i="8" s="1"/>
  <c r="N16" i="8"/>
  <c r="M16" i="8"/>
  <c r="G61" i="8" s="1"/>
  <c r="K61" i="8" s="1"/>
  <c r="N15" i="8"/>
  <c r="H60" i="8" s="1"/>
  <c r="L60" i="8" s="1"/>
  <c r="M15" i="8"/>
  <c r="G60" i="8" s="1"/>
  <c r="N14" i="8"/>
  <c r="M14" i="8"/>
  <c r="N13" i="8"/>
  <c r="H57" i="8" s="1"/>
  <c r="M13" i="8"/>
  <c r="G57" i="8" s="1"/>
  <c r="K57" i="8" s="1"/>
  <c r="N12" i="8"/>
  <c r="H56" i="8" s="1"/>
  <c r="L56" i="8" s="1"/>
  <c r="M12" i="8"/>
  <c r="G56" i="8" s="1"/>
  <c r="N11" i="8"/>
  <c r="H55" i="8" s="1"/>
  <c r="L55" i="8" s="1"/>
  <c r="M11" i="8"/>
  <c r="G55" i="8" s="1"/>
  <c r="I55" i="8" s="1"/>
  <c r="M55" i="8" s="1"/>
  <c r="N10" i="8"/>
  <c r="H54" i="8" s="1"/>
  <c r="M10" i="8"/>
  <c r="G54" i="8" s="1"/>
  <c r="K54" i="8" s="1"/>
  <c r="N9" i="8"/>
  <c r="M9" i="8"/>
  <c r="G52" i="8" s="1"/>
  <c r="N8" i="8"/>
  <c r="H51" i="8" s="1"/>
  <c r="M8" i="8"/>
  <c r="G51" i="8" s="1"/>
  <c r="N7" i="8"/>
  <c r="M7" i="8"/>
  <c r="D94" i="7"/>
  <c r="E93" i="7"/>
  <c r="G93" i="7" s="1"/>
  <c r="H93" i="7" s="1"/>
  <c r="G92" i="7"/>
  <c r="F92" i="7"/>
  <c r="E92" i="7"/>
  <c r="E90" i="7"/>
  <c r="G90" i="7" s="1"/>
  <c r="H90" i="7" s="1"/>
  <c r="E89" i="7"/>
  <c r="F89" i="7" s="1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E65" i="7"/>
  <c r="D65" i="7"/>
  <c r="H64" i="7"/>
  <c r="L64" i="7" s="1"/>
  <c r="F64" i="7"/>
  <c r="K63" i="7"/>
  <c r="H63" i="7"/>
  <c r="L63" i="7" s="1"/>
  <c r="F63" i="7"/>
  <c r="F62" i="7"/>
  <c r="F61" i="7"/>
  <c r="F60" i="7"/>
  <c r="H59" i="7"/>
  <c r="L59" i="7" s="1"/>
  <c r="G59" i="7"/>
  <c r="F59" i="7"/>
  <c r="G58" i="7"/>
  <c r="F58" i="7"/>
  <c r="H57" i="7"/>
  <c r="L57" i="7" s="1"/>
  <c r="F57" i="7"/>
  <c r="G56" i="7"/>
  <c r="K56" i="7" s="1"/>
  <c r="F56" i="7"/>
  <c r="H55" i="7"/>
  <c r="L55" i="7" s="1"/>
  <c r="F55" i="7"/>
  <c r="K54" i="7"/>
  <c r="F54" i="7"/>
  <c r="M53" i="7"/>
  <c r="N53" i="7" s="1"/>
  <c r="I53" i="7"/>
  <c r="J53" i="7" s="1"/>
  <c r="H53" i="7"/>
  <c r="L53" i="7" s="1"/>
  <c r="G53" i="7"/>
  <c r="K53" i="7" s="1"/>
  <c r="F53" i="7"/>
  <c r="F52" i="7"/>
  <c r="F51" i="7"/>
  <c r="D46" i="7"/>
  <c r="M21" i="7"/>
  <c r="E45" i="7" s="1"/>
  <c r="M20" i="7"/>
  <c r="N19" i="7"/>
  <c r="M19" i="7"/>
  <c r="G64" i="7" s="1"/>
  <c r="K64" i="7" s="1"/>
  <c r="N18" i="7"/>
  <c r="M18" i="7"/>
  <c r="G63" i="7" s="1"/>
  <c r="N17" i="7"/>
  <c r="H62" i="7" s="1"/>
  <c r="L62" i="7" s="1"/>
  <c r="M17" i="7"/>
  <c r="G62" i="7" s="1"/>
  <c r="K62" i="7" s="1"/>
  <c r="N16" i="7"/>
  <c r="H61" i="7" s="1"/>
  <c r="L61" i="7" s="1"/>
  <c r="M16" i="7"/>
  <c r="G61" i="7" s="1"/>
  <c r="N15" i="7"/>
  <c r="H60" i="7" s="1"/>
  <c r="L60" i="7" s="1"/>
  <c r="M15" i="7"/>
  <c r="G60" i="7" s="1"/>
  <c r="K60" i="7" s="1"/>
  <c r="N14" i="7"/>
  <c r="H58" i="7" s="1"/>
  <c r="L58" i="7" s="1"/>
  <c r="M14" i="7"/>
  <c r="N13" i="7"/>
  <c r="M13" i="7"/>
  <c r="G57" i="7" s="1"/>
  <c r="K57" i="7" s="1"/>
  <c r="N12" i="7"/>
  <c r="H56" i="7" s="1"/>
  <c r="M12" i="7"/>
  <c r="N11" i="7"/>
  <c r="M11" i="7"/>
  <c r="G55" i="7" s="1"/>
  <c r="K55" i="7" s="1"/>
  <c r="N10" i="7"/>
  <c r="H54" i="7" s="1"/>
  <c r="L54" i="7" s="1"/>
  <c r="M10" i="7"/>
  <c r="G54" i="7" s="1"/>
  <c r="I54" i="7" s="1"/>
  <c r="N9" i="7"/>
  <c r="H52" i="7" s="1"/>
  <c r="L52" i="7" s="1"/>
  <c r="M9" i="7"/>
  <c r="G52" i="7" s="1"/>
  <c r="I52" i="7" s="1"/>
  <c r="N8" i="7"/>
  <c r="M8" i="7"/>
  <c r="G51" i="7" s="1"/>
  <c r="N7" i="7"/>
  <c r="M7" i="7"/>
  <c r="G59" i="6"/>
  <c r="G53" i="6"/>
  <c r="D78" i="6"/>
  <c r="D72" i="6"/>
  <c r="H59" i="6"/>
  <c r="H53" i="6"/>
  <c r="I53" i="6" s="1"/>
  <c r="D59" i="6"/>
  <c r="D53" i="6"/>
  <c r="D43" i="6"/>
  <c r="D44" i="6"/>
  <c r="D83" i="6"/>
  <c r="D82" i="6"/>
  <c r="D81" i="6"/>
  <c r="D80" i="6"/>
  <c r="D79" i="6"/>
  <c r="D77" i="6"/>
  <c r="D76" i="6"/>
  <c r="D75" i="6"/>
  <c r="D74" i="6"/>
  <c r="D73" i="6"/>
  <c r="D71" i="6"/>
  <c r="D70" i="6"/>
  <c r="E59" i="6"/>
  <c r="E53" i="6"/>
  <c r="L53" i="6" s="1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K57" i="3" s="1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F66" i="3" s="1"/>
  <c r="E65" i="3"/>
  <c r="G49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L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Q7" i="3"/>
  <c r="P7" i="3"/>
  <c r="I55" i="11" l="1"/>
  <c r="K55" i="11"/>
  <c r="F45" i="9"/>
  <c r="G45" i="9"/>
  <c r="H45" i="9" s="1"/>
  <c r="I59" i="11"/>
  <c r="J59" i="11" s="1"/>
  <c r="K59" i="11"/>
  <c r="G90" i="11"/>
  <c r="H90" i="11" s="1"/>
  <c r="F90" i="11"/>
  <c r="D84" i="12"/>
  <c r="I62" i="7"/>
  <c r="J62" i="7" s="1"/>
  <c r="F90" i="8"/>
  <c r="F90" i="7"/>
  <c r="K60" i="10"/>
  <c r="G93" i="10"/>
  <c r="H93" i="10" s="1"/>
  <c r="F93" i="10"/>
  <c r="L53" i="12"/>
  <c r="I53" i="12"/>
  <c r="E44" i="8"/>
  <c r="H52" i="8"/>
  <c r="L52" i="8" s="1"/>
  <c r="K58" i="11"/>
  <c r="I58" i="11"/>
  <c r="G92" i="12"/>
  <c r="F92" i="12"/>
  <c r="M59" i="14"/>
  <c r="N59" i="14" s="1"/>
  <c r="G65" i="7"/>
  <c r="E43" i="7" s="1"/>
  <c r="J54" i="7"/>
  <c r="M52" i="7"/>
  <c r="N52" i="7" s="1"/>
  <c r="I55" i="7"/>
  <c r="J55" i="7" s="1"/>
  <c r="K49" i="3"/>
  <c r="G65" i="3"/>
  <c r="G66" i="3"/>
  <c r="H66" i="3" s="1"/>
  <c r="I63" i="7"/>
  <c r="M63" i="7" s="1"/>
  <c r="E91" i="9"/>
  <c r="F91" i="9" s="1"/>
  <c r="I64" i="9"/>
  <c r="I51" i="9"/>
  <c r="J59" i="9"/>
  <c r="D84" i="11"/>
  <c r="E44" i="13"/>
  <c r="G44" i="13" s="1"/>
  <c r="L51" i="3"/>
  <c r="L59" i="3"/>
  <c r="F68" i="3"/>
  <c r="F60" i="3"/>
  <c r="K58" i="3"/>
  <c r="F54" i="3"/>
  <c r="K50" i="3"/>
  <c r="I61" i="7"/>
  <c r="J61" i="7" s="1"/>
  <c r="G45" i="8"/>
  <c r="F89" i="8"/>
  <c r="F93" i="8"/>
  <c r="I54" i="9"/>
  <c r="I56" i="9"/>
  <c r="I63" i="9"/>
  <c r="K63" i="9"/>
  <c r="F93" i="9"/>
  <c r="I56" i="10"/>
  <c r="J56" i="10" s="1"/>
  <c r="M58" i="11"/>
  <c r="N58" i="11" s="1"/>
  <c r="E44" i="12"/>
  <c r="I59" i="12"/>
  <c r="J59" i="12" s="1"/>
  <c r="D84" i="13"/>
  <c r="G93" i="13"/>
  <c r="H93" i="13" s="1"/>
  <c r="F90" i="14"/>
  <c r="H92" i="8"/>
  <c r="K53" i="3"/>
  <c r="L59" i="6"/>
  <c r="K59" i="6"/>
  <c r="D84" i="7"/>
  <c r="I56" i="8"/>
  <c r="J56" i="8" s="1"/>
  <c r="E94" i="9"/>
  <c r="F94" i="9" s="1"/>
  <c r="F65" i="10"/>
  <c r="I63" i="11"/>
  <c r="F90" i="12"/>
  <c r="F65" i="14"/>
  <c r="D84" i="14"/>
  <c r="H92" i="11"/>
  <c r="N63" i="7"/>
  <c r="H92" i="7"/>
  <c r="N62" i="9"/>
  <c r="H92" i="9"/>
  <c r="H44" i="13"/>
  <c r="N55" i="8"/>
  <c r="H89" i="8"/>
  <c r="H93" i="8"/>
  <c r="H44" i="10"/>
  <c r="H45" i="8"/>
  <c r="H90" i="8"/>
  <c r="H45" i="10"/>
  <c r="N53" i="10"/>
  <c r="H90" i="10"/>
  <c r="H89" i="12"/>
  <c r="H92" i="12"/>
  <c r="H93" i="12"/>
  <c r="N53" i="14"/>
  <c r="H90" i="14"/>
  <c r="L57" i="8"/>
  <c r="I57" i="8"/>
  <c r="L56" i="7"/>
  <c r="I56" i="7"/>
  <c r="J56" i="7" s="1"/>
  <c r="G45" i="7"/>
  <c r="H45" i="7" s="1"/>
  <c r="F45" i="7"/>
  <c r="G44" i="8"/>
  <c r="H44" i="8" s="1"/>
  <c r="F44" i="8"/>
  <c r="G43" i="7"/>
  <c r="F43" i="7"/>
  <c r="K60" i="8"/>
  <c r="I60" i="8"/>
  <c r="J60" i="8" s="1"/>
  <c r="K57" i="9"/>
  <c r="I57" i="9"/>
  <c r="J57" i="9" s="1"/>
  <c r="K52" i="7"/>
  <c r="M56" i="7"/>
  <c r="N56" i="7" s="1"/>
  <c r="I57" i="7"/>
  <c r="J57" i="7" s="1"/>
  <c r="I59" i="7"/>
  <c r="J59" i="7" s="1"/>
  <c r="K59" i="7"/>
  <c r="F65" i="7"/>
  <c r="I61" i="9"/>
  <c r="J61" i="9" s="1"/>
  <c r="K61" i="9"/>
  <c r="I52" i="12"/>
  <c r="J52" i="12" s="1"/>
  <c r="K52" i="12"/>
  <c r="G65" i="12"/>
  <c r="E43" i="12" s="1"/>
  <c r="L51" i="8"/>
  <c r="I62" i="8"/>
  <c r="I58" i="9"/>
  <c r="J58" i="9" s="1"/>
  <c r="K61" i="10"/>
  <c r="I61" i="10"/>
  <c r="H65" i="10"/>
  <c r="L51" i="10"/>
  <c r="L65" i="10" s="1"/>
  <c r="M57" i="10"/>
  <c r="N57" i="10" s="1"/>
  <c r="E44" i="11"/>
  <c r="H51" i="11"/>
  <c r="I51" i="11" s="1"/>
  <c r="E45" i="11"/>
  <c r="E91" i="1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45" i="14"/>
  <c r="M61" i="7"/>
  <c r="N61" i="7" s="1"/>
  <c r="I64" i="8"/>
  <c r="J64" i="8" s="1"/>
  <c r="E44" i="7"/>
  <c r="H51" i="7"/>
  <c r="J63" i="7"/>
  <c r="K52" i="8"/>
  <c r="J55" i="8"/>
  <c r="I61" i="8"/>
  <c r="J61" i="8" s="1"/>
  <c r="K60" i="9"/>
  <c r="I60" i="9"/>
  <c r="J60" i="9" s="1"/>
  <c r="M61" i="9"/>
  <c r="N61" i="9" s="1"/>
  <c r="F44" i="10"/>
  <c r="M57" i="9"/>
  <c r="N57" i="9" s="1"/>
  <c r="G89" i="9"/>
  <c r="K57" i="12"/>
  <c r="I57" i="12"/>
  <c r="F93" i="7"/>
  <c r="F65" i="8"/>
  <c r="I58" i="8"/>
  <c r="J58" i="8" s="1"/>
  <c r="M56" i="9"/>
  <c r="N56" i="9" s="1"/>
  <c r="J56" i="9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J52" i="7"/>
  <c r="K55" i="8"/>
  <c r="F65" i="9"/>
  <c r="K59" i="10"/>
  <c r="I59" i="10"/>
  <c r="J59" i="10" s="1"/>
  <c r="K62" i="12"/>
  <c r="I62" i="12"/>
  <c r="M55" i="7"/>
  <c r="N55" i="7" s="1"/>
  <c r="E91" i="7"/>
  <c r="E94" i="7" s="1"/>
  <c r="F94" i="7" s="1"/>
  <c r="G65" i="8"/>
  <c r="E43" i="8" s="1"/>
  <c r="K51" i="8"/>
  <c r="I63" i="8"/>
  <c r="J63" i="8" s="1"/>
  <c r="I53" i="9"/>
  <c r="J53" i="9" s="1"/>
  <c r="K53" i="9"/>
  <c r="M59" i="9"/>
  <c r="N59" i="9" s="1"/>
  <c r="J62" i="9"/>
  <c r="M55" i="10"/>
  <c r="N55" i="10" s="1"/>
  <c r="M64" i="9"/>
  <c r="N64" i="9" s="1"/>
  <c r="J64" i="9"/>
  <c r="M59" i="10"/>
  <c r="N59" i="10" s="1"/>
  <c r="M63" i="11"/>
  <c r="N63" i="11" s="1"/>
  <c r="J63" i="11"/>
  <c r="J53" i="12"/>
  <c r="M53" i="12"/>
  <c r="N53" i="12" s="1"/>
  <c r="D84" i="9"/>
  <c r="I51" i="7"/>
  <c r="K51" i="7"/>
  <c r="K58" i="7"/>
  <c r="I58" i="7"/>
  <c r="M56" i="8"/>
  <c r="N56" i="8" s="1"/>
  <c r="M59" i="8"/>
  <c r="N59" i="8" s="1"/>
  <c r="E91" i="8"/>
  <c r="K52" i="9"/>
  <c r="K62" i="9"/>
  <c r="G91" i="9"/>
  <c r="H91" i="9" s="1"/>
  <c r="G89" i="10"/>
  <c r="F89" i="10"/>
  <c r="I60" i="7"/>
  <c r="M54" i="7"/>
  <c r="N54" i="7" s="1"/>
  <c r="K61" i="7"/>
  <c r="I64" i="7"/>
  <c r="J64" i="7" s="1"/>
  <c r="G89" i="7"/>
  <c r="I54" i="8"/>
  <c r="J54" i="8" s="1"/>
  <c r="I51" i="8"/>
  <c r="M51" i="8" s="1"/>
  <c r="I53" i="8"/>
  <c r="K53" i="8"/>
  <c r="I59" i="8"/>
  <c r="J59" i="8" s="1"/>
  <c r="E94" i="8"/>
  <c r="F94" i="8" s="1"/>
  <c r="E44" i="9"/>
  <c r="H52" i="9"/>
  <c r="M55" i="9"/>
  <c r="N55" i="9" s="1"/>
  <c r="G65" i="10"/>
  <c r="E43" i="10" s="1"/>
  <c r="K51" i="10"/>
  <c r="I51" i="10"/>
  <c r="M51" i="10" s="1"/>
  <c r="K55" i="10"/>
  <c r="I62" i="10"/>
  <c r="J62" i="10" s="1"/>
  <c r="K61" i="11"/>
  <c r="I61" i="11"/>
  <c r="J61" i="11" s="1"/>
  <c r="K56" i="9"/>
  <c r="K65" i="9" s="1"/>
  <c r="M58" i="9"/>
  <c r="N58" i="9" s="1"/>
  <c r="K57" i="10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L65" i="12" s="1"/>
  <c r="I58" i="12"/>
  <c r="J58" i="12" s="1"/>
  <c r="G44" i="14"/>
  <c r="H44" i="14" s="1"/>
  <c r="F44" i="14"/>
  <c r="G65" i="11"/>
  <c r="E43" i="11" s="1"/>
  <c r="K51" i="11"/>
  <c r="K53" i="11"/>
  <c r="I53" i="11"/>
  <c r="J53" i="11" s="1"/>
  <c r="J58" i="11"/>
  <c r="I60" i="11"/>
  <c r="K60" i="11"/>
  <c r="K63" i="12"/>
  <c r="I63" i="12"/>
  <c r="K52" i="13"/>
  <c r="I52" i="13"/>
  <c r="J52" i="13" s="1"/>
  <c r="I54" i="13"/>
  <c r="J54" i="13" s="1"/>
  <c r="K54" i="13"/>
  <c r="K52" i="14"/>
  <c r="I52" i="14"/>
  <c r="J52" i="14" s="1"/>
  <c r="I57" i="14"/>
  <c r="K57" i="14"/>
  <c r="K62" i="14"/>
  <c r="I62" i="14"/>
  <c r="J62" i="14" s="1"/>
  <c r="M60" i="14"/>
  <c r="N60" i="14" s="1"/>
  <c r="I62" i="11"/>
  <c r="F44" i="13"/>
  <c r="M63" i="10"/>
  <c r="N63" i="10" s="1"/>
  <c r="G65" i="9"/>
  <c r="E43" i="9" s="1"/>
  <c r="E91" i="10"/>
  <c r="E94" i="10" s="1"/>
  <c r="F94" i="10" s="1"/>
  <c r="M59" i="11"/>
  <c r="N59" i="11" s="1"/>
  <c r="H65" i="12"/>
  <c r="I58" i="13"/>
  <c r="J58" i="13" s="1"/>
  <c r="K58" i="13"/>
  <c r="K63" i="13"/>
  <c r="I63" i="13"/>
  <c r="J63" i="13" s="1"/>
  <c r="F45" i="13"/>
  <c r="G45" i="13"/>
  <c r="H45" i="13" s="1"/>
  <c r="K59" i="13"/>
  <c r="I59" i="13"/>
  <c r="M64" i="8"/>
  <c r="N64" i="8" s="1"/>
  <c r="M57" i="11"/>
  <c r="N57" i="11" s="1"/>
  <c r="K59" i="12"/>
  <c r="I61" i="12"/>
  <c r="J61" i="12" s="1"/>
  <c r="M60" i="10"/>
  <c r="N60" i="10" s="1"/>
  <c r="K64" i="11"/>
  <c r="F89" i="11"/>
  <c r="E94" i="11"/>
  <c r="F94" i="11" s="1"/>
  <c r="G89" i="11"/>
  <c r="I51" i="12"/>
  <c r="K51" i="12"/>
  <c r="I56" i="12"/>
  <c r="J56" i="12" s="1"/>
  <c r="E91" i="12"/>
  <c r="E45" i="12"/>
  <c r="M59" i="12"/>
  <c r="N59" i="12" s="1"/>
  <c r="M64" i="11"/>
  <c r="N64" i="11" s="1"/>
  <c r="F65" i="12"/>
  <c r="K64" i="13"/>
  <c r="I64" i="13"/>
  <c r="J61" i="13"/>
  <c r="M61" i="13"/>
  <c r="N61" i="13" s="1"/>
  <c r="F90" i="10"/>
  <c r="I54" i="11"/>
  <c r="K54" i="12"/>
  <c r="I54" i="12"/>
  <c r="I55" i="12"/>
  <c r="I60" i="12"/>
  <c r="J60" i="12" s="1"/>
  <c r="K60" i="12"/>
  <c r="M52" i="13"/>
  <c r="N52" i="13" s="1"/>
  <c r="G90" i="13"/>
  <c r="F90" i="13"/>
  <c r="K54" i="14"/>
  <c r="I54" i="14"/>
  <c r="J54" i="14" s="1"/>
  <c r="K58" i="14"/>
  <c r="I58" i="14"/>
  <c r="E94" i="14"/>
  <c r="F94" i="14" s="1"/>
  <c r="F90" i="9"/>
  <c r="F92" i="9"/>
  <c r="K56" i="13"/>
  <c r="I56" i="13"/>
  <c r="E91" i="13"/>
  <c r="I55" i="13"/>
  <c r="K61" i="13"/>
  <c r="M62" i="14"/>
  <c r="N62" i="14" s="1"/>
  <c r="I64" i="12"/>
  <c r="J64" i="12" s="1"/>
  <c r="L51" i="13"/>
  <c r="L65" i="13" s="1"/>
  <c r="H65" i="13"/>
  <c r="M60" i="13"/>
  <c r="N60" i="13" s="1"/>
  <c r="M62" i="13"/>
  <c r="N62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D84" i="6"/>
  <c r="F53" i="6"/>
  <c r="M53" i="6" s="1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M51" i="3" s="1"/>
  <c r="N51" i="3" s="1"/>
  <c r="F69" i="3"/>
  <c r="L53" i="3"/>
  <c r="L57" i="3"/>
  <c r="D61" i="3"/>
  <c r="D44" i="3"/>
  <c r="G41" i="3"/>
  <c r="I49" i="3"/>
  <c r="I54" i="3"/>
  <c r="J54" i="3" s="1"/>
  <c r="K54" i="3"/>
  <c r="I57" i="3"/>
  <c r="E70" i="3"/>
  <c r="G61" i="3"/>
  <c r="H65" i="3"/>
  <c r="I52" i="3"/>
  <c r="K52" i="3"/>
  <c r="K56" i="3"/>
  <c r="I56" i="3"/>
  <c r="I60" i="3"/>
  <c r="J60" i="3" s="1"/>
  <c r="K60" i="3"/>
  <c r="H61" i="3"/>
  <c r="L49" i="3"/>
  <c r="G42" i="3"/>
  <c r="H42" i="3" s="1"/>
  <c r="I55" i="3"/>
  <c r="K55" i="3"/>
  <c r="I50" i="3"/>
  <c r="F65" i="3"/>
  <c r="F50" i="3"/>
  <c r="K51" i="3"/>
  <c r="L56" i="3"/>
  <c r="F58" i="3"/>
  <c r="K59" i="3"/>
  <c r="D70" i="3"/>
  <c r="I53" i="3"/>
  <c r="J53" i="3" s="1"/>
  <c r="E42" i="3"/>
  <c r="F42" i="3" s="1"/>
  <c r="F49" i="3"/>
  <c r="L55" i="3"/>
  <c r="M53" i="3" l="1"/>
  <c r="N53" i="3" s="1"/>
  <c r="M59" i="3"/>
  <c r="N59" i="3" s="1"/>
  <c r="M64" i="10"/>
  <c r="N64" i="10" s="1"/>
  <c r="J63" i="9"/>
  <c r="M63" i="9"/>
  <c r="N63" i="9" s="1"/>
  <c r="M50" i="3"/>
  <c r="N50" i="3" s="1"/>
  <c r="M56" i="12"/>
  <c r="N56" i="12" s="1"/>
  <c r="M62" i="10"/>
  <c r="N62" i="10" s="1"/>
  <c r="M63" i="8"/>
  <c r="N63" i="8" s="1"/>
  <c r="H65" i="8"/>
  <c r="M59" i="7"/>
  <c r="N59" i="7" s="1"/>
  <c r="J51" i="9"/>
  <c r="M51" i="9"/>
  <c r="N51" i="9" s="1"/>
  <c r="M62" i="7"/>
  <c r="N62" i="7" s="1"/>
  <c r="F44" i="12"/>
  <c r="G44" i="12"/>
  <c r="H44" i="12" s="1"/>
  <c r="L65" i="8"/>
  <c r="M58" i="3"/>
  <c r="N58" i="3" s="1"/>
  <c r="G67" i="3"/>
  <c r="H67" i="3" s="1"/>
  <c r="M58" i="13"/>
  <c r="N58" i="13" s="1"/>
  <c r="M52" i="10"/>
  <c r="N52" i="10" s="1"/>
  <c r="M63" i="13"/>
  <c r="N63" i="13" s="1"/>
  <c r="M52" i="12"/>
  <c r="N52" i="12" s="1"/>
  <c r="M60" i="8"/>
  <c r="N60" i="8" s="1"/>
  <c r="I52" i="8"/>
  <c r="J52" i="8" s="1"/>
  <c r="M54" i="9"/>
  <c r="N54" i="9" s="1"/>
  <c r="J54" i="9"/>
  <c r="M56" i="10"/>
  <c r="N56" i="10" s="1"/>
  <c r="J55" i="11"/>
  <c r="M55" i="11"/>
  <c r="N55" i="11" s="1"/>
  <c r="M59" i="6"/>
  <c r="N51" i="8"/>
  <c r="M51" i="14"/>
  <c r="J51" i="14"/>
  <c r="I65" i="14"/>
  <c r="J65" i="14" s="1"/>
  <c r="M58" i="14"/>
  <c r="N58" i="14" s="1"/>
  <c r="J58" i="14"/>
  <c r="E46" i="9"/>
  <c r="F46" i="9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H65" i="7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M54" i="12"/>
  <c r="N54" i="12" s="1"/>
  <c r="J54" i="12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I65" i="12"/>
  <c r="J65" i="12" s="1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43" i="7"/>
  <c r="G46" i="7"/>
  <c r="H46" i="7" s="1"/>
  <c r="H65" i="9"/>
  <c r="L52" i="9"/>
  <c r="L65" i="9" s="1"/>
  <c r="J51" i="7"/>
  <c r="I65" i="7"/>
  <c r="J65" i="7" s="1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F70" i="3"/>
  <c r="K61" i="3"/>
  <c r="G70" i="3"/>
  <c r="H70" i="3" s="1"/>
  <c r="F61" i="3"/>
  <c r="M49" i="3"/>
  <c r="M60" i="3"/>
  <c r="N60" i="3" s="1"/>
  <c r="J49" i="3"/>
  <c r="I61" i="3"/>
  <c r="J50" i="3"/>
  <c r="L61" i="3"/>
  <c r="H41" i="3"/>
  <c r="G44" i="3"/>
  <c r="H44" i="3" s="1"/>
  <c r="M56" i="3"/>
  <c r="N56" i="3" s="1"/>
  <c r="J58" i="3"/>
  <c r="E44" i="3"/>
  <c r="F44" i="3" s="1"/>
  <c r="G94" i="13" l="1"/>
  <c r="H94" i="13" s="1"/>
  <c r="G94" i="11"/>
  <c r="H94" i="11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E66" i="4"/>
  <c r="F66" i="4" s="1"/>
  <c r="E65" i="4"/>
  <c r="G65" i="4" s="1"/>
  <c r="F60" i="4"/>
  <c r="F59" i="4"/>
  <c r="H58" i="4"/>
  <c r="L58" i="4" s="1"/>
  <c r="F58" i="4"/>
  <c r="F57" i="4"/>
  <c r="F56" i="4"/>
  <c r="F55" i="4"/>
  <c r="F54" i="4"/>
  <c r="M54" i="4" s="1"/>
  <c r="F53" i="4"/>
  <c r="F52" i="4"/>
  <c r="F51" i="4"/>
  <c r="F50" i="4"/>
  <c r="E61" i="4"/>
  <c r="D61" i="4"/>
  <c r="D44" i="4"/>
  <c r="P20" i="4"/>
  <c r="P21" i="4" s="1"/>
  <c r="E67" i="4" s="1"/>
  <c r="F67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C3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H53" i="5" s="1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Q11" i="5"/>
  <c r="H52" i="5" s="1"/>
  <c r="Q10" i="5"/>
  <c r="H51" i="5" s="1"/>
  <c r="Q9" i="5"/>
  <c r="H50" i="5" s="1"/>
  <c r="H49" i="5"/>
  <c r="E67" i="5" l="1"/>
  <c r="E43" i="5"/>
  <c r="E41" i="4"/>
  <c r="G41" i="4" s="1"/>
  <c r="G50" i="4"/>
  <c r="I50" i="4" s="1"/>
  <c r="J50" i="4" s="1"/>
  <c r="G66" i="4"/>
  <c r="E70" i="5"/>
  <c r="G68" i="4"/>
  <c r="H68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H66" i="4"/>
  <c r="N54" i="4"/>
  <c r="H67" i="4"/>
  <c r="I51" i="4"/>
  <c r="J51" i="4" s="1"/>
  <c r="K55" i="4"/>
  <c r="I55" i="4"/>
  <c r="J55" i="4" s="1"/>
  <c r="I59" i="4"/>
  <c r="J59" i="4" s="1"/>
  <c r="K60" i="4"/>
  <c r="I60" i="4"/>
  <c r="J60" i="4" s="1"/>
  <c r="E70" i="4"/>
  <c r="K57" i="4"/>
  <c r="I57" i="4"/>
  <c r="J57" i="4" s="1"/>
  <c r="H65" i="4"/>
  <c r="H61" i="4"/>
  <c r="L49" i="4"/>
  <c r="L61" i="4" s="1"/>
  <c r="E44" i="4"/>
  <c r="F44" i="4" s="1"/>
  <c r="J54" i="4"/>
  <c r="K52" i="4"/>
  <c r="I52" i="4"/>
  <c r="J52" i="4" s="1"/>
  <c r="K49" i="4"/>
  <c r="I49" i="4"/>
  <c r="M53" i="4"/>
  <c r="N53" i="4" s="1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E44" i="5" s="1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G41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F42" i="5" l="1"/>
  <c r="G61" i="4"/>
  <c r="F41" i="4"/>
  <c r="M56" i="4"/>
  <c r="N56" i="4" s="1"/>
  <c r="G42" i="4"/>
  <c r="H42" i="4" s="1"/>
  <c r="M60" i="4"/>
  <c r="N60" i="4" s="1"/>
  <c r="K50" i="4"/>
  <c r="K61" i="4" s="1"/>
  <c r="E46" i="6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<sst xmlns="http://schemas.openxmlformats.org/spreadsheetml/2006/main" count="1870" uniqueCount="185">
  <si>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</si>
  <si>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</si>
  <si>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</si>
  <si>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</si>
  <si>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</si>
  <si>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</si>
  <si>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</si>
  <si>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</si>
  <si>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</si>
  <si>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</si>
  <si>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</si>
  <si>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</si>
  <si>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</si>
  <si>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</si>
  <si>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</si>
  <si>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</si>
  <si>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</si>
  <si>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</si>
  <si>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</si>
  <si>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</si>
  <si>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</si>
  <si>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</si>
  <si>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</si>
  <si>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</si>
  <si>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</si>
  <si>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</si>
  <si>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</si>
  <si>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</si>
  <si>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</si>
  <si>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</si>
  <si>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</si>
  <si>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</si>
  <si>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</si>
  <si>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</si>
  <si>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</si>
  <si>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</si>
  <si>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</si>
  <si>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</si>
  <si>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</si>
  <si>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</si>
  <si>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</si>
  <si>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</si>
  <si>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</si>
  <si>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</si>
  <si>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</si>
  <si>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</si>
  <si>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</si>
  <si>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</si>
  <si>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</si>
  <si>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</si>
  <si>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</si>
  <si>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</si>
  <si>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</si>
  <si>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</si>
  <si>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</si>
  <si>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</si>
  <si>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</si>
  <si>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</si>
  <si>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</si>
  <si>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</si>
  <si>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</si>
  <si>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</si>
  <si>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</si>
  <si>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</si>
  <si>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</si>
  <si>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</si>
  <si>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</si>
  <si>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</si>
  <si>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</si>
  <si>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</si>
  <si>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</si>
  <si>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</si>
  <si>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</si>
  <si>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</si>
  <si>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</si>
  <si>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</si>
  <si>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</si>
  <si>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</si>
  <si>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</si>
  <si>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</si>
  <si>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</si>
  <si>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</si>
  <si>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</si>
  <si>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</si>
  <si>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</si>
  <si>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</si>
  <si>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</si>
  <si>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</si>
  <si>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</si>
  <si>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</si>
  <si>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</si>
  <si>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</si>
  <si>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</si>
  <si>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</si>
  <si>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</si>
  <si>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</si>
  <si>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</si>
  <si>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</si>
  <si>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</si>
  <si>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</si>
  <si>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</si>
  <si>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</si>
  <si>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</si>
  <si>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</si>
  <si>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</si>
  <si>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</si>
  <si>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</si>
  <si>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</si>
  <si>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</si>
  <si>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</si>
  <si>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</si>
  <si>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</si>
  <si>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</si>
  <si>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</si>
  <si>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</si>
  <si>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</si>
  <si>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</si>
  <si>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</si>
  <si>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</si>
  <si>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</si>
  <si>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</si>
  <si>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</si>
  <si>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</si>
  <si>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</si>
  <si>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</si>
  <si>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</si>
  <si>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</si>
  <si>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</si>
  <si>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</si>
  <si>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</si>
  <si>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</si>
  <si>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</si>
  <si>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</si>
  <si>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</si>
  <si>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</si>
  <si>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</si>
  <si>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</si>
  <si>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</si>
  <si>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</si>
  <si>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</si>
  <si>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</si>
  <si>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</si>
  <si>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</si>
  <si>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</si>
  <si>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</si>
  <si>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</si>
  <si>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</si>
  <si>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</si>
  <si>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</si>
  <si>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</si>
  <si>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</si>
  <si>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</si>
  <si>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</si>
  <si>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</si>
  <si>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</si>
  <si>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</si>
  <si>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</si>
  <si>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</si>
  <si>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</si>
  <si>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GLOBAL — MEI 2026</t>
  </si>
  <si>
    <t>DATA PENCAPAIAN — JUNI 2026</t>
  </si>
  <si>
    <t>DATA PENCAPAIAN — GLOBAL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</si>
  <si>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</si>
  <si>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</si>
  <si>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</si>
  <si>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</si>
  <si>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</si>
  <si>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</si>
  <si>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</si>
  <si>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</si>
  <si>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</si>
  <si>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</si>
  <si>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</si>
  <si>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</si>
  <si>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</si>
  <si>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</si>
  <si>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</si>
  <si>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</si>
  <si>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</si>
  <si>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</si>
  <si>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JULI 2026</t>
  </si>
  <si>
    <t>DATA PENCAPAIAN — GLOBAL — NOVEMBER 2026</t>
  </si>
  <si>
    <t>DATA PENCAPAIAN — DESEMBER 2026</t>
  </si>
  <si>
    <t>DATA PENCAPAIAN — GLOBAL — DESEMBER 2026</t>
  </si>
  <si>
    <t>DATA PENCAPAIAN — GLOBAL — 28 APRIL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</si>
</sst>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_(* \(#,##0\);_(* &quot;-&quot;_);_(@_)"/>
    <numFmt numFmtId="165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37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5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164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164" fontId="12" fillId="2" borderId="0" xfId="0" applyNumberFormat="1" applyFont="1" applyFill="1" applyAlignment="1">
      <alignment horizontal="centerContinuous" vertical="center"/>
    </xf>
    <xf numFmtId="164" fontId="0" fillId="0" borderId="0" xfId="0" applyNumberFormat="1"/>
    <xf numFmtId="164" fontId="18" fillId="17" borderId="1" xfId="0" applyNumberFormat="1" applyFont="1" applyFill="1" applyBorder="1" applyAlignment="1">
      <alignment horizontal="centerContinuous" vertical="center" wrapText="1"/>
    </xf>
    <xf numFmtId="164" fontId="26" fillId="0" borderId="1" xfId="0" applyNumberFormat="1" applyFont="1" applyBorder="1" applyAlignment="1">
      <alignment horizontal="right" vertical="center"/>
    </xf>
    <xf numFmtId="164" fontId="22" fillId="17" borderId="1" xfId="0" applyNumberFormat="1" applyFont="1" applyFill="1" applyBorder="1" applyAlignment="1">
      <alignment horizontal="right" vertical="center"/>
    </xf>
    <xf numFmtId="164" fontId="29" fillId="15" borderId="1" xfId="0" applyNumberFormat="1" applyFont="1" applyFill="1" applyBorder="1" applyAlignment="1">
      <alignment horizontal="centerContinuous" vertical="center" wrapText="1"/>
    </xf>
    <xf numFmtId="164" fontId="29" fillId="22" borderId="1" xfId="0" applyNumberFormat="1" applyFont="1" applyFill="1" applyBorder="1" applyAlignment="1">
      <alignment horizontal="center" vertical="center" wrapText="1"/>
    </xf>
    <xf numFmtId="164" fontId="26" fillId="24" borderId="1" xfId="0" applyNumberFormat="1" applyFont="1" applyFill="1" applyBorder="1" applyAlignment="1">
      <alignment horizontal="right" vertical="center"/>
    </xf>
    <xf numFmtId="164" fontId="22" fillId="16" borderId="1" xfId="0" applyNumberFormat="1" applyFont="1" applyFill="1" applyBorder="1" applyAlignment="1">
      <alignment horizontal="right" vertical="center"/>
    </xf>
    <xf numFmtId="164" fontId="24" fillId="18" borderId="1" xfId="0" applyNumberFormat="1" applyFont="1" applyFill="1" applyBorder="1" applyAlignment="1">
      <alignment horizontal="centerContinuous" vertical="center" wrapText="1"/>
    </xf>
    <xf numFmtId="164" fontId="26" fillId="12" borderId="1" xfId="0" applyNumberFormat="1" applyFont="1" applyFill="1" applyBorder="1" applyAlignment="1">
      <alignment horizontal="right" vertical="center"/>
    </xf>
    <xf numFmtId="164" fontId="26" fillId="10" borderId="1" xfId="0" applyNumberFormat="1" applyFont="1" applyFill="1" applyBorder="1" applyAlignment="1">
      <alignment horizontal="right" vertical="center"/>
    </xf>
    <xf numFmtId="164" fontId="26" fillId="12" borderId="1" xfId="0" applyNumberFormat="1" applyFont="1" applyFill="1" applyBorder="1" applyAlignment="1">
      <alignment horizontal="center" vertical="center"/>
    </xf>
    <xf numFmtId="164" fontId="26" fillId="10" borderId="1" xfId="0" applyNumberFormat="1" applyFont="1" applyFill="1" applyBorder="1" applyAlignment="1">
      <alignment horizontal="center" vertical="center"/>
    </xf>
    <xf numFmtId="164" fontId="22" fillId="16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 wrapText="1"/>
    </xf>
    <xf numFmtId="164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164" fontId="26" fillId="27" borderId="1" xfId="0" applyNumberFormat="1" applyFont="1" applyFill="1" applyBorder="1" applyAlignment="1">
      <alignment horizontal="center" vertical="center"/>
    </xf>
    <xf numFmtId="164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164" fontId="22" fillId="26" borderId="1" xfId="0" applyNumberFormat="1" applyFont="1" applyFill="1" applyBorder="1" applyAlignment="1">
      <alignment horizontal="center" vertical="center"/>
    </xf>
    <xf numFmtId="164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164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164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164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164" fontId="35" fillId="18" borderId="1" xfId="0" applyNumberFormat="1" applyFont="1" applyFill="1" applyBorder="1" applyAlignment="1">
      <alignment horizontal="centerContinuous" vertical="center" wrapText="1"/>
    </xf>
    <xf numFmtId="164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164" fontId="35" fillId="18" borderId="1" xfId="0" applyNumberFormat="1" applyFont="1" applyFill="1" applyBorder="1" applyAlignment="1">
      <alignment horizontal="center" vertical="center" wrapText="1"/>
    </xf>
    <xf numFmtId="164" fontId="38" fillId="12" borderId="1" xfId="0" applyNumberFormat="1" applyFont="1" applyFill="1" applyBorder="1" applyAlignment="1">
      <alignment horizontal="right" vertical="center"/>
    </xf>
    <xf numFmtId="164" fontId="38" fillId="10" borderId="1" xfId="0" applyNumberFormat="1" applyFont="1" applyFill="1" applyBorder="1" applyAlignment="1">
      <alignment horizontal="right" vertical="center"/>
    </xf>
    <xf numFmtId="164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164" fontId="39" fillId="12" borderId="1" xfId="0" applyNumberFormat="1" applyFont="1" applyFill="1" applyBorder="1" applyAlignment="1">
      <alignment horizontal="center" vertical="center"/>
    </xf>
    <xf numFmtId="164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164" fontId="39" fillId="10" borderId="1" xfId="0" applyNumberFormat="1" applyFont="1" applyFill="1" applyBorder="1" applyAlignment="1">
      <alignment horizontal="center" vertical="center"/>
    </xf>
    <xf numFmtId="164" fontId="39" fillId="30" borderId="1" xfId="0" applyNumberFormat="1" applyFont="1" applyFill="1" applyBorder="1" applyAlignment="1">
      <alignment horizontal="center" vertical="center"/>
    </xf>
    <xf numFmtId="164" fontId="34" fillId="26" borderId="1" xfId="0" applyNumberFormat="1" applyFont="1" applyFill="1" applyBorder="1" applyAlignment="1">
      <alignment horizontal="center" vertical="center"/>
    </xf>
    <xf numFmtId="164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164" fontId="39" fillId="27" borderId="1" xfId="0" applyNumberFormat="1" applyFont="1" applyFill="1" applyBorder="1" applyAlignment="1">
      <alignment horizontal="center" vertical="center"/>
    </xf>
    <xf numFmtId="164" fontId="39" fillId="28" borderId="1" xfId="0" applyNumberFormat="1" applyFont="1" applyFill="1" applyBorder="1" applyAlignment="1">
      <alignment horizontal="center" vertical="center"/>
    </xf>
    <xf numFmtId="164" fontId="34" fillId="16" borderId="1" xfId="0" applyNumberFormat="1" applyFont="1" applyFill="1" applyBorder="1" applyAlignment="1">
      <alignment horizontal="center" vertical="center"/>
    </xf>
    <xf numFmtId="164" fontId="39" fillId="12" borderId="1" xfId="0" applyNumberFormat="1" applyFont="1" applyFill="1" applyBorder="1" applyAlignment="1">
      <alignment horizontal="right" vertical="center"/>
    </xf>
    <xf numFmtId="164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164" fontId="34" fillId="16" borderId="1" xfId="0" applyNumberFormat="1" applyFont="1" applyFill="1" applyBorder="1" applyAlignment="1">
      <alignment horizontal="right"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18"/>
  <sheetViews>
    <sheetView showGridLines="0" zoomScale="110" zoomScaleNormal="110" workbookViewId="0">
      <selection activeCell="B10" sqref="B10:C18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198" t="s">
        <v>0</v>
      </c>
      <c r="C1" s="198"/>
    </row>
    <row r="3" spans="2:3" x14ac:dyDescent="0.25">
      <c r="B3" s="199" t="s">
        <v>1</v>
      </c>
      <c r="C3" s="199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0" t="s">
        <v>14</v>
      </c>
      <c r="C11" s="200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29"/>
  <sheetViews>
    <sheetView showGridLines="0" zoomScale="165" zoomScaleNormal="100" workbookViewId="0">
      <selection activeCell="L5" sqref="L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6" width="12.7109375" bestFit="1" customWidth="1"/>
    <col min="7" max="7" width="12.85546875" bestFit="1" customWidth="1"/>
    <col min="8" max="8" width="12.7109375" bestFit="1" customWidth="1"/>
    <col min="9" max="9" width="11.140625" bestFit="1" customWidth="1"/>
    <col min="10" max="11" width="11.28515625" bestFit="1" customWidth="1"/>
    <col min="12" max="12" width="9.42578125" bestFit="1" customWidth="1"/>
    <col min="13" max="13" width="8.140625" bestFit="1" customWidth="1"/>
    <col min="14" max="14" width="9.85546875" bestFit="1" customWidth="1"/>
    <col min="15" max="15" width="8.42578125" bestFit="1" customWidth="1"/>
    <col min="16" max="16" width="9.7109375" bestFit="1" customWidth="1"/>
    <col min="17" max="17" width="8.2851562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199" t="s">
        <v>28</v>
      </c>
      <c r="C3" s="199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177</v>
      </c>
      <c r="C7" s="146" t="s">
        <v>178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0</v>
      </c>
      <c r="M11" s="7">
        <v>0</v>
      </c>
      <c r="N11" s="7">
        <v>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0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177</v>
      </c>
      <c r="C13" s="146" t="s">
        <v>179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0</v>
      </c>
      <c r="M16" s="7">
        <v>0</v>
      </c>
      <c r="N16" s="7">
        <v>0</v>
      </c>
      <c r="O16" s="7">
        <v>0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0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0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01" t="s">
        <v>102</v>
      </c>
      <c r="C29" s="201"/>
      <c r="D29" s="201"/>
      <c r="E29" s="201"/>
      <c r="F29" s="201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172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v>0</v>
      </c>
      <c r="D3" s="79" t="s">
        <v>104</v>
      </c>
      <c r="E3" s="80">
        <v>30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>IFERROR(G43/C3,0)</f>
        <v>0</v>
      </c>
    </row>
    <row r="44" spans="2:14" x14ac:dyDescent="0.25">
      <c r="B44" s="203" t="s">
        <v>146</v>
      </c>
      <c r="C44" s="204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05" t="s">
        <v>41</v>
      </c>
      <c r="C47" s="205" t="s">
        <v>42</v>
      </c>
      <c r="D47" s="206" t="s">
        <v>138</v>
      </c>
      <c r="E47" s="207"/>
      <c r="F47" s="208"/>
      <c r="G47" s="101" t="s">
        <v>139</v>
      </c>
      <c r="H47" s="101"/>
      <c r="I47" s="101"/>
      <c r="J47" s="205" t="s">
        <v>140</v>
      </c>
      <c r="K47" s="102" t="s">
        <v>148</v>
      </c>
      <c r="L47" s="102"/>
      <c r="M47" s="102"/>
      <c r="N47" s="202" t="s">
        <v>149</v>
      </c>
    </row>
    <row r="48" spans="2:14" ht="15.75" x14ac:dyDescent="0.25">
      <c r="B48" s="205"/>
      <c r="C48" s="205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05"/>
      <c r="K48" s="104" t="s">
        <v>143</v>
      </c>
      <c r="L48" s="104" t="s">
        <v>111</v>
      </c>
      <c r="M48" s="104" t="s">
        <v>146</v>
      </c>
      <c r="N48" s="202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172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v>0</v>
      </c>
      <c r="D3" s="79" t="s">
        <v>104</v>
      </c>
      <c r="E3" s="80">
        <v>30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>IFERROR(G43/C3,0)</f>
        <v>0</v>
      </c>
    </row>
    <row r="44" spans="2:14" x14ac:dyDescent="0.25">
      <c r="B44" s="203" t="s">
        <v>146</v>
      </c>
      <c r="C44" s="204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05" t="s">
        <v>41</v>
      </c>
      <c r="C47" s="205" t="s">
        <v>42</v>
      </c>
      <c r="D47" s="206" t="s">
        <v>138</v>
      </c>
      <c r="E47" s="207"/>
      <c r="F47" s="208"/>
      <c r="G47" s="101" t="s">
        <v>139</v>
      </c>
      <c r="H47" s="101"/>
      <c r="I47" s="101"/>
      <c r="J47" s="205" t="s">
        <v>140</v>
      </c>
      <c r="K47" s="102" t="s">
        <v>148</v>
      </c>
      <c r="L47" s="102"/>
      <c r="M47" s="102"/>
      <c r="N47" s="202" t="s">
        <v>149</v>
      </c>
    </row>
    <row r="48" spans="2:14" ht="15.75" x14ac:dyDescent="0.25">
      <c r="B48" s="205"/>
      <c r="C48" s="205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05"/>
      <c r="K48" s="104" t="s">
        <v>143</v>
      </c>
      <c r="L48" s="104" t="s">
        <v>111</v>
      </c>
      <c r="M48" s="104" t="s">
        <v>146</v>
      </c>
      <c r="N48" s="202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v>0</v>
      </c>
      <c r="D3" s="23" t="s">
        <v>104</v>
      </c>
      <c r="E3" s="9"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171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170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170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13" t="s">
        <v>146</v>
      </c>
      <c r="C44" s="214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15" t="s">
        <v>41</v>
      </c>
      <c r="C47" s="215" t="s">
        <v>42</v>
      </c>
      <c r="D47" s="210" t="s">
        <v>138</v>
      </c>
      <c r="E47" s="211"/>
      <c r="F47" s="212"/>
      <c r="G47" s="70" t="s">
        <v>139</v>
      </c>
      <c r="H47" s="70"/>
      <c r="I47" s="70"/>
      <c r="J47" s="215" t="s">
        <v>140</v>
      </c>
      <c r="K47" s="35" t="s">
        <v>148</v>
      </c>
      <c r="L47" s="35"/>
      <c r="M47" s="35"/>
      <c r="N47" s="209" t="s">
        <v>149</v>
      </c>
    </row>
    <row r="48" spans="2:17" ht="15.75" x14ac:dyDescent="0.25">
      <c r="B48" s="215"/>
      <c r="C48" s="215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15"/>
      <c r="K48" s="34" t="s">
        <v>143</v>
      </c>
      <c r="L48" s="34" t="s">
        <v>111</v>
      </c>
      <c r="M48" s="34" t="s">
        <v>146</v>
      </c>
      <c r="N48" s="209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R94"/>
  <sheetViews>
    <sheetView showGridLines="0" tabSelected="1" topLeftCell="A62" zoomScaleNormal="100" workbookViewId="0">
      <selection activeCell="B67" sqref="B67:D84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NETWORKDAYS.INTL(TODAY(),EOMONTH(TODAY(),0),11)</f>
        <v>3</v>
      </c>
      <c r="D3" s="79" t="s">
        <v>104</v>
      </c>
      <c r="E3" s="80"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G8"/>
      <c r="J8" s="116"/>
      <c r="M8" s="11">
        <f>C24</f>
        <v>270907512.30340701</v>
      </c>
      <c r="N8" s="11">
        <f>D24</f>
        <v>40589006.213964999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458942487.08149302</v>
      </c>
      <c r="N9" s="11">
        <f>D12+D13</f>
        <v>105394829.648726</v>
      </c>
    </row>
    <row r="10" spans="2:14" x14ac:dyDescent="0.25">
      <c r="B10" s="74" t="s">
        <v>113</v>
      </c>
      <c r="C10" s="15">
        <v>274823941.20819598</v>
      </c>
      <c r="D10" s="15">
        <v>23725280.784492001</v>
      </c>
      <c r="E10" s="15">
        <v>56364538.979979999</v>
      </c>
      <c r="F10" s="15">
        <v>332353291.03807497</v>
      </c>
      <c r="G10"/>
      <c r="J10" s="116"/>
      <c r="M10" s="11">
        <f>C14</f>
        <v>486268153.912296</v>
      </c>
      <c r="N10" s="11">
        <f>D14</f>
        <v>20953488.849736001</v>
      </c>
    </row>
    <row r="11" spans="2:14" x14ac:dyDescent="0.25">
      <c r="B11" s="74" t="s">
        <v>114</v>
      </c>
      <c r="C11" s="15">
        <v>287597310.91703099</v>
      </c>
      <c r="D11" s="15">
        <v>97263159.896546006</v>
      </c>
      <c r="E11" s="15">
        <v>34053355</v>
      </c>
      <c r="F11" s="15">
        <v>381161495.55859798</v>
      </c>
      <c r="G11"/>
      <c r="J11" s="116"/>
      <c r="M11" s="11">
        <f>C17</f>
        <v>292382877.82999301</v>
      </c>
      <c r="N11" s="11">
        <f>D17</f>
        <v>38549567.509999998</v>
      </c>
    </row>
    <row r="12" spans="2:14" x14ac:dyDescent="0.25">
      <c r="B12" s="74" t="s">
        <v>70</v>
      </c>
      <c r="C12" s="15">
        <v>231715164.48392701</v>
      </c>
      <c r="D12" s="15">
        <v>73395613.988894999</v>
      </c>
      <c r="E12" s="15">
        <v>71143242</v>
      </c>
      <c r="F12" s="15">
        <v>369002289.78782201</v>
      </c>
      <c r="G12"/>
      <c r="J12" s="116"/>
      <c r="M12" s="11">
        <f>C16</f>
        <v>409371656.25402802</v>
      </c>
      <c r="N12" s="11">
        <f>D16</f>
        <v>50736809.865864001</v>
      </c>
    </row>
    <row r="13" spans="2:14" x14ac:dyDescent="0.25">
      <c r="B13" s="74" t="s">
        <v>115</v>
      </c>
      <c r="C13" s="15">
        <v>227227322.59756601</v>
      </c>
      <c r="D13" s="15">
        <v>31999215.659830999</v>
      </c>
      <c r="E13" s="15">
        <v>9559098.9600000009</v>
      </c>
      <c r="F13" s="15">
        <v>263672748.10739699</v>
      </c>
      <c r="G13"/>
      <c r="J13" s="116"/>
      <c r="M13" s="11">
        <f>C19</f>
        <v>879165470.53308499</v>
      </c>
      <c r="N13" s="11">
        <f>D19</f>
        <v>53446535.799857996</v>
      </c>
    </row>
    <row r="14" spans="2:14" x14ac:dyDescent="0.25">
      <c r="B14" s="74" t="s">
        <v>116</v>
      </c>
      <c r="C14" s="15">
        <v>486268153.912296</v>
      </c>
      <c r="D14" s="15">
        <v>20953488.849736001</v>
      </c>
      <c r="E14" s="15">
        <v>61073566.889985003</v>
      </c>
      <c r="F14" s="15">
        <v>541535276.31951904</v>
      </c>
      <c r="G14"/>
      <c r="J14" s="116"/>
      <c r="M14" s="11">
        <f>C25</f>
        <v>347510889.51785499</v>
      </c>
      <c r="N14" s="11">
        <f>D25</f>
        <v>58038788.109973997</v>
      </c>
    </row>
    <row r="15" spans="2:14" x14ac:dyDescent="0.25">
      <c r="B15" s="84" t="s">
        <v>117</v>
      </c>
      <c r="C15" s="150"/>
      <c r="D15" s="150" t="s">
        <v>170</v>
      </c>
      <c r="E15" s="150"/>
      <c r="F15" s="150"/>
      <c r="G15"/>
      <c r="J15" s="116"/>
      <c r="M15" s="11">
        <f>C11</f>
        <v>287597310.91703099</v>
      </c>
      <c r="N15" s="11">
        <f>D11</f>
        <v>97263159.896546006</v>
      </c>
    </row>
    <row r="16" spans="2:14" x14ac:dyDescent="0.25">
      <c r="B16" s="74" t="s">
        <v>74</v>
      </c>
      <c r="C16" s="15">
        <v>409371656.25402802</v>
      </c>
      <c r="D16" s="15">
        <v>50736809.865864001</v>
      </c>
      <c r="E16" s="15" t="s">
        <v>170</v>
      </c>
      <c r="F16" s="15">
        <v>450753622.934201</v>
      </c>
      <c r="G16"/>
      <c r="J16" s="116"/>
      <c r="M16" s="11">
        <f>C26</f>
        <v>424736895.09258002</v>
      </c>
      <c r="N16" s="11">
        <f>D26</f>
        <v>42759954.493941002</v>
      </c>
    </row>
    <row r="17" spans="2:18" x14ac:dyDescent="0.25">
      <c r="B17" s="74" t="s">
        <v>118</v>
      </c>
      <c r="C17" s="15">
        <v>292382877.82999301</v>
      </c>
      <c r="D17" s="15">
        <v>38549567.509999998</v>
      </c>
      <c r="E17" s="15" t="s">
        <v>170</v>
      </c>
      <c r="F17" s="15">
        <v>328283796.69999301</v>
      </c>
      <c r="G17"/>
      <c r="J17" s="116"/>
      <c r="M17" s="11">
        <f>C10</f>
        <v>274823941.20819598</v>
      </c>
      <c r="N17" s="11">
        <f>D10</f>
        <v>23725280.784492001</v>
      </c>
    </row>
    <row r="18" spans="2:18" x14ac:dyDescent="0.25">
      <c r="B18" s="74" t="s">
        <v>119</v>
      </c>
      <c r="C18" s="15">
        <v>1249137395.119791</v>
      </c>
      <c r="D18" s="15">
        <v>8989432.7548970003</v>
      </c>
      <c r="E18" s="15">
        <v>1835135.12</v>
      </c>
      <c r="F18" s="15">
        <v>1257880342.8046911</v>
      </c>
      <c r="G18"/>
      <c r="J18" s="116"/>
      <c r="M18" s="11">
        <f>C27</f>
        <v>620725908.03147495</v>
      </c>
      <c r="N18" s="11">
        <f>D27</f>
        <v>183075645.13976899</v>
      </c>
    </row>
    <row r="19" spans="2:18" x14ac:dyDescent="0.25">
      <c r="B19" s="74" t="s">
        <v>121</v>
      </c>
      <c r="C19" s="15">
        <v>879165470.53308499</v>
      </c>
      <c r="D19" s="15">
        <v>53446535.799857996</v>
      </c>
      <c r="E19" s="15">
        <v>90842339.400000006</v>
      </c>
      <c r="F19" s="15">
        <v>988051717.25167799</v>
      </c>
      <c r="G19"/>
      <c r="J19" s="116"/>
      <c r="M19" s="11">
        <f>C20+C21</f>
        <v>153408407.40240198</v>
      </c>
      <c r="N19" s="11">
        <f>D20+D21</f>
        <v>145578146.22700301</v>
      </c>
    </row>
    <row r="20" spans="2:18" x14ac:dyDescent="0.25">
      <c r="B20" s="74" t="s">
        <v>123</v>
      </c>
      <c r="C20" s="15">
        <v>97888417.982401997</v>
      </c>
      <c r="D20" s="15">
        <v>16467727.799813</v>
      </c>
      <c r="E20" s="15" t="s">
        <v>170</v>
      </c>
      <c r="F20" s="15">
        <v>109624380.192215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55519989.420000002</v>
      </c>
      <c r="D21" s="15">
        <v>129110418.42719001</v>
      </c>
      <c r="E21" s="15" t="s">
        <v>170</v>
      </c>
      <c r="F21" s="15">
        <v>148870564.26343799</v>
      </c>
      <c r="G21"/>
      <c r="J21" s="116"/>
      <c r="M21" s="14">
        <f>IFERROR(C34,0)+IFERROR(C35,0)+M20</f>
        <v>767572450.50459599</v>
      </c>
      <c r="N21" s="10" t="s">
        <v>122</v>
      </c>
    </row>
    <row r="22" spans="2:18" x14ac:dyDescent="0.25">
      <c r="B22" s="74" t="s">
        <v>174</v>
      </c>
      <c r="C22" s="15">
        <v>32665978</v>
      </c>
      <c r="D22" s="15" t="s">
        <v>170</v>
      </c>
      <c r="E22" s="15">
        <v>12315315.119999999</v>
      </c>
      <c r="F22" s="15">
        <v>55148621.039999999</v>
      </c>
      <c r="G22"/>
      <c r="J22" s="116"/>
      <c r="Q22" s="14"/>
      <c r="R22" s="10"/>
    </row>
    <row r="23" spans="2:18" x14ac:dyDescent="0.25">
      <c r="B23" s="74" t="s">
        <v>175</v>
      </c>
      <c r="C23" s="15">
        <v>97260882.519999996</v>
      </c>
      <c r="D23" s="15" t="s">
        <v>170</v>
      </c>
      <c r="E23" s="15">
        <v>17121621.32</v>
      </c>
      <c r="F23" s="15">
        <v>112960693.34</v>
      </c>
      <c r="G23"/>
      <c r="J23" s="116"/>
      <c r="Q23" s="14"/>
      <c r="R23" s="10"/>
    </row>
    <row r="24" spans="2:18" x14ac:dyDescent="0.25">
      <c r="B24" s="74" t="s">
        <v>125</v>
      </c>
      <c r="C24" s="15">
        <v>270907512.30340701</v>
      </c>
      <c r="D24" s="15">
        <v>40589006.213964999</v>
      </c>
      <c r="E24" s="15">
        <v>17064107.859992001</v>
      </c>
      <c r="F24" s="15">
        <v>315874956.068088</v>
      </c>
      <c r="G24"/>
      <c r="J24" s="116"/>
    </row>
    <row r="25" spans="2:18" x14ac:dyDescent="0.25">
      <c r="B25" s="74" t="s">
        <v>126</v>
      </c>
      <c r="C25" s="15">
        <v>347510889.51785499</v>
      </c>
      <c r="D25" s="15">
        <v>58038788.109973997</v>
      </c>
      <c r="E25" s="15">
        <v>21835729.439994998</v>
      </c>
      <c r="F25" s="15">
        <v>408930126.380826</v>
      </c>
      <c r="G25"/>
      <c r="J25" s="116"/>
    </row>
    <row r="26" spans="2:18" x14ac:dyDescent="0.25">
      <c r="B26" s="74" t="s">
        <v>127</v>
      </c>
      <c r="C26" s="15">
        <v>424736895.09258002</v>
      </c>
      <c r="D26" s="15">
        <v>42759954.493941002</v>
      </c>
      <c r="E26" s="15">
        <v>88375679.199880004</v>
      </c>
      <c r="F26" s="15">
        <v>503164224.526609</v>
      </c>
      <c r="G26"/>
      <c r="J26" s="116"/>
    </row>
    <row r="27" spans="2:18" x14ac:dyDescent="0.25">
      <c r="B27" s="74" t="s">
        <v>128</v>
      </c>
      <c r="C27" s="15">
        <v>620725908.03147495</v>
      </c>
      <c r="D27" s="15">
        <v>183075645.13976899</v>
      </c>
      <c r="E27" s="15" t="s">
        <v>170</v>
      </c>
      <c r="F27" s="15">
        <v>730414151.40822005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177330791.25874501</v>
      </c>
    </row>
    <row r="33" spans="2:14" x14ac:dyDescent="0.25">
      <c r="B33" s="84" t="s">
        <v>133</v>
      </c>
      <c r="C33" s="15">
        <v>448679644.76670098</v>
      </c>
    </row>
    <row r="34" spans="2:14" x14ac:dyDescent="0.25">
      <c r="B34" s="84" t="s">
        <v>134</v>
      </c>
      <c r="C34" s="15">
        <v>287246364.51619601</v>
      </c>
    </row>
    <row r="35" spans="2:14" x14ac:dyDescent="0.25">
      <c r="B35" s="84" t="s">
        <v>135</v>
      </c>
      <c r="C35" s="15">
        <v>169035280.78842399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16" t="s">
        <v>184</v>
      </c>
      <c r="C41" s="217"/>
      <c r="D41" s="218"/>
      <c r="E41" s="67" t="s">
        <v>138</v>
      </c>
      <c r="F41" s="73">
        <f ca="1">DAY(TODAY())/DAY(EOMONTH(TODAY(),0))</f>
        <v>0.93333333333333335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5035768370.6038408</v>
      </c>
      <c r="F43" s="44">
        <f>IFERROR(E43/D43,0)</f>
        <v>0.76077290551087495</v>
      </c>
      <c r="G43" s="118">
        <f>D43-E43</f>
        <v>1583510962.4610205</v>
      </c>
      <c r="H43" s="118">
        <f ca="1">IFERROR(G43/C3,0)</f>
        <v>527836987.48700684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860111212.53987396</v>
      </c>
      <c r="F44" s="44">
        <f>IFERROR(E44/D44,0)</f>
        <v>0.67737761834528476</v>
      </c>
      <c r="G44" s="118">
        <f>D44-E44</f>
        <v>409654999.46012604</v>
      </c>
      <c r="H44" s="118">
        <f ca="1">IFERROR(G44/C3,0)</f>
        <v>136551666.48670867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1393582886.5300419</v>
      </c>
      <c r="F45" s="44">
        <f>IFERROR(E45/D45,0)</f>
        <v>0.77789068488018931</v>
      </c>
      <c r="G45" s="118">
        <f>D45-E45</f>
        <v>397906475.17208648</v>
      </c>
      <c r="H45" s="118">
        <f ca="1">IFERROR(G45/C3,0)</f>
        <v>132635491.72402883</v>
      </c>
    </row>
    <row r="46" spans="2:14" ht="20.100000000000001" customHeight="1" x14ac:dyDescent="0.25">
      <c r="B46" s="213" t="s">
        <v>146</v>
      </c>
      <c r="C46" s="214"/>
      <c r="D46" s="47">
        <f>D43+D44+D45</f>
        <v>9680534906.7669907</v>
      </c>
      <c r="E46" s="47">
        <f>E43+E44+E45</f>
        <v>7289462469.6737566</v>
      </c>
      <c r="F46" s="43">
        <f>IFERROR(E46/D46,0)</f>
        <v>0.75300203344943251</v>
      </c>
      <c r="G46" s="119">
        <f>G43+G44+G45</f>
        <v>2391072437.0932331</v>
      </c>
      <c r="H46" s="119">
        <f ca="1">IFERROR(G46/C3,0)</f>
        <v>797024145.69774437</v>
      </c>
    </row>
    <row r="48" spans="2:14" s="158" customFormat="1" ht="20.100000000000001" customHeight="1" x14ac:dyDescent="0.25">
      <c r="B48" s="220" t="s">
        <v>147</v>
      </c>
      <c r="C48" s="221"/>
      <c r="D48" s="221"/>
      <c r="E48" s="221"/>
      <c r="F48" s="221"/>
      <c r="G48" s="221"/>
      <c r="H48" s="221"/>
      <c r="I48" s="221"/>
      <c r="J48" s="222"/>
      <c r="K48" s="227"/>
      <c r="L48" s="228"/>
      <c r="M48" s="228"/>
      <c r="N48" s="229"/>
    </row>
    <row r="49" spans="2:14" s="158" customFormat="1" ht="20.100000000000001" customHeight="1" x14ac:dyDescent="0.25">
      <c r="B49" s="226" t="s">
        <v>41</v>
      </c>
      <c r="C49" s="226" t="s">
        <v>42</v>
      </c>
      <c r="D49" s="223" t="s">
        <v>138</v>
      </c>
      <c r="E49" s="224"/>
      <c r="F49" s="225"/>
      <c r="G49" s="159" t="s">
        <v>139</v>
      </c>
      <c r="H49" s="159"/>
      <c r="I49" s="159"/>
      <c r="J49" s="226" t="s">
        <v>140</v>
      </c>
      <c r="K49" s="160" t="s">
        <v>148</v>
      </c>
      <c r="L49" s="160"/>
      <c r="M49" s="160"/>
      <c r="N49" s="219" t="s">
        <v>149</v>
      </c>
    </row>
    <row r="50" spans="2:14" s="158" customFormat="1" ht="20.100000000000001" customHeight="1" x14ac:dyDescent="0.25">
      <c r="B50" s="226"/>
      <c r="C50" s="226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26"/>
      <c r="K50" s="163" t="s">
        <v>143</v>
      </c>
      <c r="L50" s="163" t="s">
        <v>111</v>
      </c>
      <c r="M50" s="163" t="s">
        <v>146</v>
      </c>
      <c r="N50" s="219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270907512.30340701</v>
      </c>
      <c r="H51" s="176">
        <f>N8</f>
        <v>40589006.213964999</v>
      </c>
      <c r="I51" s="176">
        <f t="shared" ref="I51:I64" si="1">G51+H51</f>
        <v>311496518.51737201</v>
      </c>
      <c r="J51" s="177">
        <f t="shared" ref="J51:J64" si="2">IFERROR(I51/F51,0)</f>
        <v>0.69799670999813801</v>
      </c>
      <c r="K51" s="164">
        <f t="shared" ref="K51:K64" si="3">D51-G51</f>
        <v>125775966.02280968</v>
      </c>
      <c r="L51" s="164">
        <f t="shared" ref="L51:L64" si="4">E51-H51</f>
        <v>8999702.7860350013</v>
      </c>
      <c r="M51" s="164">
        <f t="shared" ref="M51:M64" si="5">F51-I51</f>
        <v>134775668.80884469</v>
      </c>
      <c r="N51" s="164">
        <f ca="1">IFERROR(M51/C3,0)</f>
        <v>44925222.936281562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458942487.08149302</v>
      </c>
      <c r="H52" s="176">
        <f>N9</f>
        <v>105394829.648726</v>
      </c>
      <c r="I52" s="176">
        <f t="shared" si="1"/>
        <v>564337316.73021901</v>
      </c>
      <c r="J52" s="177">
        <f t="shared" si="2"/>
        <v>0.79703317393317041</v>
      </c>
      <c r="K52" s="165">
        <f t="shared" si="3"/>
        <v>76239883.91850698</v>
      </c>
      <c r="L52" s="165">
        <f t="shared" si="4"/>
        <v>67470262.351273999</v>
      </c>
      <c r="M52" s="165">
        <f t="shared" si="5"/>
        <v>143710146.26978099</v>
      </c>
      <c r="N52" s="165">
        <f ca="1">IFERROR(M52/C3,0)</f>
        <v>47903382.089926995</v>
      </c>
    </row>
    <row r="53" spans="2:14" s="158" customFormat="1" ht="20.100000000000001" customHeight="1" x14ac:dyDescent="0.25">
      <c r="B53" s="187" t="s">
        <v>177</v>
      </c>
      <c r="C53" s="188" t="s">
        <v>178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32665978</v>
      </c>
      <c r="H53" s="176">
        <f>IF(D22="",0,D22)</f>
        <v>0</v>
      </c>
      <c r="I53" s="176">
        <f>G53+H53</f>
        <v>32665978</v>
      </c>
      <c r="J53" s="177">
        <f>IFERROR(I53/F53,0)</f>
        <v>0.13527782296796514</v>
      </c>
      <c r="K53" s="165">
        <f>D53-G53</f>
        <v>208807290</v>
      </c>
      <c r="L53" s="165">
        <f>E53-H53</f>
        <v>0</v>
      </c>
      <c r="M53" s="165">
        <f>F53-I53</f>
        <v>208807290</v>
      </c>
      <c r="N53" s="165">
        <f ca="1">IFERROR(M53/C3,0)</f>
        <v>69602430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486268153.912296</v>
      </c>
      <c r="H54" s="176">
        <f t="shared" ref="H54:H58" si="6">N10</f>
        <v>20953488.849736001</v>
      </c>
      <c r="I54" s="176">
        <f t="shared" si="1"/>
        <v>507221642.76203197</v>
      </c>
      <c r="J54" s="177">
        <f t="shared" si="2"/>
        <v>0.81953677641796774</v>
      </c>
      <c r="K54" s="165">
        <f>D54-G54</f>
        <v>104444318.01060122</v>
      </c>
      <c r="L54" s="165">
        <f t="shared" si="4"/>
        <v>7246646.1502639987</v>
      </c>
      <c r="M54" s="165">
        <f t="shared" si="5"/>
        <v>111690964.16086525</v>
      </c>
      <c r="N54" s="165">
        <f ca="1">IFERROR(M54/C3,0)</f>
        <v>37230321.386955082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292382877.82999301</v>
      </c>
      <c r="H55" s="176">
        <f t="shared" si="6"/>
        <v>38549567.509999998</v>
      </c>
      <c r="I55" s="176">
        <f t="shared" si="1"/>
        <v>330932445.339993</v>
      </c>
      <c r="J55" s="177">
        <f t="shared" si="2"/>
        <v>0.70622763436626967</v>
      </c>
      <c r="K55" s="165">
        <f t="shared" si="3"/>
        <v>102680406.36153114</v>
      </c>
      <c r="L55" s="165">
        <f t="shared" si="4"/>
        <v>34978901.490000002</v>
      </c>
      <c r="M55" s="165">
        <f t="shared" si="5"/>
        <v>137659307.85153115</v>
      </c>
      <c r="N55" s="165">
        <f ca="1">IFERROR(M55/C3,0)</f>
        <v>45886435.950510383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409371656.25402802</v>
      </c>
      <c r="H56" s="176">
        <f t="shared" si="6"/>
        <v>50736809.865864001</v>
      </c>
      <c r="I56" s="176">
        <f t="shared" si="1"/>
        <v>460108466.119892</v>
      </c>
      <c r="J56" s="177">
        <f t="shared" si="2"/>
        <v>0.85870388529496533</v>
      </c>
      <c r="K56" s="165">
        <f t="shared" si="3"/>
        <v>54547175.868625581</v>
      </c>
      <c r="L56" s="165">
        <f t="shared" si="4"/>
        <v>21161738.134135999</v>
      </c>
      <c r="M56" s="165">
        <f t="shared" si="5"/>
        <v>75708914.002761602</v>
      </c>
      <c r="N56" s="165">
        <f ca="1">IFERROR(M56/C3,0)</f>
        <v>25236304.667587202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879165470.53308499</v>
      </c>
      <c r="H57" s="176">
        <f t="shared" si="6"/>
        <v>53446535.799857996</v>
      </c>
      <c r="I57" s="176">
        <f t="shared" si="1"/>
        <v>932612006.33294296</v>
      </c>
      <c r="J57" s="177">
        <f t="shared" si="2"/>
        <v>0.9188248289549692</v>
      </c>
      <c r="K57" s="165">
        <f t="shared" si="3"/>
        <v>62592874.91163373</v>
      </c>
      <c r="L57" s="165">
        <f t="shared" si="4"/>
        <v>19800348.200142004</v>
      </c>
      <c r="M57" s="165">
        <f t="shared" si="5"/>
        <v>82393223.111775756</v>
      </c>
      <c r="N57" s="165">
        <f ca="1">IFERROR(M57/C3,0)</f>
        <v>27464407.703925252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347510889.51785499</v>
      </c>
      <c r="H58" s="176">
        <f t="shared" si="6"/>
        <v>58038788.109973997</v>
      </c>
      <c r="I58" s="176">
        <f>G58+H58</f>
        <v>405549677.62782896</v>
      </c>
      <c r="J58" s="177">
        <f>IFERROR(I58/F58,0)</f>
        <v>0.76463007714766129</v>
      </c>
      <c r="K58" s="165">
        <f t="shared" si="3"/>
        <v>137776169.48214501</v>
      </c>
      <c r="L58" s="165">
        <f t="shared" si="4"/>
        <v>-12939076.109973997</v>
      </c>
      <c r="M58" s="165">
        <f t="shared" si="5"/>
        <v>124837093.37217104</v>
      </c>
      <c r="N58" s="165">
        <f ca="1">IFERROR(M58/C3,0)</f>
        <v>41612364.457390346</v>
      </c>
    </row>
    <row r="59" spans="2:14" s="158" customFormat="1" ht="20.100000000000001" customHeight="1" x14ac:dyDescent="0.25">
      <c r="B59" s="187" t="s">
        <v>177</v>
      </c>
      <c r="C59" s="188" t="s">
        <v>179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97260882.519999996</v>
      </c>
      <c r="H59" s="176">
        <f>IF(D23="",0,D23)</f>
        <v>0</v>
      </c>
      <c r="I59" s="176">
        <f>G59+H59</f>
        <v>97260882.519999996</v>
      </c>
      <c r="J59" s="177">
        <f>IFERROR(I59/F59,0)</f>
        <v>0.24066513429576605</v>
      </c>
      <c r="K59" s="165">
        <f>D59-G59</f>
        <v>306872781.48000002</v>
      </c>
      <c r="L59" s="165">
        <f>E59-H59</f>
        <v>0</v>
      </c>
      <c r="M59" s="165">
        <f>F59-I59</f>
        <v>306872781.48000002</v>
      </c>
      <c r="N59" s="165">
        <f ca="1">IFERROR(M59/C3,0)</f>
        <v>102290927.16000001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287597310.91703099</v>
      </c>
      <c r="H60" s="176">
        <f t="shared" ref="H60:H64" si="7">N15</f>
        <v>97263159.896546006</v>
      </c>
      <c r="I60" s="176">
        <f t="shared" si="1"/>
        <v>384860470.813577</v>
      </c>
      <c r="J60" s="177">
        <f t="shared" si="2"/>
        <v>0.76391517510718565</v>
      </c>
      <c r="K60" s="165">
        <f t="shared" si="3"/>
        <v>96419998.406526744</v>
      </c>
      <c r="L60" s="165">
        <f t="shared" si="4"/>
        <v>22519538.103453994</v>
      </c>
      <c r="M60" s="165">
        <f t="shared" si="5"/>
        <v>118939536.50998074</v>
      </c>
      <c r="N60" s="165">
        <f ca="1">IFERROR(M60/C3,0)</f>
        <v>39646512.169993579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424736895.09258002</v>
      </c>
      <c r="H61" s="176">
        <f t="shared" si="7"/>
        <v>42759954.493941002</v>
      </c>
      <c r="I61" s="176">
        <f t="shared" si="1"/>
        <v>467496849.58652103</v>
      </c>
      <c r="J61" s="177">
        <f t="shared" si="2"/>
        <v>0.71736132959532173</v>
      </c>
      <c r="K61" s="165">
        <f t="shared" si="3"/>
        <v>186892700.62360758</v>
      </c>
      <c r="L61" s="165">
        <f t="shared" si="4"/>
        <v>-2700045.4939410016</v>
      </c>
      <c r="M61" s="165">
        <f t="shared" si="5"/>
        <v>184192655.12966657</v>
      </c>
      <c r="N61" s="165">
        <f ca="1">IFERROR(M61/C3,0)</f>
        <v>61397551.709888853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274823941.20819598</v>
      </c>
      <c r="H62" s="176">
        <f t="shared" si="7"/>
        <v>23725280.784492001</v>
      </c>
      <c r="I62" s="176">
        <f t="shared" si="1"/>
        <v>298549221.992688</v>
      </c>
      <c r="J62" s="177">
        <f t="shared" si="2"/>
        <v>0.7252933363346652</v>
      </c>
      <c r="K62" s="165">
        <f t="shared" si="3"/>
        <v>91719081.697180212</v>
      </c>
      <c r="L62" s="165">
        <f t="shared" si="4"/>
        <v>21357182.215507999</v>
      </c>
      <c r="M62" s="165">
        <f t="shared" si="5"/>
        <v>113076263.9126882</v>
      </c>
      <c r="N62" s="165">
        <f ca="1">IFERROR(M62/C3,0)</f>
        <v>37692087.970896065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620725908.03147495</v>
      </c>
      <c r="H63" s="176">
        <f t="shared" si="7"/>
        <v>183075645.13976899</v>
      </c>
      <c r="I63" s="176">
        <f t="shared" si="1"/>
        <v>803801553.17124391</v>
      </c>
      <c r="J63" s="177">
        <f t="shared" si="2"/>
        <v>0.91918059939974361</v>
      </c>
      <c r="K63" s="165">
        <f t="shared" si="3"/>
        <v>-57374965.933195233</v>
      </c>
      <c r="L63" s="165">
        <f t="shared" si="4"/>
        <v>128049607.86023101</v>
      </c>
      <c r="M63" s="165">
        <f t="shared" si="5"/>
        <v>70674641.927035809</v>
      </c>
      <c r="N63" s="165">
        <f ca="1">IFERROR(M63/C3,0)</f>
        <v>23558213.975678604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153408407.40240198</v>
      </c>
      <c r="H64" s="176">
        <f t="shared" si="7"/>
        <v>145578146.22700301</v>
      </c>
      <c r="I64" s="176">
        <f t="shared" si="1"/>
        <v>298986553.62940502</v>
      </c>
      <c r="J64" s="177">
        <f t="shared" si="2"/>
        <v>0.62443148177057106</v>
      </c>
      <c r="K64" s="165">
        <f t="shared" si="3"/>
        <v>86117281.611046791</v>
      </c>
      <c r="L64" s="165">
        <f t="shared" si="4"/>
        <v>93710193.772996992</v>
      </c>
      <c r="M64" s="165">
        <f t="shared" si="5"/>
        <v>179827475.38404375</v>
      </c>
      <c r="N64" s="165">
        <f ca="1">IFERROR(M64/C3,0)</f>
        <v>59942491.794681251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5035768370.6038408</v>
      </c>
      <c r="H65" s="181">
        <f>SUM(H51:H64)</f>
        <v>860111212.53987396</v>
      </c>
      <c r="I65" s="181">
        <f>SUM(I51:I64)</f>
        <v>5895879583.1437149</v>
      </c>
      <c r="J65" s="182">
        <f>IFERROR(I65/F65,0)</f>
        <v>0.74735017683248028</v>
      </c>
      <c r="K65" s="166">
        <f>SUM(K51:K64)</f>
        <v>1583510962.4610195</v>
      </c>
      <c r="L65" s="166">
        <f>SUM(L51:L64)</f>
        <v>409654999.46012604</v>
      </c>
      <c r="M65" s="166">
        <f>SUM(M51:M64)</f>
        <v>1993165961.9211457</v>
      </c>
      <c r="N65" s="166">
        <f ca="1">IFERROR(M65/C3,0)</f>
        <v>664388653.97371519</v>
      </c>
    </row>
    <row r="67" spans="2:14" ht="20.100000000000001" customHeight="1" x14ac:dyDescent="0.25">
      <c r="B67" s="135" t="s">
        <v>176</v>
      </c>
      <c r="C67" s="136"/>
      <c r="D67" s="137"/>
      <c r="G67"/>
      <c r="H67"/>
      <c r="I67"/>
    </row>
    <row r="68" spans="2:14" ht="20.100000000000001" customHeight="1" x14ac:dyDescent="0.25">
      <c r="B68" s="215" t="s">
        <v>41</v>
      </c>
      <c r="C68" s="215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15"/>
      <c r="C69" s="215"/>
      <c r="D69" s="71" t="s">
        <v>173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17064107.859992001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80702340.960000008</v>
      </c>
    </row>
    <row r="72" spans="2:14" s="158" customFormat="1" ht="20.100000000000001" customHeight="1" x14ac:dyDescent="0.25">
      <c r="B72" s="185" t="s">
        <v>177</v>
      </c>
      <c r="C72" s="186" t="s">
        <v>178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61073566.889985003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f>0</f>
        <v>0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90842339.400000006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21835729.439994998</v>
      </c>
    </row>
    <row r="78" spans="2:14" s="158" customFormat="1" ht="20.100000000000001" customHeight="1" x14ac:dyDescent="0.25">
      <c r="B78" s="185" t="s">
        <v>177</v>
      </c>
      <c r="C78" s="186" t="s">
        <v>179</v>
      </c>
      <c r="D78" s="192">
        <f>IF(E23="",0,E23)</f>
        <v>17121621.32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88375679.199880004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56364538.979979999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479748594.16983199</v>
      </c>
    </row>
    <row r="87" spans="2:9" s="158" customFormat="1" ht="20.100000000000001" customHeight="1" x14ac:dyDescent="0.25">
      <c r="B87" s="220" t="s">
        <v>145</v>
      </c>
      <c r="C87" s="221"/>
      <c r="D87" s="221"/>
      <c r="E87" s="221"/>
      <c r="F87" s="222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177330791.25874501</v>
      </c>
      <c r="F89" s="177">
        <f t="shared" ref="F89:F94" si="9">IFERROR(E89/D89,0)</f>
        <v>0.63470270337574619</v>
      </c>
      <c r="G89" s="171">
        <f>D89-E89</f>
        <v>102061104.05789518</v>
      </c>
      <c r="H89" s="171">
        <f ca="1">IFERROR(G89/C3,0)</f>
        <v>34020368.019298397</v>
      </c>
      <c r="I89" s="168"/>
    </row>
    <row r="90" spans="2:9" s="158" customFormat="1" ht="20.100000000000001" customHeight="1" x14ac:dyDescent="0.25">
      <c r="B90" s="185" t="s">
        <v>94</v>
      </c>
      <c r="C90" s="186" t="s">
        <v>95</v>
      </c>
      <c r="D90" s="195">
        <f>TARGETS!G23</f>
        <v>419611959.16831887</v>
      </c>
      <c r="E90" s="176">
        <f>IFERROR(C33,0)</f>
        <v>448679644.76670098</v>
      </c>
      <c r="F90" s="177">
        <f t="shared" si="9"/>
        <v>1.0692727768197907</v>
      </c>
      <c r="G90" s="172">
        <f>D90-E90</f>
        <v>-29067685.598382115</v>
      </c>
      <c r="H90" s="172">
        <f ca="1">IFERROR(G90/C3,0)</f>
        <v>-9689228.5327940378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767572450.50459599</v>
      </c>
      <c r="F91" s="177">
        <f t="shared" si="9"/>
        <v>0.70259279911162653</v>
      </c>
      <c r="G91" s="171">
        <f>D91-E91</f>
        <v>324913056.71257329</v>
      </c>
      <c r="H91" s="171">
        <f ca="1">IFERROR(G91/C3,0)</f>
        <v>108304352.23752443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1393582886.5300419</v>
      </c>
      <c r="F94" s="174">
        <f t="shared" si="9"/>
        <v>0.77789068488018931</v>
      </c>
      <c r="G94" s="173">
        <f>SUM(G89:G93)</f>
        <v>397906475.17208636</v>
      </c>
      <c r="H94" s="173">
        <f ca="1">IFERROR(G94/C3,0)</f>
        <v>132635491.72402878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N94"/>
  <sheetViews>
    <sheetView showGridLines="0" zoomScaleNormal="100" workbookViewId="0">
      <selection activeCell="B6" sqref="B6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85546875" bestFit="1" customWidth="1"/>
    <col min="4" max="4" width="37.140625" bestFit="1" customWidth="1"/>
    <col min="5" max="5" width="13.42578125" bestFit="1" customWidth="1"/>
    <col min="6" max="6" width="10.85546875" bestFit="1" customWidth="1"/>
    <col min="7" max="7" width="7.85546875" bestFit="1" customWidth="1"/>
    <col min="8" max="8" width="9.85546875" bestFit="1" customWidth="1"/>
    <col min="9" max="9" width="6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85546875" bestFit="1" customWidth="1"/>
    <col min="14" max="14" width="12.28515625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NETWORKDAYS.INTL(TODAY(),EOMONTH(TODAY(),1),11)</f>
        <v>29</v>
      </c>
      <c r="D3" s="79" t="s">
        <v>104</v>
      </c>
      <c r="E3" s="80">
        <f ca="1">DAY(EOMONTH(TODAY(),1))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6" t="s">
        <v>159</v>
      </c>
      <c r="C41" s="217"/>
      <c r="D41" s="218"/>
      <c r="E41" s="67" t="s">
        <v>138</v>
      </c>
      <c r="F41" s="73">
        <f ca="1">IF(MONTH(TODAY())=5,DAY(TODAY())/DAY(EOMONTH(TODAY(),0)),IF(MONTH(TODAY())&gt;5,1,0))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SUM(TARGETS!L5:L7,TARGETS!L8:L13,TARGETS!L14:L18)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SUM(TARGETS!M5:M6,TARGETS!M8:M12,TARGETS!M14:M18)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SUM(TARGETS!H22:H26)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3" t="s">
        <v>146</v>
      </c>
      <c r="C46" s="214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x14ac:dyDescent="0.25">
      <c r="G47" s="116"/>
      <c r="H47" s="116"/>
      <c r="I47" s="116"/>
    </row>
    <row r="48" spans="2:14" ht="18.75" x14ac:dyDescent="0.25">
      <c r="B48" s="220" t="s">
        <v>147</v>
      </c>
      <c r="C48" s="221"/>
      <c r="D48" s="221"/>
      <c r="E48" s="221"/>
      <c r="F48" s="221"/>
      <c r="G48" s="221"/>
      <c r="H48" s="221"/>
      <c r="I48" s="221"/>
      <c r="J48" s="222"/>
      <c r="K48" s="233"/>
      <c r="L48" s="234"/>
      <c r="M48" s="234"/>
      <c r="N48" s="235"/>
    </row>
    <row r="49" spans="2:14" ht="15.75" x14ac:dyDescent="0.25">
      <c r="B49" s="215" t="s">
        <v>41</v>
      </c>
      <c r="C49" s="215" t="s">
        <v>42</v>
      </c>
      <c r="D49" s="210" t="s">
        <v>138</v>
      </c>
      <c r="E49" s="211"/>
      <c r="F49" s="212"/>
      <c r="G49" s="120" t="s">
        <v>139</v>
      </c>
      <c r="H49" s="120"/>
      <c r="I49" s="120"/>
      <c r="J49" s="215" t="s">
        <v>140</v>
      </c>
      <c r="K49" s="132" t="s">
        <v>148</v>
      </c>
      <c r="L49" s="132"/>
      <c r="M49" s="132"/>
      <c r="N49" s="236" t="s">
        <v>149</v>
      </c>
    </row>
    <row r="50" spans="2:14" ht="47.25" x14ac:dyDescent="0.25">
      <c r="B50" s="215"/>
      <c r="C50" s="21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5"/>
      <c r="K50" s="133" t="s">
        <v>143</v>
      </c>
      <c r="L50" s="133" t="s">
        <v>111</v>
      </c>
      <c r="M50" s="133" t="s">
        <v>146</v>
      </c>
      <c r="N50" s="236"/>
    </row>
    <row r="51" spans="2:14" x14ac:dyDescent="0.25">
      <c r="B51" s="50" t="s">
        <v>67</v>
      </c>
      <c r="C51" s="55" t="s">
        <v>68</v>
      </c>
      <c r="D51" s="127">
        <f>TARGETS!L5</f>
        <v>0</v>
      </c>
      <c r="E51" s="127">
        <f>TARGETS!M5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TARGETS!L6</f>
        <v>0</v>
      </c>
      <c r="E52" s="128">
        <f>TARGETS!M6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TARGETS!L7</f>
        <v>0</v>
      </c>
      <c r="E53" s="157">
        <f>TARGETS!M7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TARGETS!L8</f>
        <v>0</v>
      </c>
      <c r="E54" s="128">
        <f>TARGETS!M8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TARGETS!L9</f>
        <v>0</v>
      </c>
      <c r="E55" s="127">
        <f>TARGETS!M9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TARGETS!L10</f>
        <v>0</v>
      </c>
      <c r="E56" s="128">
        <f>TARGETS!M10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TARGETS!L11</f>
        <v>0</v>
      </c>
      <c r="E57" s="127">
        <f>TARGETS!M11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TARGETS!L12</f>
        <v>0</v>
      </c>
      <c r="E58" s="128">
        <f>TARGETS!M12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TARGETS!L13</f>
        <v>0</v>
      </c>
      <c r="E59" s="157">
        <f>TARGETS!M13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TARGETS!L14</f>
        <v>0</v>
      </c>
      <c r="E60" s="128">
        <f>TARGETS!M14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TARGETS!L15</f>
        <v>0</v>
      </c>
      <c r="E61" s="127">
        <f>TARGETS!M15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TARGETS!L16</f>
        <v>0</v>
      </c>
      <c r="E62" s="128">
        <f>TARGETS!M16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TARGETS!L17</f>
        <v>0</v>
      </c>
      <c r="E63" s="127">
        <f>TARGETS!M17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TARGETS!L18</f>
        <v>0</v>
      </c>
      <c r="E64" s="128">
        <f>TARGETS!M18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5" t="s">
        <v>41</v>
      </c>
      <c r="C68" s="215" t="s">
        <v>42</v>
      </c>
      <c r="D68" s="134" t="s">
        <v>139</v>
      </c>
    </row>
    <row r="69" spans="2:14" ht="15.75" x14ac:dyDescent="0.25">
      <c r="B69" s="215"/>
      <c r="C69" s="215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0" t="s">
        <v>145</v>
      </c>
      <c r="C87" s="231"/>
      <c r="D87" s="231"/>
      <c r="E87" s="231"/>
      <c r="F87" s="232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TARGETS!H22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TARGETS!H23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TARGETS!H24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NETWORKDAYS.INTL(TODAY(),EOMONTH(TODAY(),2),11)</f>
        <v>55</v>
      </c>
      <c r="D3" s="79" t="s">
        <v>104</v>
      </c>
      <c r="E3" s="80">
        <f ca="1">DAY(EOMONTH(TODAY(),2))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6" t="s">
        <v>161</v>
      </c>
      <c r="C41" s="217"/>
      <c r="D41" s="218"/>
      <c r="E41" s="67" t="s">
        <v>138</v>
      </c>
      <c r="F41" s="73">
        <f ca="1">IF(MONTH(TODAY())=6,DAY(TODAY())/DAY(EOMONTH(TODAY(),0)),IF(MONTH(TODAY())&gt;6,1,0))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SUM(TARGETS!N5:N7,TARGETS!N8:N13,TARGETS!N14:N18)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SUM(TARGETS!O5:O6,TARGETS!O8:O12,TARGETS!O14:O18)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SUM(TARGETS!I22:I26)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3" t="s">
        <v>146</v>
      </c>
      <c r="C46" s="214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0" t="s">
        <v>147</v>
      </c>
      <c r="C48" s="221"/>
      <c r="D48" s="221"/>
      <c r="E48" s="221"/>
      <c r="F48" s="221"/>
      <c r="G48" s="221"/>
      <c r="H48" s="221"/>
      <c r="I48" s="221"/>
      <c r="J48" s="222"/>
      <c r="K48" s="233"/>
      <c r="L48" s="234"/>
      <c r="M48" s="234"/>
      <c r="N48" s="235"/>
    </row>
    <row r="49" spans="2:14" ht="15.75" x14ac:dyDescent="0.25">
      <c r="B49" s="215" t="s">
        <v>41</v>
      </c>
      <c r="C49" s="215" t="s">
        <v>42</v>
      </c>
      <c r="D49" s="210" t="s">
        <v>138</v>
      </c>
      <c r="E49" s="211"/>
      <c r="F49" s="212"/>
      <c r="G49" s="120" t="s">
        <v>139</v>
      </c>
      <c r="H49" s="120"/>
      <c r="I49" s="120"/>
      <c r="J49" s="215" t="s">
        <v>140</v>
      </c>
      <c r="K49" s="132" t="s">
        <v>148</v>
      </c>
      <c r="L49" s="132"/>
      <c r="M49" s="132"/>
      <c r="N49" s="236" t="s">
        <v>149</v>
      </c>
    </row>
    <row r="50" spans="2:14" ht="47.25" x14ac:dyDescent="0.25">
      <c r="B50" s="215"/>
      <c r="C50" s="21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5"/>
      <c r="K50" s="133" t="s">
        <v>143</v>
      </c>
      <c r="L50" s="133" t="s">
        <v>111</v>
      </c>
      <c r="M50" s="133" t="s">
        <v>146</v>
      </c>
      <c r="N50" s="236"/>
    </row>
    <row r="51" spans="2:14" x14ac:dyDescent="0.25">
      <c r="B51" s="50" t="s">
        <v>67</v>
      </c>
      <c r="C51" s="55" t="s">
        <v>68</v>
      </c>
      <c r="D51" s="127">
        <f>TARGETS!N5</f>
        <v>0</v>
      </c>
      <c r="E51" s="127">
        <f>TARGETS!O5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TARGETS!N6</f>
        <v>0</v>
      </c>
      <c r="E52" s="128">
        <f>TARGETS!O6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TARGETS!N7</f>
        <v>0</v>
      </c>
      <c r="E53" s="157">
        <f>TARGETS!O7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TARGETS!N8</f>
        <v>0</v>
      </c>
      <c r="E54" s="128">
        <f>TARGETS!O8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TARGETS!N9</f>
        <v>0</v>
      </c>
      <c r="E55" s="127">
        <f>TARGETS!O9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TARGETS!N10</f>
        <v>0</v>
      </c>
      <c r="E56" s="128">
        <f>TARGETS!O10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TARGETS!N11</f>
        <v>0</v>
      </c>
      <c r="E57" s="127">
        <f>TARGETS!O11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TARGETS!N12</f>
        <v>0</v>
      </c>
      <c r="E58" s="128">
        <f>TARGETS!O12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TARGETS!N13</f>
        <v>0</v>
      </c>
      <c r="E59" s="157">
        <f>TARGETS!O13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TARGETS!N14</f>
        <v>0</v>
      </c>
      <c r="E60" s="128">
        <f>TARGETS!O14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TARGETS!N15</f>
        <v>0</v>
      </c>
      <c r="E61" s="127">
        <f>TARGETS!O15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TARGETS!N16</f>
        <v>0</v>
      </c>
      <c r="E62" s="128">
        <f>TARGETS!O16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TARGETS!N17</f>
        <v>0</v>
      </c>
      <c r="E63" s="127">
        <f>TARGETS!O17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TARGETS!N18</f>
        <v>0</v>
      </c>
      <c r="E64" s="128">
        <f>TARGETS!O18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5" t="s">
        <v>41</v>
      </c>
      <c r="C68" s="215" t="s">
        <v>42</v>
      </c>
      <c r="D68" s="134" t="s">
        <v>139</v>
      </c>
    </row>
    <row r="69" spans="2:14" ht="15.75" x14ac:dyDescent="0.25">
      <c r="B69" s="215"/>
      <c r="C69" s="215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0" t="s">
        <v>145</v>
      </c>
      <c r="C87" s="231"/>
      <c r="D87" s="231"/>
      <c r="E87" s="231"/>
      <c r="F87" s="232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TARGETS!I22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TARGETS!I23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TARGETS!I24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162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NETWORKDAYS.INTL(TODAY(),EOMONTH(TODAY(),3),11)</f>
        <v>82</v>
      </c>
      <c r="D3" s="79" t="s">
        <v>104</v>
      </c>
      <c r="E3" s="80">
        <f ca="1">DAY(EOMONTH(TODAY(),3))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6" t="s">
        <v>180</v>
      </c>
      <c r="C41" s="217"/>
      <c r="D41" s="218"/>
      <c r="E41" s="67" t="s">
        <v>138</v>
      </c>
      <c r="F41" s="73">
        <f ca="1">IF(MONTH(TODAY())=7,DAY(TODAY())/DAY(EOMONTH(TODAY(),0)),IF(MONTH(TODAY())&gt;7,1,0))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SUM(TARGETS!P5:P7,TARGETS!P8:P13,TARGETS!P14:P18)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SUM(TARGETS!Q5:Q6,TARGETS!Q8:Q12,TARGETS!Q14:Q18)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SUM(TARGETS!J22:J26)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3" t="s">
        <v>146</v>
      </c>
      <c r="C46" s="214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0" t="s">
        <v>147</v>
      </c>
      <c r="C48" s="221"/>
      <c r="D48" s="221"/>
      <c r="E48" s="221"/>
      <c r="F48" s="221"/>
      <c r="G48" s="221"/>
      <c r="H48" s="221"/>
      <c r="I48" s="221"/>
      <c r="J48" s="222"/>
      <c r="K48" s="233"/>
      <c r="L48" s="234"/>
      <c r="M48" s="234"/>
      <c r="N48" s="235"/>
    </row>
    <row r="49" spans="2:14" ht="15.75" x14ac:dyDescent="0.25">
      <c r="B49" s="215" t="s">
        <v>41</v>
      </c>
      <c r="C49" s="215" t="s">
        <v>42</v>
      </c>
      <c r="D49" s="210" t="s">
        <v>138</v>
      </c>
      <c r="E49" s="211"/>
      <c r="F49" s="212"/>
      <c r="G49" s="120" t="s">
        <v>139</v>
      </c>
      <c r="H49" s="120"/>
      <c r="I49" s="120"/>
      <c r="J49" s="215" t="s">
        <v>140</v>
      </c>
      <c r="K49" s="132" t="s">
        <v>148</v>
      </c>
      <c r="L49" s="132"/>
      <c r="M49" s="132"/>
      <c r="N49" s="236" t="s">
        <v>149</v>
      </c>
    </row>
    <row r="50" spans="2:14" ht="47.25" x14ac:dyDescent="0.25">
      <c r="B50" s="215"/>
      <c r="C50" s="21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5"/>
      <c r="K50" s="133" t="s">
        <v>143</v>
      </c>
      <c r="L50" s="133" t="s">
        <v>111</v>
      </c>
      <c r="M50" s="133" t="s">
        <v>146</v>
      </c>
      <c r="N50" s="236"/>
    </row>
    <row r="51" spans="2:14" x14ac:dyDescent="0.25">
      <c r="B51" s="50" t="s">
        <v>67</v>
      </c>
      <c r="C51" s="55" t="s">
        <v>68</v>
      </c>
      <c r="D51" s="127">
        <f>TARGETS!P5</f>
        <v>0</v>
      </c>
      <c r="E51" s="127">
        <f>TARGETS!Q5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TARGETS!P6</f>
        <v>0</v>
      </c>
      <c r="E52" s="128">
        <f>TARGETS!Q6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TARGETS!P7</f>
        <v>0</v>
      </c>
      <c r="E53" s="157">
        <f>TARGETS!Q7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TARGETS!P8</f>
        <v>0</v>
      </c>
      <c r="E54" s="128">
        <f>TARGETS!Q8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TARGETS!P9</f>
        <v>0</v>
      </c>
      <c r="E55" s="127">
        <f>TARGETS!Q9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TARGETS!P10</f>
        <v>0</v>
      </c>
      <c r="E56" s="128">
        <f>TARGETS!Q10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TARGETS!P11</f>
        <v>0</v>
      </c>
      <c r="E57" s="127">
        <f>TARGETS!Q11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TARGETS!P12</f>
        <v>0</v>
      </c>
      <c r="E58" s="128">
        <f>TARGETS!Q12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TARGETS!P13</f>
        <v>0</v>
      </c>
      <c r="E59" s="157">
        <f>TARGETS!Q13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TARGETS!P14</f>
        <v>0</v>
      </c>
      <c r="E60" s="128">
        <f>TARGETS!Q14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TARGETS!P15</f>
        <v>0</v>
      </c>
      <c r="E61" s="127">
        <f>TARGETS!Q15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TARGETS!P16</f>
        <v>0</v>
      </c>
      <c r="E62" s="128">
        <f>TARGETS!Q16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TARGETS!P17</f>
        <v>0</v>
      </c>
      <c r="E63" s="127">
        <f>TARGETS!Q17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TARGETS!P18</f>
        <v>0</v>
      </c>
      <c r="E64" s="128">
        <f>TARGETS!Q18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5" t="s">
        <v>41</v>
      </c>
      <c r="C68" s="215" t="s">
        <v>42</v>
      </c>
      <c r="D68" s="134" t="s">
        <v>139</v>
      </c>
    </row>
    <row r="69" spans="2:14" ht="15.75" x14ac:dyDescent="0.25">
      <c r="B69" s="215"/>
      <c r="C69" s="215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0" t="s">
        <v>145</v>
      </c>
      <c r="C87" s="231"/>
      <c r="D87" s="231"/>
      <c r="E87" s="231"/>
      <c r="F87" s="232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TARGETS!J22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TARGETS!J23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TARGETS!J24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NETWORKDAYS.INTL(TODAY(),EOMONTH(TODAY(),4),11)</f>
        <v>108</v>
      </c>
      <c r="D3" s="79" t="s">
        <v>104</v>
      </c>
      <c r="E3" s="80">
        <f ca="1">DAY(EOMONTH(TODAY(),4))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6" t="s">
        <v>164</v>
      </c>
      <c r="C41" s="217"/>
      <c r="D41" s="218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3" t="s">
        <v>146</v>
      </c>
      <c r="C46" s="214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0" t="s">
        <v>147</v>
      </c>
      <c r="C48" s="221"/>
      <c r="D48" s="221"/>
      <c r="E48" s="221"/>
      <c r="F48" s="221"/>
      <c r="G48" s="221"/>
      <c r="H48" s="221"/>
      <c r="I48" s="221"/>
      <c r="J48" s="222"/>
      <c r="K48" s="233"/>
      <c r="L48" s="234"/>
      <c r="M48" s="234"/>
      <c r="N48" s="235"/>
    </row>
    <row r="49" spans="2:14" ht="15.75" x14ac:dyDescent="0.25">
      <c r="B49" s="215" t="s">
        <v>41</v>
      </c>
      <c r="C49" s="215" t="s">
        <v>42</v>
      </c>
      <c r="D49" s="210" t="s">
        <v>138</v>
      </c>
      <c r="E49" s="211"/>
      <c r="F49" s="212"/>
      <c r="G49" s="120" t="s">
        <v>139</v>
      </c>
      <c r="H49" s="120"/>
      <c r="I49" s="120"/>
      <c r="J49" s="215" t="s">
        <v>140</v>
      </c>
      <c r="K49" s="132" t="s">
        <v>148</v>
      </c>
      <c r="L49" s="132"/>
      <c r="M49" s="132"/>
      <c r="N49" s="236" t="s">
        <v>149</v>
      </c>
    </row>
    <row r="50" spans="2:14" ht="47.25" x14ac:dyDescent="0.25">
      <c r="B50" s="215"/>
      <c r="C50" s="21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5"/>
      <c r="K50" s="133" t="s">
        <v>143</v>
      </c>
      <c r="L50" s="133" t="s">
        <v>111</v>
      </c>
      <c r="M50" s="133" t="s">
        <v>146</v>
      </c>
      <c r="N50" s="236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5" t="s">
        <v>41</v>
      </c>
      <c r="C68" s="215" t="s">
        <v>42</v>
      </c>
      <c r="D68" s="134" t="s">
        <v>139</v>
      </c>
    </row>
    <row r="69" spans="2:14" ht="15.75" x14ac:dyDescent="0.25">
      <c r="B69" s="215"/>
      <c r="C69" s="215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0" t="s">
        <v>145</v>
      </c>
      <c r="C87" s="231"/>
      <c r="D87" s="231"/>
      <c r="E87" s="231"/>
      <c r="F87" s="232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NETWORKDAYS.INTL(TODAY(),EOMONTH(TODAY(),5),11)</f>
        <v>134</v>
      </c>
      <c r="D3" s="79" t="s">
        <v>104</v>
      </c>
      <c r="E3" s="80">
        <f ca="1">DAY(EOMONTH(TODAY(),5))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6" t="s">
        <v>166</v>
      </c>
      <c r="C41" s="217"/>
      <c r="D41" s="218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3" t="s">
        <v>146</v>
      </c>
      <c r="C46" s="214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0" t="s">
        <v>147</v>
      </c>
      <c r="C48" s="221"/>
      <c r="D48" s="221"/>
      <c r="E48" s="221"/>
      <c r="F48" s="221"/>
      <c r="G48" s="221"/>
      <c r="H48" s="221"/>
      <c r="I48" s="221"/>
      <c r="J48" s="222"/>
      <c r="K48" s="233"/>
      <c r="L48" s="234"/>
      <c r="M48" s="234"/>
      <c r="N48" s="235"/>
    </row>
    <row r="49" spans="2:14" ht="15.75" x14ac:dyDescent="0.25">
      <c r="B49" s="215" t="s">
        <v>41</v>
      </c>
      <c r="C49" s="215" t="s">
        <v>42</v>
      </c>
      <c r="D49" s="210" t="s">
        <v>138</v>
      </c>
      <c r="E49" s="211"/>
      <c r="F49" s="212"/>
      <c r="G49" s="120" t="s">
        <v>139</v>
      </c>
      <c r="H49" s="120"/>
      <c r="I49" s="120"/>
      <c r="J49" s="215" t="s">
        <v>140</v>
      </c>
      <c r="K49" s="132" t="s">
        <v>148</v>
      </c>
      <c r="L49" s="132"/>
      <c r="M49" s="132"/>
      <c r="N49" s="236" t="s">
        <v>149</v>
      </c>
    </row>
    <row r="50" spans="2:14" ht="47.25" x14ac:dyDescent="0.25">
      <c r="B50" s="215"/>
      <c r="C50" s="21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5"/>
      <c r="K50" s="133" t="s">
        <v>143</v>
      </c>
      <c r="L50" s="133" t="s">
        <v>111</v>
      </c>
      <c r="M50" s="133" t="s">
        <v>146</v>
      </c>
      <c r="N50" s="236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5" t="s">
        <v>41</v>
      </c>
      <c r="C68" s="215" t="s">
        <v>42</v>
      </c>
      <c r="D68" s="134" t="s">
        <v>139</v>
      </c>
    </row>
    <row r="69" spans="2:14" ht="15.75" x14ac:dyDescent="0.25">
      <c r="B69" s="215"/>
      <c r="C69" s="215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0" t="s">
        <v>145</v>
      </c>
      <c r="C87" s="231"/>
      <c r="D87" s="231"/>
      <c r="E87" s="231"/>
      <c r="F87" s="232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NETWORKDAYS.INTL(TODAY(),EOMONTH(TODAY(),6),11)</f>
        <v>161</v>
      </c>
      <c r="D3" s="79" t="s">
        <v>104</v>
      </c>
      <c r="E3" s="80">
        <f ca="1">DAY(EOMONTH(TODAY(),6))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6" t="s">
        <v>168</v>
      </c>
      <c r="C41" s="217"/>
      <c r="D41" s="218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3" t="s">
        <v>146</v>
      </c>
      <c r="C46" s="214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0" t="s">
        <v>147</v>
      </c>
      <c r="C48" s="221"/>
      <c r="D48" s="221"/>
      <c r="E48" s="221"/>
      <c r="F48" s="221"/>
      <c r="G48" s="221"/>
      <c r="H48" s="221"/>
      <c r="I48" s="221"/>
      <c r="J48" s="222"/>
      <c r="K48" s="233"/>
      <c r="L48" s="234"/>
      <c r="M48" s="234"/>
      <c r="N48" s="235"/>
    </row>
    <row r="49" spans="2:14" ht="15.75" x14ac:dyDescent="0.25">
      <c r="B49" s="215" t="s">
        <v>41</v>
      </c>
      <c r="C49" s="215" t="s">
        <v>42</v>
      </c>
      <c r="D49" s="210" t="s">
        <v>138</v>
      </c>
      <c r="E49" s="211"/>
      <c r="F49" s="212"/>
      <c r="G49" s="120" t="s">
        <v>139</v>
      </c>
      <c r="H49" s="120"/>
      <c r="I49" s="120"/>
      <c r="J49" s="215" t="s">
        <v>140</v>
      </c>
      <c r="K49" s="132" t="s">
        <v>148</v>
      </c>
      <c r="L49" s="132"/>
      <c r="M49" s="132"/>
      <c r="N49" s="236" t="s">
        <v>149</v>
      </c>
    </row>
    <row r="50" spans="2:14" ht="47.25" x14ac:dyDescent="0.25">
      <c r="B50" s="215"/>
      <c r="C50" s="21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5"/>
      <c r="K50" s="133" t="s">
        <v>143</v>
      </c>
      <c r="L50" s="133" t="s">
        <v>111</v>
      </c>
      <c r="M50" s="133" t="s">
        <v>146</v>
      </c>
      <c r="N50" s="236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5" t="s">
        <v>41</v>
      </c>
      <c r="C68" s="215" t="s">
        <v>42</v>
      </c>
      <c r="D68" s="134" t="s">
        <v>139</v>
      </c>
    </row>
    <row r="69" spans="2:14" ht="15.75" x14ac:dyDescent="0.25">
      <c r="B69" s="215"/>
      <c r="C69" s="215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0" t="s">
        <v>145</v>
      </c>
      <c r="C87" s="231"/>
      <c r="D87" s="231"/>
      <c r="E87" s="231"/>
      <c r="F87" s="232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NETWORKDAYS.INTL(TODAY(),EOMONTH(TODAY(),7),11)</f>
        <v>186</v>
      </c>
      <c r="D3" s="79" t="s">
        <v>104</v>
      </c>
      <c r="E3" s="80">
        <f ca="1">DAY(EOMONTH(TODAY(),7))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6" t="s">
        <v>181</v>
      </c>
      <c r="C41" s="217"/>
      <c r="D41" s="218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3" t="s">
        <v>146</v>
      </c>
      <c r="C46" s="214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0" t="s">
        <v>147</v>
      </c>
      <c r="C48" s="221"/>
      <c r="D48" s="221"/>
      <c r="E48" s="221"/>
      <c r="F48" s="221"/>
      <c r="G48" s="221"/>
      <c r="H48" s="221"/>
      <c r="I48" s="221"/>
      <c r="J48" s="222"/>
      <c r="K48" s="233"/>
      <c r="L48" s="234"/>
      <c r="M48" s="234"/>
      <c r="N48" s="235"/>
    </row>
    <row r="49" spans="2:14" ht="15.75" x14ac:dyDescent="0.25">
      <c r="B49" s="215" t="s">
        <v>41</v>
      </c>
      <c r="C49" s="215" t="s">
        <v>42</v>
      </c>
      <c r="D49" s="210" t="s">
        <v>138</v>
      </c>
      <c r="E49" s="211"/>
      <c r="F49" s="212"/>
      <c r="G49" s="120" t="s">
        <v>139</v>
      </c>
      <c r="H49" s="120"/>
      <c r="I49" s="120"/>
      <c r="J49" s="215" t="s">
        <v>140</v>
      </c>
      <c r="K49" s="132" t="s">
        <v>148</v>
      </c>
      <c r="L49" s="132"/>
      <c r="M49" s="132"/>
      <c r="N49" s="236" t="s">
        <v>149</v>
      </c>
    </row>
    <row r="50" spans="2:14" ht="47.25" x14ac:dyDescent="0.25">
      <c r="B50" s="215"/>
      <c r="C50" s="21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5"/>
      <c r="K50" s="133" t="s">
        <v>143</v>
      </c>
      <c r="L50" s="133" t="s">
        <v>111</v>
      </c>
      <c r="M50" s="133" t="s">
        <v>146</v>
      </c>
      <c r="N50" s="236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5" t="s">
        <v>41</v>
      </c>
      <c r="C68" s="215" t="s">
        <v>42</v>
      </c>
      <c r="D68" s="134" t="s">
        <v>139</v>
      </c>
    </row>
    <row r="69" spans="2:14" ht="15.75" x14ac:dyDescent="0.25">
      <c r="B69" s="215"/>
      <c r="C69" s="215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0" t="s">
        <v>145</v>
      </c>
      <c r="C87" s="231"/>
      <c r="D87" s="231"/>
      <c r="E87" s="231"/>
      <c r="F87" s="232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182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NETWORKDAYS.INTL(TODAY(),EOMONTH(TODAY(),8),11)</f>
        <v>213</v>
      </c>
      <c r="D3" s="79" t="s">
        <v>104</v>
      </c>
      <c r="E3" s="80">
        <f ca="1">DAY(EOMONTH(TODAY(),8))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6" t="s">
        <v>183</v>
      </c>
      <c r="C41" s="217"/>
      <c r="D41" s="218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3" t="s">
        <v>146</v>
      </c>
      <c r="C46" s="214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0" t="s">
        <v>147</v>
      </c>
      <c r="C48" s="221"/>
      <c r="D48" s="221"/>
      <c r="E48" s="221"/>
      <c r="F48" s="221"/>
      <c r="G48" s="221"/>
      <c r="H48" s="221"/>
      <c r="I48" s="221"/>
      <c r="J48" s="222"/>
      <c r="K48" s="233"/>
      <c r="L48" s="234"/>
      <c r="M48" s="234"/>
      <c r="N48" s="235"/>
    </row>
    <row r="49" spans="2:14" ht="15.75" x14ac:dyDescent="0.25">
      <c r="B49" s="215" t="s">
        <v>41</v>
      </c>
      <c r="C49" s="215" t="s">
        <v>42</v>
      </c>
      <c r="D49" s="210" t="s">
        <v>138</v>
      </c>
      <c r="E49" s="211"/>
      <c r="F49" s="212"/>
      <c r="G49" s="120" t="s">
        <v>139</v>
      </c>
      <c r="H49" s="120"/>
      <c r="I49" s="120"/>
      <c r="J49" s="215" t="s">
        <v>140</v>
      </c>
      <c r="K49" s="132" t="s">
        <v>148</v>
      </c>
      <c r="L49" s="132"/>
      <c r="M49" s="132"/>
      <c r="N49" s="236" t="s">
        <v>149</v>
      </c>
    </row>
    <row r="50" spans="2:14" ht="47.25" x14ac:dyDescent="0.25">
      <c r="B50" s="215"/>
      <c r="C50" s="21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5"/>
      <c r="K50" s="133" t="s">
        <v>143</v>
      </c>
      <c r="L50" s="133" t="s">
        <v>111</v>
      </c>
      <c r="M50" s="133" t="s">
        <v>146</v>
      </c>
      <c r="N50" s="236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5" t="s">
        <v>41</v>
      </c>
      <c r="C68" s="215" t="s">
        <v>42</v>
      </c>
      <c r="D68" s="134" t="s">
        <v>139</v>
      </c>
    </row>
    <row r="69" spans="2:14" ht="15.75" x14ac:dyDescent="0.25">
      <c r="B69" s="215"/>
      <c r="C69" s="215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0" t="s">
        <v>145</v>
      </c>
      <c r="C87" s="231"/>
      <c r="D87" s="231"/>
      <c r="E87" s="231"/>
      <c r="F87" s="232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Admin-Sales</cp:lastModifiedBy>
  <cp:revision>0</cp:revision>
  <dcterms:created xsi:type="dcterms:W3CDTF">2026-03-24T08:59:20Z</dcterms:created>
  <dcterms:modified xsi:type="dcterms:W3CDTF">2026-04-28T00:54:42Z</dcterms:modified>
  <dc:language>en-US</dc:language>
</cp:coreProperties>
</file>