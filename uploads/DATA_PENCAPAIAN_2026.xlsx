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randy/Desktop/"/>
    </mc:Choice>
  </mc:AlternateContent>
  <xr:revisionPtr revIDLastSave="0" documentId="13_ncr:1_{975DAE6F-4413-B543-ABDF-78E16CD52772}" xr6:coauthVersionLast="47" xr6:coauthVersionMax="47" xr10:uidLastSave="{00000000-0000-0000-0000-000000000000}"/>
  <bookViews>
    <workbookView xWindow="0" yWindow="600" windowWidth="28800" windowHeight="16260" tabRatio="500" activeTab="5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91" i="14" l="1"/>
  <c r="D90" i="14"/>
  <c r="D89" i="14"/>
  <c r="D88" i="14"/>
  <c r="D87" i="14"/>
  <c r="D92" i="14" s="1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D64" i="14"/>
  <c r="D63" i="14"/>
  <c r="D62" i="14"/>
  <c r="D61" i="14"/>
  <c r="F61" i="14" s="1"/>
  <c r="D60" i="14"/>
  <c r="F60" i="14" s="1"/>
  <c r="D59" i="14"/>
  <c r="D58" i="14"/>
  <c r="D57" i="14"/>
  <c r="D56" i="14"/>
  <c r="D55" i="14"/>
  <c r="K55" i="14" s="1"/>
  <c r="D54" i="14"/>
  <c r="D53" i="14"/>
  <c r="F53" i="14" s="1"/>
  <c r="D52" i="14"/>
  <c r="F52" i="14" s="1"/>
  <c r="D51" i="14"/>
  <c r="D45" i="14"/>
  <c r="D44" i="14"/>
  <c r="D43" i="14"/>
  <c r="F91" i="14"/>
  <c r="E91" i="14"/>
  <c r="G91" i="14" s="1"/>
  <c r="G90" i="14"/>
  <c r="F90" i="14"/>
  <c r="E90" i="14"/>
  <c r="E88" i="14"/>
  <c r="E87" i="14"/>
  <c r="E92" i="14" s="1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G64" i="14"/>
  <c r="F62" i="14"/>
  <c r="K60" i="14"/>
  <c r="H59" i="14"/>
  <c r="L59" i="14" s="1"/>
  <c r="G59" i="14"/>
  <c r="K59" i="14" s="1"/>
  <c r="F59" i="14"/>
  <c r="F58" i="14"/>
  <c r="F57" i="14"/>
  <c r="F54" i="14"/>
  <c r="K53" i="14"/>
  <c r="H53" i="14"/>
  <c r="L53" i="14" s="1"/>
  <c r="G53" i="14"/>
  <c r="F51" i="14"/>
  <c r="E45" i="14"/>
  <c r="G45" i="14" s="1"/>
  <c r="F41" i="14"/>
  <c r="M20" i="14"/>
  <c r="M21" i="14" s="1"/>
  <c r="E89" i="14" s="1"/>
  <c r="G89" i="14" s="1"/>
  <c r="N19" i="14"/>
  <c r="H64" i="14" s="1"/>
  <c r="L64" i="14" s="1"/>
  <c r="M19" i="14"/>
  <c r="N18" i="14"/>
  <c r="H63" i="14" s="1"/>
  <c r="M18" i="14"/>
  <c r="G63" i="14" s="1"/>
  <c r="N17" i="14"/>
  <c r="H62" i="14" s="1"/>
  <c r="M17" i="14"/>
  <c r="G62" i="14" s="1"/>
  <c r="I62" i="14" s="1"/>
  <c r="J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M14" i="14"/>
  <c r="G58" i="14" s="1"/>
  <c r="N13" i="14"/>
  <c r="H57" i="14" s="1"/>
  <c r="M13" i="14"/>
  <c r="G57" i="14" s="1"/>
  <c r="N12" i="14"/>
  <c r="H56" i="14" s="1"/>
  <c r="L56" i="14" s="1"/>
  <c r="M12" i="14"/>
  <c r="G56" i="14" s="1"/>
  <c r="N11" i="14"/>
  <c r="H55" i="14" s="1"/>
  <c r="M11" i="14"/>
  <c r="G55" i="14" s="1"/>
  <c r="N10" i="14"/>
  <c r="H54" i="14" s="1"/>
  <c r="M10" i="14"/>
  <c r="G54" i="14" s="1"/>
  <c r="K54" i="14" s="1"/>
  <c r="N9" i="14"/>
  <c r="M9" i="14"/>
  <c r="G52" i="14" s="1"/>
  <c r="K52" i="14" s="1"/>
  <c r="N8" i="14"/>
  <c r="H51" i="14" s="1"/>
  <c r="M8" i="14"/>
  <c r="G51" i="14" s="1"/>
  <c r="N7" i="14"/>
  <c r="M7" i="14"/>
  <c r="C3" i="14"/>
  <c r="D91" i="13"/>
  <c r="G91" i="13" s="1"/>
  <c r="D90" i="13"/>
  <c r="D89" i="13"/>
  <c r="D88" i="13"/>
  <c r="D87" i="13"/>
  <c r="E64" i="13"/>
  <c r="E63" i="13"/>
  <c r="E62" i="13"/>
  <c r="E61" i="13"/>
  <c r="E60" i="13"/>
  <c r="E59" i="13"/>
  <c r="L59" i="13" s="1"/>
  <c r="E58" i="13"/>
  <c r="E57" i="13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D45" i="13"/>
  <c r="D44" i="13"/>
  <c r="D43" i="13"/>
  <c r="E91" i="13"/>
  <c r="E90" i="13"/>
  <c r="F90" i="13" s="1"/>
  <c r="E88" i="13"/>
  <c r="G87" i="13"/>
  <c r="E87" i="13"/>
  <c r="F87" i="13" s="1"/>
  <c r="D81" i="13"/>
  <c r="D80" i="13"/>
  <c r="D79" i="13"/>
  <c r="D78" i="13"/>
  <c r="D77" i="13"/>
  <c r="D76" i="13"/>
  <c r="D75" i="13"/>
  <c r="D74" i="13"/>
  <c r="D73" i="13"/>
  <c r="D72" i="13"/>
  <c r="D71" i="13"/>
  <c r="D70" i="13"/>
  <c r="F64" i="13"/>
  <c r="H62" i="13"/>
  <c r="L62" i="13" s="1"/>
  <c r="F62" i="13"/>
  <c r="F60" i="13"/>
  <c r="H59" i="13"/>
  <c r="G59" i="13"/>
  <c r="I59" i="13" s="1"/>
  <c r="H58" i="13"/>
  <c r="L58" i="13" s="1"/>
  <c r="H57" i="13"/>
  <c r="F56" i="13"/>
  <c r="L55" i="13"/>
  <c r="F54" i="13"/>
  <c r="H53" i="13"/>
  <c r="I53" i="13" s="1"/>
  <c r="G53" i="13"/>
  <c r="K53" i="13" s="1"/>
  <c r="H52" i="13"/>
  <c r="F41" i="13"/>
  <c r="M20" i="13"/>
  <c r="M21" i="13" s="1"/>
  <c r="E45" i="13" s="1"/>
  <c r="F45" i="13" s="1"/>
  <c r="N19" i="13"/>
  <c r="H64" i="13" s="1"/>
  <c r="L64" i="13" s="1"/>
  <c r="M19" i="13"/>
  <c r="G64" i="13" s="1"/>
  <c r="K64" i="13" s="1"/>
  <c r="N18" i="13"/>
  <c r="H63" i="13" s="1"/>
  <c r="L63" i="13" s="1"/>
  <c r="M18" i="13"/>
  <c r="G63" i="13" s="1"/>
  <c r="N17" i="13"/>
  <c r="M17" i="13"/>
  <c r="G62" i="13" s="1"/>
  <c r="I62" i="13" s="1"/>
  <c r="J62" i="13" s="1"/>
  <c r="N16" i="13"/>
  <c r="H61" i="13" s="1"/>
  <c r="M16" i="13"/>
  <c r="G61" i="13" s="1"/>
  <c r="K61" i="13" s="1"/>
  <c r="N15" i="13"/>
  <c r="H60" i="13" s="1"/>
  <c r="M15" i="13"/>
  <c r="G60" i="13" s="1"/>
  <c r="N14" i="13"/>
  <c r="M14" i="13"/>
  <c r="G58" i="13" s="1"/>
  <c r="N13" i="13"/>
  <c r="M13" i="13"/>
  <c r="G57" i="13" s="1"/>
  <c r="I57" i="13" s="1"/>
  <c r="N12" i="13"/>
  <c r="H56" i="13" s="1"/>
  <c r="L56" i="13" s="1"/>
  <c r="M12" i="13"/>
  <c r="G56" i="13" s="1"/>
  <c r="K56" i="13" s="1"/>
  <c r="N11" i="13"/>
  <c r="H55" i="13" s="1"/>
  <c r="M11" i="13"/>
  <c r="G55" i="13" s="1"/>
  <c r="N10" i="13"/>
  <c r="H54" i="13" s="1"/>
  <c r="L54" i="13" s="1"/>
  <c r="M10" i="13"/>
  <c r="G54" i="13" s="1"/>
  <c r="N9" i="13"/>
  <c r="M9" i="13"/>
  <c r="G52" i="13" s="1"/>
  <c r="N8" i="13"/>
  <c r="E44" i="13" s="1"/>
  <c r="F44" i="13" s="1"/>
  <c r="M8" i="13"/>
  <c r="G51" i="13" s="1"/>
  <c r="N7" i="13"/>
  <c r="M7" i="13"/>
  <c r="C3" i="13"/>
  <c r="D91" i="12"/>
  <c r="D90" i="12"/>
  <c r="D89" i="12"/>
  <c r="D88" i="12"/>
  <c r="D87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L53" i="12" s="1"/>
  <c r="E52" i="12"/>
  <c r="E51" i="12"/>
  <c r="D64" i="12"/>
  <c r="D63" i="12"/>
  <c r="D62" i="12"/>
  <c r="D61" i="12"/>
  <c r="D60" i="12"/>
  <c r="D59" i="12"/>
  <c r="D58" i="12"/>
  <c r="D57" i="12"/>
  <c r="F57" i="12" s="1"/>
  <c r="D56" i="12"/>
  <c r="D55" i="12"/>
  <c r="D54" i="12"/>
  <c r="D53" i="12"/>
  <c r="D52" i="12"/>
  <c r="D51" i="12"/>
  <c r="D45" i="12"/>
  <c r="D44" i="12"/>
  <c r="D43" i="12"/>
  <c r="E91" i="12"/>
  <c r="E90" i="12"/>
  <c r="G90" i="12" s="1"/>
  <c r="E88" i="12"/>
  <c r="F88" i="12" s="1"/>
  <c r="G87" i="12"/>
  <c r="F87" i="12"/>
  <c r="E87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L64" i="12"/>
  <c r="F64" i="12"/>
  <c r="F63" i="12"/>
  <c r="G62" i="12"/>
  <c r="F62" i="12"/>
  <c r="G60" i="12"/>
  <c r="H59" i="12"/>
  <c r="I59" i="12" s="1"/>
  <c r="G59" i="12"/>
  <c r="F58" i="12"/>
  <c r="F56" i="12"/>
  <c r="F55" i="12"/>
  <c r="G54" i="12"/>
  <c r="H53" i="12"/>
  <c r="G53" i="12"/>
  <c r="I53" i="12" s="1"/>
  <c r="F53" i="12"/>
  <c r="D46" i="12"/>
  <c r="F41" i="12"/>
  <c r="M20" i="12"/>
  <c r="M21" i="12" s="1"/>
  <c r="N19" i="12"/>
  <c r="H64" i="12" s="1"/>
  <c r="M19" i="12"/>
  <c r="G64" i="12" s="1"/>
  <c r="N18" i="12"/>
  <c r="H63" i="12" s="1"/>
  <c r="L63" i="12" s="1"/>
  <c r="M18" i="12"/>
  <c r="G63" i="12" s="1"/>
  <c r="N17" i="12"/>
  <c r="H62" i="12" s="1"/>
  <c r="M17" i="12"/>
  <c r="N16" i="12"/>
  <c r="H61" i="12" s="1"/>
  <c r="M16" i="12"/>
  <c r="G61" i="12" s="1"/>
  <c r="N15" i="12"/>
  <c r="H60" i="12" s="1"/>
  <c r="L60" i="12" s="1"/>
  <c r="M15" i="12"/>
  <c r="N14" i="12"/>
  <c r="H58" i="12" s="1"/>
  <c r="L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N11" i="12"/>
  <c r="H55" i="12" s="1"/>
  <c r="L55" i="12" s="1"/>
  <c r="M11" i="12"/>
  <c r="G55" i="12" s="1"/>
  <c r="N10" i="12"/>
  <c r="H54" i="12" s="1"/>
  <c r="M10" i="12"/>
  <c r="N9" i="12"/>
  <c r="H52" i="12" s="1"/>
  <c r="M9" i="12"/>
  <c r="G52" i="12" s="1"/>
  <c r="N8" i="12"/>
  <c r="H51" i="12" s="1"/>
  <c r="M8" i="12"/>
  <c r="N7" i="12"/>
  <c r="M7" i="12"/>
  <c r="C3" i="12"/>
  <c r="D91" i="11"/>
  <c r="D90" i="11"/>
  <c r="D89" i="11"/>
  <c r="D88" i="11"/>
  <c r="D87" i="11"/>
  <c r="E64" i="11"/>
  <c r="E63" i="11"/>
  <c r="E62" i="11"/>
  <c r="E61" i="11"/>
  <c r="E60" i="11"/>
  <c r="E59" i="11"/>
  <c r="F59" i="11" s="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F60" i="11" s="1"/>
  <c r="D59" i="11"/>
  <c r="D58" i="11"/>
  <c r="D57" i="11"/>
  <c r="D56" i="11"/>
  <c r="D55" i="11"/>
  <c r="D54" i="11"/>
  <c r="D53" i="11"/>
  <c r="D52" i="11"/>
  <c r="D51" i="11"/>
  <c r="D45" i="11"/>
  <c r="D44" i="11"/>
  <c r="D43" i="11"/>
  <c r="E91" i="11"/>
  <c r="F91" i="11" s="1"/>
  <c r="G90" i="11"/>
  <c r="F90" i="11"/>
  <c r="E90" i="11"/>
  <c r="E88" i="11"/>
  <c r="F88" i="11" s="1"/>
  <c r="E87" i="11"/>
  <c r="F87" i="11" s="1"/>
  <c r="D81" i="11"/>
  <c r="D80" i="11"/>
  <c r="D79" i="11"/>
  <c r="D78" i="11"/>
  <c r="D77" i="11"/>
  <c r="D76" i="11"/>
  <c r="D75" i="11"/>
  <c r="D74" i="11"/>
  <c r="D73" i="11"/>
  <c r="D72" i="11"/>
  <c r="D71" i="11"/>
  <c r="D70" i="11"/>
  <c r="G64" i="11"/>
  <c r="I64" i="11" s="1"/>
  <c r="J64" i="11" s="1"/>
  <c r="F64" i="11"/>
  <c r="H63" i="11"/>
  <c r="F63" i="11"/>
  <c r="F62" i="11"/>
  <c r="H60" i="11"/>
  <c r="L60" i="11" s="1"/>
  <c r="K59" i="11"/>
  <c r="I59" i="11"/>
  <c r="J59" i="11" s="1"/>
  <c r="H59" i="11"/>
  <c r="L59" i="11" s="1"/>
  <c r="G59" i="11"/>
  <c r="F58" i="11"/>
  <c r="H57" i="11"/>
  <c r="L57" i="11" s="1"/>
  <c r="F57" i="11"/>
  <c r="F56" i="11"/>
  <c r="H55" i="11"/>
  <c r="F55" i="11"/>
  <c r="H54" i="11"/>
  <c r="F54" i="11"/>
  <c r="I53" i="11"/>
  <c r="H53" i="11"/>
  <c r="L53" i="11" s="1"/>
  <c r="G53" i="11"/>
  <c r="F51" i="11"/>
  <c r="D46" i="11"/>
  <c r="F41" i="11"/>
  <c r="M20" i="11"/>
  <c r="M21" i="11" s="1"/>
  <c r="E45" i="11" s="1"/>
  <c r="N19" i="11"/>
  <c r="H64" i="11" s="1"/>
  <c r="L64" i="11" s="1"/>
  <c r="M19" i="11"/>
  <c r="N18" i="11"/>
  <c r="M18" i="11"/>
  <c r="G63" i="11" s="1"/>
  <c r="N17" i="11"/>
  <c r="H62" i="11" s="1"/>
  <c r="M17" i="11"/>
  <c r="G62" i="11" s="1"/>
  <c r="N16" i="11"/>
  <c r="H61" i="11" s="1"/>
  <c r="M16" i="11"/>
  <c r="G61" i="11" s="1"/>
  <c r="N15" i="11"/>
  <c r="M15" i="11"/>
  <c r="G60" i="11" s="1"/>
  <c r="N14" i="11"/>
  <c r="H58" i="11" s="1"/>
  <c r="M14" i="11"/>
  <c r="G58" i="11" s="1"/>
  <c r="K58" i="11" s="1"/>
  <c r="N13" i="11"/>
  <c r="M13" i="11"/>
  <c r="G57" i="11" s="1"/>
  <c r="N12" i="11"/>
  <c r="H56" i="11" s="1"/>
  <c r="L56" i="11" s="1"/>
  <c r="M12" i="11"/>
  <c r="G56" i="11" s="1"/>
  <c r="N11" i="11"/>
  <c r="M11" i="11"/>
  <c r="G55" i="11" s="1"/>
  <c r="N10" i="11"/>
  <c r="M10" i="11"/>
  <c r="G54" i="11" s="1"/>
  <c r="N9" i="11"/>
  <c r="H52" i="11" s="1"/>
  <c r="L52" i="11" s="1"/>
  <c r="M9" i="11"/>
  <c r="G52" i="11" s="1"/>
  <c r="N8" i="11"/>
  <c r="H51" i="11" s="1"/>
  <c r="L51" i="11" s="1"/>
  <c r="M8" i="11"/>
  <c r="N7" i="11"/>
  <c r="M7" i="11"/>
  <c r="C3" i="11"/>
  <c r="D91" i="10"/>
  <c r="D90" i="10"/>
  <c r="D89" i="10"/>
  <c r="D88" i="10"/>
  <c r="D87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K60" i="10" s="1"/>
  <c r="D59" i="10"/>
  <c r="D58" i="10"/>
  <c r="D57" i="10"/>
  <c r="F57" i="10" s="1"/>
  <c r="D56" i="10"/>
  <c r="D55" i="10"/>
  <c r="D54" i="10"/>
  <c r="D53" i="10"/>
  <c r="D52" i="10"/>
  <c r="D51" i="10"/>
  <c r="D45" i="10"/>
  <c r="D44" i="10"/>
  <c r="D43" i="10"/>
  <c r="D46" i="10" s="1"/>
  <c r="G91" i="10"/>
  <c r="E91" i="10"/>
  <c r="F91" i="10" s="1"/>
  <c r="E90" i="10"/>
  <c r="E88" i="10"/>
  <c r="F87" i="10"/>
  <c r="E87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H64" i="10"/>
  <c r="L64" i="10" s="1"/>
  <c r="G64" i="10"/>
  <c r="F63" i="10"/>
  <c r="H60" i="10"/>
  <c r="L60" i="10" s="1"/>
  <c r="F60" i="10"/>
  <c r="H59" i="10"/>
  <c r="G59" i="10"/>
  <c r="L57" i="10"/>
  <c r="H55" i="10"/>
  <c r="L55" i="10" s="1"/>
  <c r="F55" i="10"/>
  <c r="H53" i="10"/>
  <c r="G53" i="10"/>
  <c r="F41" i="10"/>
  <c r="M20" i="10"/>
  <c r="M21" i="10" s="1"/>
  <c r="N19" i="10"/>
  <c r="M19" i="10"/>
  <c r="N18" i="10"/>
  <c r="H63" i="10" s="1"/>
  <c r="L63" i="10" s="1"/>
  <c r="M18" i="10"/>
  <c r="G63" i="10" s="1"/>
  <c r="K63" i="10" s="1"/>
  <c r="N17" i="10"/>
  <c r="H62" i="10" s="1"/>
  <c r="M17" i="10"/>
  <c r="G62" i="10" s="1"/>
  <c r="N16" i="10"/>
  <c r="H61" i="10" s="1"/>
  <c r="M16" i="10"/>
  <c r="G61" i="10" s="1"/>
  <c r="N15" i="10"/>
  <c r="M15" i="10"/>
  <c r="G60" i="10" s="1"/>
  <c r="N14" i="10"/>
  <c r="H58" i="10" s="1"/>
  <c r="M14" i="10"/>
  <c r="G58" i="10" s="1"/>
  <c r="N13" i="10"/>
  <c r="H57" i="10" s="1"/>
  <c r="M13" i="10"/>
  <c r="G57" i="10" s="1"/>
  <c r="I57" i="10" s="1"/>
  <c r="N12" i="10"/>
  <c r="H56" i="10" s="1"/>
  <c r="L56" i="10" s="1"/>
  <c r="M12" i="10"/>
  <c r="G56" i="10" s="1"/>
  <c r="N11" i="10"/>
  <c r="M11" i="10"/>
  <c r="G55" i="10" s="1"/>
  <c r="K55" i="10" s="1"/>
  <c r="N10" i="10"/>
  <c r="H54" i="10" s="1"/>
  <c r="M10" i="10"/>
  <c r="G54" i="10" s="1"/>
  <c r="N9" i="10"/>
  <c r="H52" i="10" s="1"/>
  <c r="L52" i="10" s="1"/>
  <c r="M9" i="10"/>
  <c r="G52" i="10" s="1"/>
  <c r="I52" i="10" s="1"/>
  <c r="N8" i="10"/>
  <c r="H51" i="10" s="1"/>
  <c r="L51" i="10" s="1"/>
  <c r="M8" i="10"/>
  <c r="G51" i="10" s="1"/>
  <c r="N7" i="10"/>
  <c r="M7" i="10"/>
  <c r="C3" i="10"/>
  <c r="D91" i="9"/>
  <c r="D90" i="9"/>
  <c r="G90" i="9" s="1"/>
  <c r="D89" i="9"/>
  <c r="D88" i="9"/>
  <c r="D87" i="9"/>
  <c r="E64" i="9"/>
  <c r="E63" i="9"/>
  <c r="E62" i="9"/>
  <c r="E61" i="9"/>
  <c r="E60" i="9"/>
  <c r="E59" i="9"/>
  <c r="L59" i="9" s="1"/>
  <c r="E58" i="9"/>
  <c r="E57" i="9"/>
  <c r="E56" i="9"/>
  <c r="E55" i="9"/>
  <c r="E54" i="9"/>
  <c r="E53" i="9"/>
  <c r="E52" i="9"/>
  <c r="E51" i="9"/>
  <c r="D64" i="9"/>
  <c r="D63" i="9"/>
  <c r="D62" i="9"/>
  <c r="D61" i="9"/>
  <c r="F61" i="9" s="1"/>
  <c r="D60" i="9"/>
  <c r="D59" i="9"/>
  <c r="D58" i="9"/>
  <c r="D57" i="9"/>
  <c r="D56" i="9"/>
  <c r="D55" i="9"/>
  <c r="D54" i="9"/>
  <c r="D53" i="9"/>
  <c r="D52" i="9"/>
  <c r="D51" i="9"/>
  <c r="D45" i="9"/>
  <c r="D44" i="9"/>
  <c r="D43" i="9"/>
  <c r="E91" i="9"/>
  <c r="F90" i="9"/>
  <c r="E90" i="9"/>
  <c r="E88" i="9"/>
  <c r="F88" i="9" s="1"/>
  <c r="E87" i="9"/>
  <c r="G87" i="9" s="1"/>
  <c r="D81" i="9"/>
  <c r="D80" i="9"/>
  <c r="D79" i="9"/>
  <c r="D78" i="9"/>
  <c r="D77" i="9"/>
  <c r="D76" i="9"/>
  <c r="D75" i="9"/>
  <c r="D74" i="9"/>
  <c r="D73" i="9"/>
  <c r="D72" i="9"/>
  <c r="D71" i="9"/>
  <c r="D70" i="9"/>
  <c r="F64" i="9"/>
  <c r="F63" i="9"/>
  <c r="F62" i="9"/>
  <c r="H61" i="9"/>
  <c r="L61" i="9" s="1"/>
  <c r="H59" i="9"/>
  <c r="G59" i="9"/>
  <c r="K59" i="9" s="1"/>
  <c r="F59" i="9"/>
  <c r="H58" i="9"/>
  <c r="F58" i="9"/>
  <c r="F57" i="9"/>
  <c r="F56" i="9"/>
  <c r="F55" i="9"/>
  <c r="F54" i="9"/>
  <c r="H53" i="9"/>
  <c r="L53" i="9" s="1"/>
  <c r="G53" i="9"/>
  <c r="D46" i="9"/>
  <c r="F41" i="9"/>
  <c r="M20" i="9"/>
  <c r="M21" i="9" s="1"/>
  <c r="E89" i="9" s="1"/>
  <c r="N19" i="9"/>
  <c r="H64" i="9" s="1"/>
  <c r="L64" i="9" s="1"/>
  <c r="M19" i="9"/>
  <c r="G64" i="9" s="1"/>
  <c r="N18" i="9"/>
  <c r="H63" i="9" s="1"/>
  <c r="M18" i="9"/>
  <c r="G63" i="9" s="1"/>
  <c r="K63" i="9" s="1"/>
  <c r="N17" i="9"/>
  <c r="H62" i="9" s="1"/>
  <c r="M17" i="9"/>
  <c r="G62" i="9" s="1"/>
  <c r="K62" i="9" s="1"/>
  <c r="N16" i="9"/>
  <c r="M16" i="9"/>
  <c r="G61" i="9" s="1"/>
  <c r="I61" i="9" s="1"/>
  <c r="N15" i="9"/>
  <c r="H60" i="9" s="1"/>
  <c r="M15" i="9"/>
  <c r="G60" i="9" s="1"/>
  <c r="N14" i="9"/>
  <c r="M14" i="9"/>
  <c r="G58" i="9" s="1"/>
  <c r="I58" i="9" s="1"/>
  <c r="J58" i="9" s="1"/>
  <c r="N13" i="9"/>
  <c r="H57" i="9" s="1"/>
  <c r="L57" i="9" s="1"/>
  <c r="M13" i="9"/>
  <c r="G57" i="9" s="1"/>
  <c r="K57" i="9" s="1"/>
  <c r="N12" i="9"/>
  <c r="H56" i="9" s="1"/>
  <c r="L56" i="9" s="1"/>
  <c r="M12" i="9"/>
  <c r="G56" i="9" s="1"/>
  <c r="I56" i="9" s="1"/>
  <c r="J56" i="9" s="1"/>
  <c r="N11" i="9"/>
  <c r="H55" i="9" s="1"/>
  <c r="M11" i="9"/>
  <c r="G55" i="9" s="1"/>
  <c r="K55" i="9" s="1"/>
  <c r="N10" i="9"/>
  <c r="H54" i="9" s="1"/>
  <c r="M10" i="9"/>
  <c r="G54" i="9" s="1"/>
  <c r="K54" i="9" s="1"/>
  <c r="N9" i="9"/>
  <c r="H52" i="9" s="1"/>
  <c r="M9" i="9"/>
  <c r="G52" i="9" s="1"/>
  <c r="N8" i="9"/>
  <c r="H51" i="9" s="1"/>
  <c r="M8" i="9"/>
  <c r="G51" i="9" s="1"/>
  <c r="N7" i="9"/>
  <c r="M7" i="9"/>
  <c r="C3" i="9"/>
  <c r="H87" i="9" s="1"/>
  <c r="D91" i="8"/>
  <c r="D90" i="8"/>
  <c r="F90" i="8" s="1"/>
  <c r="D89" i="8"/>
  <c r="D92" i="8" s="1"/>
  <c r="D88" i="8"/>
  <c r="D87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K60" i="8" s="1"/>
  <c r="D59" i="8"/>
  <c r="D58" i="8"/>
  <c r="F58" i="8" s="1"/>
  <c r="D57" i="8"/>
  <c r="F57" i="8" s="1"/>
  <c r="D56" i="8"/>
  <c r="D55" i="8"/>
  <c r="D54" i="8"/>
  <c r="F54" i="8" s="1"/>
  <c r="D53" i="8"/>
  <c r="D52" i="8"/>
  <c r="K52" i="8" s="1"/>
  <c r="D51" i="8"/>
  <c r="D45" i="8"/>
  <c r="D44" i="8"/>
  <c r="D46" i="8" s="1"/>
  <c r="D43" i="8"/>
  <c r="G91" i="8"/>
  <c r="E91" i="8"/>
  <c r="F91" i="8" s="1"/>
  <c r="G90" i="8"/>
  <c r="E90" i="8"/>
  <c r="G88" i="8"/>
  <c r="E88" i="8"/>
  <c r="F88" i="8" s="1"/>
  <c r="E87" i="8"/>
  <c r="F87" i="8" s="1"/>
  <c r="D81" i="8"/>
  <c r="D80" i="8"/>
  <c r="D79" i="8"/>
  <c r="D78" i="8"/>
  <c r="D77" i="8"/>
  <c r="D76" i="8"/>
  <c r="D75" i="8"/>
  <c r="D74" i="8"/>
  <c r="D73" i="8"/>
  <c r="D72" i="8"/>
  <c r="D71" i="8"/>
  <c r="D70" i="8"/>
  <c r="F64" i="8"/>
  <c r="H62" i="8"/>
  <c r="L62" i="8" s="1"/>
  <c r="F62" i="8"/>
  <c r="H59" i="8"/>
  <c r="G59" i="8"/>
  <c r="K59" i="8" s="1"/>
  <c r="H57" i="8"/>
  <c r="L57" i="8" s="1"/>
  <c r="F56" i="8"/>
  <c r="G55" i="8"/>
  <c r="K55" i="8" s="1"/>
  <c r="F55" i="8"/>
  <c r="H53" i="8"/>
  <c r="L53" i="8" s="1"/>
  <c r="G53" i="8"/>
  <c r="I53" i="8" s="1"/>
  <c r="F51" i="8"/>
  <c r="F41" i="8"/>
  <c r="M20" i="8"/>
  <c r="M21" i="8" s="1"/>
  <c r="N19" i="8"/>
  <c r="H64" i="8" s="1"/>
  <c r="M19" i="8"/>
  <c r="G64" i="8" s="1"/>
  <c r="K64" i="8" s="1"/>
  <c r="N18" i="8"/>
  <c r="H63" i="8" s="1"/>
  <c r="M18" i="8"/>
  <c r="G63" i="8" s="1"/>
  <c r="N17" i="8"/>
  <c r="M17" i="8"/>
  <c r="G62" i="8" s="1"/>
  <c r="N16" i="8"/>
  <c r="H61" i="8" s="1"/>
  <c r="L61" i="8" s="1"/>
  <c r="M16" i="8"/>
  <c r="G61" i="8" s="1"/>
  <c r="N15" i="8"/>
  <c r="H60" i="8" s="1"/>
  <c r="M15" i="8"/>
  <c r="G60" i="8" s="1"/>
  <c r="N14" i="8"/>
  <c r="H58" i="8" s="1"/>
  <c r="L58" i="8" s="1"/>
  <c r="M14" i="8"/>
  <c r="G58" i="8" s="1"/>
  <c r="N13" i="8"/>
  <c r="M13" i="8"/>
  <c r="G57" i="8" s="1"/>
  <c r="N12" i="8"/>
  <c r="H56" i="8" s="1"/>
  <c r="L56" i="8" s="1"/>
  <c r="M12" i="8"/>
  <c r="G56" i="8" s="1"/>
  <c r="K56" i="8" s="1"/>
  <c r="N11" i="8"/>
  <c r="H55" i="8" s="1"/>
  <c r="M11" i="8"/>
  <c r="N10" i="8"/>
  <c r="H54" i="8" s="1"/>
  <c r="M10" i="8"/>
  <c r="G54" i="8" s="1"/>
  <c r="N9" i="8"/>
  <c r="H52" i="8" s="1"/>
  <c r="I52" i="8" s="1"/>
  <c r="M9" i="8"/>
  <c r="G52" i="8" s="1"/>
  <c r="N8" i="8"/>
  <c r="H51" i="8" s="1"/>
  <c r="M8" i="8"/>
  <c r="G51" i="8" s="1"/>
  <c r="N7" i="8"/>
  <c r="M7" i="8"/>
  <c r="C3" i="8"/>
  <c r="H91" i="8" s="1"/>
  <c r="D91" i="7"/>
  <c r="D90" i="7"/>
  <c r="D89" i="7"/>
  <c r="D88" i="7"/>
  <c r="D87" i="7"/>
  <c r="G87" i="7" s="1"/>
  <c r="E64" i="7"/>
  <c r="E63" i="7"/>
  <c r="E62" i="7"/>
  <c r="F62" i="7" s="1"/>
  <c r="E61" i="7"/>
  <c r="E60" i="7"/>
  <c r="E59" i="7"/>
  <c r="E58" i="7"/>
  <c r="E57" i="7"/>
  <c r="F57" i="7" s="1"/>
  <c r="E56" i="7"/>
  <c r="E55" i="7"/>
  <c r="E54" i="7"/>
  <c r="F54" i="7" s="1"/>
  <c r="E53" i="7"/>
  <c r="E52" i="7"/>
  <c r="E51" i="7"/>
  <c r="D64" i="7"/>
  <c r="F64" i="7" s="1"/>
  <c r="D63" i="7"/>
  <c r="F63" i="7" s="1"/>
  <c r="D62" i="7"/>
  <c r="D61" i="7"/>
  <c r="D60" i="7"/>
  <c r="D59" i="7"/>
  <c r="D58" i="7"/>
  <c r="D57" i="7"/>
  <c r="D56" i="7"/>
  <c r="F56" i="7" s="1"/>
  <c r="D55" i="7"/>
  <c r="F55" i="7" s="1"/>
  <c r="D54" i="7"/>
  <c r="D53" i="7"/>
  <c r="K53" i="7" s="1"/>
  <c r="D52" i="7"/>
  <c r="F52" i="7" s="1"/>
  <c r="D51" i="7"/>
  <c r="D45" i="7"/>
  <c r="D44" i="7"/>
  <c r="D43" i="7"/>
  <c r="D46" i="7" s="1"/>
  <c r="D92" i="7"/>
  <c r="E91" i="7"/>
  <c r="G91" i="7"/>
  <c r="G90" i="7"/>
  <c r="F90" i="7"/>
  <c r="E90" i="7"/>
  <c r="E88" i="7"/>
  <c r="G88" i="7" s="1"/>
  <c r="E87" i="7"/>
  <c r="D81" i="7"/>
  <c r="D80" i="7"/>
  <c r="D79" i="7"/>
  <c r="D78" i="7"/>
  <c r="D77" i="7"/>
  <c r="D76" i="7"/>
  <c r="D75" i="7"/>
  <c r="D74" i="7"/>
  <c r="D73" i="7"/>
  <c r="D72" i="7"/>
  <c r="D82" i="7" s="1"/>
  <c r="D71" i="7"/>
  <c r="D70" i="7"/>
  <c r="G64" i="7"/>
  <c r="H60" i="7"/>
  <c r="L60" i="7" s="1"/>
  <c r="G60" i="7"/>
  <c r="I60" i="7" s="1"/>
  <c r="F60" i="7"/>
  <c r="H59" i="7"/>
  <c r="G59" i="7"/>
  <c r="K59" i="7" s="1"/>
  <c r="F59" i="7"/>
  <c r="F58" i="7"/>
  <c r="H56" i="7"/>
  <c r="L56" i="7" s="1"/>
  <c r="G54" i="7"/>
  <c r="I54" i="7" s="1"/>
  <c r="H53" i="7"/>
  <c r="L53" i="7" s="1"/>
  <c r="G53" i="7"/>
  <c r="H51" i="7"/>
  <c r="G51" i="7"/>
  <c r="K51" i="7" s="1"/>
  <c r="F51" i="7"/>
  <c r="F41" i="7"/>
  <c r="M20" i="7"/>
  <c r="M21" i="7" s="1"/>
  <c r="N19" i="7"/>
  <c r="H64" i="7" s="1"/>
  <c r="L64" i="7" s="1"/>
  <c r="M19" i="7"/>
  <c r="N18" i="7"/>
  <c r="H63" i="7" s="1"/>
  <c r="L63" i="7" s="1"/>
  <c r="M18" i="7"/>
  <c r="G63" i="7" s="1"/>
  <c r="N17" i="7"/>
  <c r="H62" i="7" s="1"/>
  <c r="M17" i="7"/>
  <c r="G62" i="7" s="1"/>
  <c r="K62" i="7" s="1"/>
  <c r="N16" i="7"/>
  <c r="H61" i="7" s="1"/>
  <c r="L61" i="7" s="1"/>
  <c r="M16" i="7"/>
  <c r="G61" i="7" s="1"/>
  <c r="I61" i="7" s="1"/>
  <c r="N15" i="7"/>
  <c r="M15" i="7"/>
  <c r="N14" i="7"/>
  <c r="H58" i="7" s="1"/>
  <c r="M14" i="7"/>
  <c r="G58" i="7" s="1"/>
  <c r="N13" i="7"/>
  <c r="H57" i="7" s="1"/>
  <c r="M13" i="7"/>
  <c r="G57" i="7" s="1"/>
  <c r="N12" i="7"/>
  <c r="M12" i="7"/>
  <c r="G56" i="7" s="1"/>
  <c r="N11" i="7"/>
  <c r="H55" i="7" s="1"/>
  <c r="M11" i="7"/>
  <c r="G55" i="7" s="1"/>
  <c r="N10" i="7"/>
  <c r="H54" i="7" s="1"/>
  <c r="L54" i="7" s="1"/>
  <c r="M10" i="7"/>
  <c r="N9" i="7"/>
  <c r="H52" i="7" s="1"/>
  <c r="L52" i="7" s="1"/>
  <c r="M9" i="7"/>
  <c r="G52" i="7" s="1"/>
  <c r="N8" i="7"/>
  <c r="M8" i="7"/>
  <c r="N7" i="7"/>
  <c r="M7" i="7"/>
  <c r="C3" i="7"/>
  <c r="D44" i="6"/>
  <c r="D43" i="6"/>
  <c r="L65" i="6"/>
  <c r="I65" i="6"/>
  <c r="H65" i="6"/>
  <c r="G65" i="6"/>
  <c r="E65" i="6"/>
  <c r="I58" i="6"/>
  <c r="D81" i="6"/>
  <c r="D80" i="6"/>
  <c r="D79" i="6"/>
  <c r="D78" i="6"/>
  <c r="D77" i="6"/>
  <c r="D76" i="6"/>
  <c r="D75" i="6"/>
  <c r="D74" i="6"/>
  <c r="D73" i="6"/>
  <c r="D72" i="6"/>
  <c r="D71" i="6"/>
  <c r="D70" i="6"/>
  <c r="H59" i="6"/>
  <c r="L59" i="6" s="1"/>
  <c r="H53" i="6"/>
  <c r="L53" i="6" s="1"/>
  <c r="K59" i="6"/>
  <c r="I59" i="6"/>
  <c r="M59" i="6" s="1"/>
  <c r="G59" i="6"/>
  <c r="F59" i="6"/>
  <c r="E59" i="6"/>
  <c r="D59" i="6"/>
  <c r="K53" i="6"/>
  <c r="I53" i="6"/>
  <c r="M53" i="6" s="1"/>
  <c r="G53" i="6"/>
  <c r="F53" i="6"/>
  <c r="E53" i="6"/>
  <c r="D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K50" i="3" s="1"/>
  <c r="E50" i="3"/>
  <c r="D51" i="3"/>
  <c r="E51" i="3"/>
  <c r="D52" i="3"/>
  <c r="E52" i="3"/>
  <c r="D53" i="3"/>
  <c r="E53" i="3"/>
  <c r="D54" i="3"/>
  <c r="F54" i="3" s="1"/>
  <c r="E54" i="3"/>
  <c r="D55" i="3"/>
  <c r="E55" i="3"/>
  <c r="D56" i="3"/>
  <c r="E56" i="3"/>
  <c r="D57" i="3"/>
  <c r="K57" i="3" s="1"/>
  <c r="E57" i="3"/>
  <c r="D58" i="3"/>
  <c r="K58" i="3" s="1"/>
  <c r="E58" i="3"/>
  <c r="D59" i="3"/>
  <c r="E59" i="3"/>
  <c r="D60" i="3"/>
  <c r="F60" i="3" s="1"/>
  <c r="E60" i="3"/>
  <c r="E49" i="3"/>
  <c r="D49" i="3"/>
  <c r="K49" i="3" s="1"/>
  <c r="D43" i="3"/>
  <c r="D42" i="3"/>
  <c r="D41" i="3"/>
  <c r="E69" i="3"/>
  <c r="E68" i="3"/>
  <c r="F68" i="3" s="1"/>
  <c r="G66" i="3"/>
  <c r="H66" i="3" s="1"/>
  <c r="E66" i="3"/>
  <c r="F66" i="3" s="1"/>
  <c r="E65" i="3"/>
  <c r="G65" i="3"/>
  <c r="G57" i="3"/>
  <c r="G50" i="3"/>
  <c r="G49" i="3"/>
  <c r="P21" i="3"/>
  <c r="P20" i="3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K53" i="3" s="1"/>
  <c r="Q11" i="3"/>
  <c r="H52" i="3" s="1"/>
  <c r="L52" i="3" s="1"/>
  <c r="P11" i="3"/>
  <c r="G52" i="3" s="1"/>
  <c r="Q10" i="3"/>
  <c r="H51" i="3" s="1"/>
  <c r="L51" i="3" s="1"/>
  <c r="P10" i="3"/>
  <c r="G51" i="3" s="1"/>
  <c r="Q9" i="3"/>
  <c r="H50" i="3" s="1"/>
  <c r="P9" i="3"/>
  <c r="Q8" i="3"/>
  <c r="H49" i="3" s="1"/>
  <c r="P8" i="3"/>
  <c r="Q7" i="3"/>
  <c r="P7" i="3"/>
  <c r="F41" i="6"/>
  <c r="I62" i="8" l="1"/>
  <c r="K62" i="8"/>
  <c r="E89" i="10"/>
  <c r="E45" i="10"/>
  <c r="J57" i="10"/>
  <c r="M57" i="10"/>
  <c r="J61" i="9"/>
  <c r="M61" i="9"/>
  <c r="K56" i="11"/>
  <c r="I56" i="11"/>
  <c r="J56" i="11" s="1"/>
  <c r="I54" i="11"/>
  <c r="K54" i="11"/>
  <c r="I52" i="12"/>
  <c r="K51" i="9"/>
  <c r="I51" i="9"/>
  <c r="I56" i="14"/>
  <c r="I61" i="14"/>
  <c r="J61" i="14" s="1"/>
  <c r="K61" i="14"/>
  <c r="G87" i="8"/>
  <c r="I61" i="8"/>
  <c r="D82" i="8"/>
  <c r="L54" i="11"/>
  <c r="I53" i="7"/>
  <c r="F88" i="7"/>
  <c r="L54" i="8"/>
  <c r="E44" i="7"/>
  <c r="K54" i="7"/>
  <c r="M60" i="7"/>
  <c r="L64" i="8"/>
  <c r="I64" i="10"/>
  <c r="J64" i="10" s="1"/>
  <c r="D82" i="11"/>
  <c r="I56" i="12"/>
  <c r="I61" i="12"/>
  <c r="M53" i="12"/>
  <c r="K56" i="12"/>
  <c r="L54" i="12"/>
  <c r="I64" i="13"/>
  <c r="J64" i="13" s="1"/>
  <c r="I60" i="14"/>
  <c r="M60" i="14" s="1"/>
  <c r="N60" i="14" s="1"/>
  <c r="I53" i="14"/>
  <c r="J53" i="14" s="1"/>
  <c r="L54" i="14"/>
  <c r="L62" i="14"/>
  <c r="I64" i="14"/>
  <c r="M53" i="14"/>
  <c r="I53" i="9"/>
  <c r="M58" i="9"/>
  <c r="K56" i="9"/>
  <c r="G88" i="9"/>
  <c r="I58" i="11"/>
  <c r="M59" i="11"/>
  <c r="I57" i="12"/>
  <c r="J57" i="12" s="1"/>
  <c r="E44" i="12"/>
  <c r="F44" i="12" s="1"/>
  <c r="F87" i="14"/>
  <c r="L59" i="8"/>
  <c r="I52" i="9"/>
  <c r="E45" i="9"/>
  <c r="F45" i="9" s="1"/>
  <c r="L51" i="9"/>
  <c r="I62" i="10"/>
  <c r="G87" i="14"/>
  <c r="I64" i="8"/>
  <c r="I59" i="8"/>
  <c r="I62" i="9"/>
  <c r="J62" i="9" s="1"/>
  <c r="F87" i="9"/>
  <c r="E44" i="10"/>
  <c r="F44" i="10" s="1"/>
  <c r="I61" i="13"/>
  <c r="K62" i="13"/>
  <c r="K64" i="14"/>
  <c r="G88" i="14"/>
  <c r="L51" i="12"/>
  <c r="L60" i="13"/>
  <c r="F45" i="14"/>
  <c r="F89" i="14"/>
  <c r="M54" i="7"/>
  <c r="N54" i="7" s="1"/>
  <c r="I53" i="10"/>
  <c r="K56" i="10"/>
  <c r="L58" i="11"/>
  <c r="K64" i="11"/>
  <c r="K53" i="11"/>
  <c r="K61" i="11"/>
  <c r="I64" i="12"/>
  <c r="L53" i="13"/>
  <c r="I63" i="14"/>
  <c r="I59" i="14"/>
  <c r="L62" i="11"/>
  <c r="E43" i="7"/>
  <c r="M62" i="8"/>
  <c r="I60" i="9"/>
  <c r="I64" i="9"/>
  <c r="J64" i="9" s="1"/>
  <c r="I59" i="9"/>
  <c r="J59" i="9" s="1"/>
  <c r="I60" i="10"/>
  <c r="M60" i="10" s="1"/>
  <c r="N60" i="10" s="1"/>
  <c r="I59" i="10"/>
  <c r="L59" i="10"/>
  <c r="M54" i="11"/>
  <c r="N54" i="11" s="1"/>
  <c r="H90" i="11"/>
  <c r="I58" i="13"/>
  <c r="H51" i="13"/>
  <c r="K62" i="14"/>
  <c r="N62" i="8"/>
  <c r="H90" i="8"/>
  <c r="H90" i="14"/>
  <c r="N53" i="14"/>
  <c r="N58" i="9"/>
  <c r="N59" i="11"/>
  <c r="H90" i="12"/>
  <c r="H91" i="14"/>
  <c r="N53" i="12"/>
  <c r="H45" i="14"/>
  <c r="H88" i="14"/>
  <c r="H91" i="13"/>
  <c r="H89" i="14"/>
  <c r="I54" i="8"/>
  <c r="J54" i="8" s="1"/>
  <c r="K54" i="8"/>
  <c r="I58" i="8"/>
  <c r="J58" i="8" s="1"/>
  <c r="K58" i="8"/>
  <c r="I63" i="8"/>
  <c r="K63" i="8"/>
  <c r="F89" i="9"/>
  <c r="E92" i="9"/>
  <c r="I60" i="8"/>
  <c r="E45" i="8"/>
  <c r="E89" i="8"/>
  <c r="J64" i="8"/>
  <c r="M64" i="8"/>
  <c r="N64" i="8" s="1"/>
  <c r="K51" i="8"/>
  <c r="G65" i="8"/>
  <c r="I51" i="8"/>
  <c r="H65" i="10"/>
  <c r="M54" i="8"/>
  <c r="N54" i="8" s="1"/>
  <c r="G45" i="11"/>
  <c r="H45" i="11" s="1"/>
  <c r="F45" i="11"/>
  <c r="I62" i="12"/>
  <c r="K62" i="12"/>
  <c r="I58" i="10"/>
  <c r="K58" i="10"/>
  <c r="N57" i="10"/>
  <c r="K64" i="10"/>
  <c r="F64" i="10"/>
  <c r="L61" i="11"/>
  <c r="I61" i="11"/>
  <c r="E44" i="8"/>
  <c r="M51" i="8"/>
  <c r="I55" i="8"/>
  <c r="J55" i="8" s="1"/>
  <c r="J62" i="8"/>
  <c r="E65" i="8"/>
  <c r="L51" i="8"/>
  <c r="E43" i="9"/>
  <c r="G43" i="9" s="1"/>
  <c r="G91" i="9"/>
  <c r="H91" i="9" s="1"/>
  <c r="F91" i="9"/>
  <c r="K52" i="9"/>
  <c r="F52" i="9"/>
  <c r="M52" i="9" s="1"/>
  <c r="N52" i="9" s="1"/>
  <c r="K60" i="9"/>
  <c r="F60" i="9"/>
  <c r="M60" i="9" s="1"/>
  <c r="N60" i="9" s="1"/>
  <c r="L54" i="9"/>
  <c r="L62" i="9"/>
  <c r="F45" i="10"/>
  <c r="G45" i="10"/>
  <c r="H45" i="10" s="1"/>
  <c r="I55" i="10"/>
  <c r="J55" i="10" s="1"/>
  <c r="E65" i="10"/>
  <c r="I58" i="14"/>
  <c r="J58" i="14" s="1"/>
  <c r="K58" i="14"/>
  <c r="I54" i="14"/>
  <c r="J54" i="14" s="1"/>
  <c r="G44" i="10"/>
  <c r="H44" i="10" s="1"/>
  <c r="I62" i="11"/>
  <c r="J62" i="11" s="1"/>
  <c r="K62" i="11"/>
  <c r="J61" i="12"/>
  <c r="D65" i="13"/>
  <c r="K51" i="13"/>
  <c r="F51" i="13"/>
  <c r="K59" i="13"/>
  <c r="F59" i="13"/>
  <c r="M59" i="13" s="1"/>
  <c r="N59" i="13" s="1"/>
  <c r="L61" i="13"/>
  <c r="F61" i="13"/>
  <c r="M61" i="13" s="1"/>
  <c r="N61" i="13" s="1"/>
  <c r="M58" i="8"/>
  <c r="N58" i="8" s="1"/>
  <c r="L52" i="8"/>
  <c r="L60" i="8"/>
  <c r="I55" i="9"/>
  <c r="J55" i="9" s="1"/>
  <c r="F53" i="9"/>
  <c r="K53" i="9"/>
  <c r="L55" i="9"/>
  <c r="J60" i="10"/>
  <c r="F56" i="10"/>
  <c r="I63" i="10"/>
  <c r="J63" i="10" s="1"/>
  <c r="E44" i="11"/>
  <c r="G88" i="13"/>
  <c r="H88" i="13" s="1"/>
  <c r="F88" i="13"/>
  <c r="H88" i="8"/>
  <c r="D65" i="8"/>
  <c r="M57" i="9"/>
  <c r="N57" i="9" s="1"/>
  <c r="K58" i="9"/>
  <c r="M63" i="9"/>
  <c r="N63" i="9" s="1"/>
  <c r="D82" i="9"/>
  <c r="K53" i="10"/>
  <c r="K61" i="10"/>
  <c r="I61" i="10"/>
  <c r="J61" i="10" s="1"/>
  <c r="H65" i="11"/>
  <c r="J59" i="12"/>
  <c r="F53" i="13"/>
  <c r="M53" i="13" s="1"/>
  <c r="N53" i="13" s="1"/>
  <c r="J59" i="13"/>
  <c r="H87" i="14"/>
  <c r="G92" i="14"/>
  <c r="H92" i="14" s="1"/>
  <c r="K63" i="14"/>
  <c r="L57" i="14"/>
  <c r="E44" i="9"/>
  <c r="F44" i="9" s="1"/>
  <c r="G65" i="10"/>
  <c r="K51" i="10"/>
  <c r="I51" i="10"/>
  <c r="I54" i="10"/>
  <c r="F90" i="10"/>
  <c r="G90" i="10"/>
  <c r="H90" i="10" s="1"/>
  <c r="F52" i="10"/>
  <c r="M52" i="10" s="1"/>
  <c r="N52" i="10" s="1"/>
  <c r="D65" i="10"/>
  <c r="K52" i="10"/>
  <c r="L54" i="10"/>
  <c r="F54" i="10"/>
  <c r="M54" i="10" s="1"/>
  <c r="N54" i="10" s="1"/>
  <c r="L62" i="10"/>
  <c r="F62" i="10"/>
  <c r="M62" i="10" s="1"/>
  <c r="N62" i="10" s="1"/>
  <c r="M58" i="11"/>
  <c r="N58" i="11" s="1"/>
  <c r="J58" i="11"/>
  <c r="I55" i="11"/>
  <c r="E89" i="11"/>
  <c r="I60" i="12"/>
  <c r="D65" i="12"/>
  <c r="F51" i="12"/>
  <c r="K59" i="12"/>
  <c r="F59" i="12"/>
  <c r="M59" i="12" s="1"/>
  <c r="N59" i="12" s="1"/>
  <c r="L61" i="12"/>
  <c r="F61" i="12"/>
  <c r="M61" i="12" s="1"/>
  <c r="N61" i="12" s="1"/>
  <c r="G91" i="12"/>
  <c r="H91" i="12" s="1"/>
  <c r="F91" i="12"/>
  <c r="D92" i="12"/>
  <c r="I54" i="13"/>
  <c r="K54" i="13"/>
  <c r="I63" i="13"/>
  <c r="J63" i="13" s="1"/>
  <c r="K63" i="13"/>
  <c r="G45" i="13"/>
  <c r="H45" i="13" s="1"/>
  <c r="K56" i="14"/>
  <c r="L58" i="14"/>
  <c r="G88" i="10"/>
  <c r="H88" i="10" s="1"/>
  <c r="F88" i="10"/>
  <c r="D92" i="10"/>
  <c r="H65" i="8"/>
  <c r="K61" i="8"/>
  <c r="F61" i="8"/>
  <c r="M61" i="8" s="1"/>
  <c r="N61" i="8" s="1"/>
  <c r="L63" i="8"/>
  <c r="I54" i="9"/>
  <c r="J54" i="9" s="1"/>
  <c r="M56" i="9"/>
  <c r="N56" i="9" s="1"/>
  <c r="I57" i="9"/>
  <c r="J57" i="9" s="1"/>
  <c r="N61" i="9"/>
  <c r="I63" i="9"/>
  <c r="J63" i="9" s="1"/>
  <c r="D65" i="9"/>
  <c r="K64" i="9"/>
  <c r="L58" i="9"/>
  <c r="H88" i="9"/>
  <c r="K58" i="12"/>
  <c r="I58" i="12"/>
  <c r="J58" i="12" s="1"/>
  <c r="K63" i="12"/>
  <c r="I63" i="12"/>
  <c r="F58" i="10"/>
  <c r="L58" i="10"/>
  <c r="M58" i="14"/>
  <c r="N58" i="14" s="1"/>
  <c r="E43" i="8"/>
  <c r="I57" i="8"/>
  <c r="F60" i="8"/>
  <c r="M60" i="8" s="1"/>
  <c r="N60" i="8" s="1"/>
  <c r="K53" i="8"/>
  <c r="F53" i="8"/>
  <c r="M53" i="8" s="1"/>
  <c r="N53" i="8" s="1"/>
  <c r="L55" i="8"/>
  <c r="K57" i="8"/>
  <c r="F59" i="8"/>
  <c r="M59" i="8" s="1"/>
  <c r="N59" i="8" s="1"/>
  <c r="F63" i="8"/>
  <c r="M63" i="8" s="1"/>
  <c r="N63" i="8" s="1"/>
  <c r="M62" i="9"/>
  <c r="N62" i="9" s="1"/>
  <c r="G44" i="9"/>
  <c r="H44" i="9" s="1"/>
  <c r="G89" i="9"/>
  <c r="H89" i="9" s="1"/>
  <c r="D82" i="10"/>
  <c r="H91" i="10"/>
  <c r="I56" i="13"/>
  <c r="J56" i="13" s="1"/>
  <c r="H65" i="14"/>
  <c r="L51" i="14"/>
  <c r="F52" i="8"/>
  <c r="M52" i="8" s="1"/>
  <c r="N52" i="8" s="1"/>
  <c r="I56" i="8"/>
  <c r="J56" i="8" s="1"/>
  <c r="H87" i="8"/>
  <c r="G45" i="9"/>
  <c r="H45" i="9" s="1"/>
  <c r="G65" i="9"/>
  <c r="G92" i="9"/>
  <c r="H92" i="9" s="1"/>
  <c r="L52" i="9"/>
  <c r="L60" i="9"/>
  <c r="H90" i="9"/>
  <c r="G87" i="10"/>
  <c r="E92" i="10"/>
  <c r="F92" i="10" s="1"/>
  <c r="D82" i="12"/>
  <c r="F90" i="12"/>
  <c r="I56" i="10"/>
  <c r="J56" i="10" s="1"/>
  <c r="I60" i="11"/>
  <c r="J60" i="11" s="1"/>
  <c r="L52" i="12"/>
  <c r="H65" i="12"/>
  <c r="L59" i="12"/>
  <c r="D92" i="13"/>
  <c r="I57" i="14"/>
  <c r="J57" i="14" s="1"/>
  <c r="K57" i="14"/>
  <c r="M62" i="14"/>
  <c r="N62" i="14" s="1"/>
  <c r="K59" i="10"/>
  <c r="F51" i="9"/>
  <c r="J51" i="9" s="1"/>
  <c r="E65" i="9"/>
  <c r="E43" i="10"/>
  <c r="K57" i="10"/>
  <c r="K54" i="10"/>
  <c r="K62" i="10"/>
  <c r="J53" i="11"/>
  <c r="I63" i="11"/>
  <c r="G88" i="12"/>
  <c r="H88" i="12" s="1"/>
  <c r="K58" i="13"/>
  <c r="F58" i="13"/>
  <c r="M58" i="13" s="1"/>
  <c r="N58" i="13" s="1"/>
  <c r="L52" i="13"/>
  <c r="F52" i="13"/>
  <c r="G90" i="13"/>
  <c r="H90" i="13" s="1"/>
  <c r="H52" i="14"/>
  <c r="L52" i="14" s="1"/>
  <c r="E44" i="14"/>
  <c r="F44" i="14" s="1"/>
  <c r="I57" i="11"/>
  <c r="I55" i="14"/>
  <c r="J60" i="14"/>
  <c r="D82" i="14"/>
  <c r="K61" i="9"/>
  <c r="J54" i="11"/>
  <c r="M56" i="11"/>
  <c r="N56" i="11" s="1"/>
  <c r="K57" i="11"/>
  <c r="G88" i="11"/>
  <c r="H88" i="11" s="1"/>
  <c r="G91" i="11"/>
  <c r="H91" i="11" s="1"/>
  <c r="L55" i="11"/>
  <c r="L63" i="11"/>
  <c r="K55" i="12"/>
  <c r="I55" i="12"/>
  <c r="K64" i="12"/>
  <c r="I51" i="13"/>
  <c r="G65" i="13"/>
  <c r="F91" i="13"/>
  <c r="J64" i="14"/>
  <c r="L63" i="9"/>
  <c r="I52" i="11"/>
  <c r="J52" i="11" s="1"/>
  <c r="K52" i="11"/>
  <c r="K60" i="11"/>
  <c r="M64" i="11"/>
  <c r="N64" i="11" s="1"/>
  <c r="F52" i="11"/>
  <c r="D65" i="11"/>
  <c r="M62" i="13"/>
  <c r="N62" i="13" s="1"/>
  <c r="H88" i="7"/>
  <c r="H65" i="9"/>
  <c r="D92" i="9"/>
  <c r="F51" i="10"/>
  <c r="F59" i="10"/>
  <c r="L53" i="10"/>
  <c r="F53" i="10"/>
  <c r="M53" i="10" s="1"/>
  <c r="N53" i="10" s="1"/>
  <c r="L61" i="10"/>
  <c r="F61" i="10"/>
  <c r="F53" i="11"/>
  <c r="M53" i="11" s="1"/>
  <c r="N53" i="11" s="1"/>
  <c r="F61" i="11"/>
  <c r="M61" i="11" s="1"/>
  <c r="N61" i="11" s="1"/>
  <c r="E92" i="11"/>
  <c r="I54" i="12"/>
  <c r="J54" i="12" s="1"/>
  <c r="K54" i="12"/>
  <c r="H65" i="13"/>
  <c r="M54" i="14"/>
  <c r="N54" i="14" s="1"/>
  <c r="E43" i="11"/>
  <c r="G51" i="11"/>
  <c r="E65" i="11"/>
  <c r="F54" i="12"/>
  <c r="K57" i="12"/>
  <c r="E43" i="13"/>
  <c r="I60" i="13"/>
  <c r="K60" i="13"/>
  <c r="M64" i="13"/>
  <c r="N64" i="13" s="1"/>
  <c r="D82" i="13"/>
  <c r="D46" i="13"/>
  <c r="G44" i="13"/>
  <c r="H44" i="13" s="1"/>
  <c r="K57" i="13"/>
  <c r="F57" i="13"/>
  <c r="E65" i="13"/>
  <c r="L51" i="13"/>
  <c r="E43" i="14"/>
  <c r="F92" i="14"/>
  <c r="M61" i="14"/>
  <c r="N61" i="14" s="1"/>
  <c r="L55" i="14"/>
  <c r="L63" i="14"/>
  <c r="J53" i="12"/>
  <c r="K52" i="12"/>
  <c r="F52" i="12"/>
  <c r="M52" i="12" s="1"/>
  <c r="N52" i="12" s="1"/>
  <c r="K60" i="12"/>
  <c r="F60" i="12"/>
  <c r="L62" i="12"/>
  <c r="J53" i="13"/>
  <c r="G87" i="11"/>
  <c r="K55" i="11"/>
  <c r="K63" i="11"/>
  <c r="D92" i="11"/>
  <c r="G51" i="12"/>
  <c r="E43" i="12"/>
  <c r="G43" i="12" s="1"/>
  <c r="E89" i="12"/>
  <c r="E45" i="12"/>
  <c r="K53" i="12"/>
  <c r="K61" i="12"/>
  <c r="I55" i="13"/>
  <c r="J55" i="13" s="1"/>
  <c r="I52" i="13"/>
  <c r="J52" i="13" s="1"/>
  <c r="K52" i="13"/>
  <c r="K55" i="13"/>
  <c r="H87" i="13"/>
  <c r="M63" i="13"/>
  <c r="N63" i="13" s="1"/>
  <c r="L57" i="13"/>
  <c r="G65" i="14"/>
  <c r="K51" i="14"/>
  <c r="I51" i="14"/>
  <c r="E65" i="12"/>
  <c r="D46" i="14"/>
  <c r="F88" i="14"/>
  <c r="E89" i="13"/>
  <c r="E92" i="13" s="1"/>
  <c r="F92" i="13" s="1"/>
  <c r="F55" i="14"/>
  <c r="M55" i="14" s="1"/>
  <c r="N55" i="14" s="1"/>
  <c r="F63" i="14"/>
  <c r="M63" i="14" s="1"/>
  <c r="N63" i="14" s="1"/>
  <c r="H87" i="12"/>
  <c r="F56" i="14"/>
  <c r="M56" i="14" s="1"/>
  <c r="N56" i="14" s="1"/>
  <c r="F64" i="14"/>
  <c r="M64" i="14" s="1"/>
  <c r="N64" i="14" s="1"/>
  <c r="G43" i="7"/>
  <c r="H43" i="7" s="1"/>
  <c r="N60" i="7"/>
  <c r="H90" i="7"/>
  <c r="L62" i="7"/>
  <c r="F87" i="7"/>
  <c r="H91" i="7"/>
  <c r="K64" i="7"/>
  <c r="L55" i="7"/>
  <c r="J54" i="7"/>
  <c r="I52" i="7"/>
  <c r="J52" i="7" s="1"/>
  <c r="I57" i="7"/>
  <c r="J57" i="7" s="1"/>
  <c r="K57" i="7"/>
  <c r="I62" i="7"/>
  <c r="J62" i="7" s="1"/>
  <c r="M64" i="7"/>
  <c r="N64" i="7" s="1"/>
  <c r="K63" i="7"/>
  <c r="I63" i="7"/>
  <c r="J63" i="7" s="1"/>
  <c r="M55" i="7"/>
  <c r="N55" i="7" s="1"/>
  <c r="K55" i="7"/>
  <c r="I55" i="7"/>
  <c r="J55" i="7" s="1"/>
  <c r="F43" i="7"/>
  <c r="I56" i="7"/>
  <c r="J56" i="7" s="1"/>
  <c r="K56" i="7"/>
  <c r="E45" i="7"/>
  <c r="F45" i="7" s="1"/>
  <c r="E89" i="7"/>
  <c r="H65" i="7"/>
  <c r="H87" i="7"/>
  <c r="K58" i="7"/>
  <c r="I58" i="7"/>
  <c r="J58" i="7" s="1"/>
  <c r="J60" i="7"/>
  <c r="M52" i="7"/>
  <c r="N52" i="7" s="1"/>
  <c r="K61" i="7"/>
  <c r="L51" i="7"/>
  <c r="L65" i="7" s="1"/>
  <c r="F53" i="7"/>
  <c r="M53" i="7" s="1"/>
  <c r="N53" i="7" s="1"/>
  <c r="L59" i="7"/>
  <c r="F61" i="7"/>
  <c r="M61" i="7" s="1"/>
  <c r="N61" i="7" s="1"/>
  <c r="F91" i="7"/>
  <c r="K52" i="7"/>
  <c r="L57" i="7"/>
  <c r="K60" i="7"/>
  <c r="D65" i="7"/>
  <c r="E65" i="7"/>
  <c r="I64" i="7"/>
  <c r="J64" i="7" s="1"/>
  <c r="I51" i="7"/>
  <c r="L58" i="7"/>
  <c r="I59" i="7"/>
  <c r="J59" i="7" s="1"/>
  <c r="G65" i="7"/>
  <c r="J59" i="6"/>
  <c r="J53" i="6"/>
  <c r="F53" i="3"/>
  <c r="L50" i="3"/>
  <c r="L54" i="3"/>
  <c r="F59" i="3"/>
  <c r="L58" i="3"/>
  <c r="F52" i="3"/>
  <c r="F55" i="3"/>
  <c r="D82" i="6"/>
  <c r="I58" i="3"/>
  <c r="F57" i="3"/>
  <c r="L60" i="3"/>
  <c r="E41" i="3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M59" i="3" s="1"/>
  <c r="N59" i="3" s="1"/>
  <c r="F51" i="3"/>
  <c r="M51" i="3" s="1"/>
  <c r="N51" i="3" s="1"/>
  <c r="F69" i="3"/>
  <c r="L53" i="3"/>
  <c r="L57" i="3"/>
  <c r="D61" i="3"/>
  <c r="D44" i="3"/>
  <c r="F41" i="3"/>
  <c r="G41" i="3"/>
  <c r="I49" i="3"/>
  <c r="I54" i="3"/>
  <c r="J54" i="3" s="1"/>
  <c r="K54" i="3"/>
  <c r="I57" i="3"/>
  <c r="E70" i="3"/>
  <c r="G67" i="3"/>
  <c r="H67" i="3" s="1"/>
  <c r="G61" i="3"/>
  <c r="H65" i="3"/>
  <c r="I52" i="3"/>
  <c r="K52" i="3"/>
  <c r="K56" i="3"/>
  <c r="I56" i="3"/>
  <c r="I60" i="3"/>
  <c r="J60" i="3" s="1"/>
  <c r="K60" i="3"/>
  <c r="H61" i="3"/>
  <c r="L49" i="3"/>
  <c r="G42" i="3"/>
  <c r="H42" i="3" s="1"/>
  <c r="I55" i="3"/>
  <c r="K55" i="3"/>
  <c r="M53" i="3"/>
  <c r="N53" i="3" s="1"/>
  <c r="I50" i="3"/>
  <c r="F65" i="3"/>
  <c r="F50" i="3"/>
  <c r="M50" i="3" s="1"/>
  <c r="N50" i="3" s="1"/>
  <c r="K51" i="3"/>
  <c r="L56" i="3"/>
  <c r="F58" i="3"/>
  <c r="M58" i="3" s="1"/>
  <c r="N58" i="3" s="1"/>
  <c r="K59" i="3"/>
  <c r="D70" i="3"/>
  <c r="I53" i="3"/>
  <c r="J53" i="3" s="1"/>
  <c r="E42" i="3"/>
  <c r="F42" i="3" s="1"/>
  <c r="F49" i="3"/>
  <c r="L55" i="3"/>
  <c r="J59" i="14" l="1"/>
  <c r="M59" i="14"/>
  <c r="N59" i="14" s="1"/>
  <c r="G44" i="12"/>
  <c r="H44" i="12" s="1"/>
  <c r="J56" i="12"/>
  <c r="M56" i="12"/>
  <c r="N56" i="12" s="1"/>
  <c r="G45" i="7"/>
  <c r="H45" i="7" s="1"/>
  <c r="L65" i="12"/>
  <c r="L65" i="9"/>
  <c r="L65" i="10"/>
  <c r="E46" i="7"/>
  <c r="F46" i="7" s="1"/>
  <c r="M60" i="12"/>
  <c r="N60" i="12" s="1"/>
  <c r="M58" i="10"/>
  <c r="N58" i="10" s="1"/>
  <c r="K65" i="9"/>
  <c r="M56" i="8"/>
  <c r="N56" i="8" s="1"/>
  <c r="J64" i="12"/>
  <c r="M64" i="12"/>
  <c r="N64" i="12" s="1"/>
  <c r="M55" i="9"/>
  <c r="N55" i="9" s="1"/>
  <c r="M63" i="7"/>
  <c r="N63" i="7" s="1"/>
  <c r="G44" i="14"/>
  <c r="H44" i="14" s="1"/>
  <c r="K65" i="14"/>
  <c r="M58" i="12"/>
  <c r="N58" i="12" s="1"/>
  <c r="L65" i="11"/>
  <c r="M64" i="9"/>
  <c r="N64" i="9" s="1"/>
  <c r="M55" i="8"/>
  <c r="N55" i="8" s="1"/>
  <c r="F89" i="10"/>
  <c r="G89" i="10"/>
  <c r="H89" i="10" s="1"/>
  <c r="F44" i="7"/>
  <c r="G44" i="7"/>
  <c r="M53" i="9"/>
  <c r="N53" i="9" s="1"/>
  <c r="M64" i="10"/>
  <c r="N64" i="10" s="1"/>
  <c r="M57" i="12"/>
  <c r="N57" i="12" s="1"/>
  <c r="M59" i="9"/>
  <c r="N59" i="9" s="1"/>
  <c r="H43" i="12"/>
  <c r="H43" i="9"/>
  <c r="G46" i="9"/>
  <c r="H46" i="9" s="1"/>
  <c r="J55" i="11"/>
  <c r="M55" i="11"/>
  <c r="N55" i="11" s="1"/>
  <c r="J56" i="14"/>
  <c r="J63" i="14"/>
  <c r="J59" i="8"/>
  <c r="I65" i="9"/>
  <c r="G89" i="12"/>
  <c r="F89" i="12"/>
  <c r="M57" i="13"/>
  <c r="N57" i="13" s="1"/>
  <c r="J57" i="13"/>
  <c r="M56" i="13"/>
  <c r="N56" i="13" s="1"/>
  <c r="F65" i="14"/>
  <c r="J51" i="14"/>
  <c r="F43" i="12"/>
  <c r="E46" i="12"/>
  <c r="F46" i="12" s="1"/>
  <c r="E46" i="13"/>
  <c r="F46" i="13" s="1"/>
  <c r="F43" i="13"/>
  <c r="G43" i="13"/>
  <c r="E92" i="12"/>
  <c r="F92" i="12" s="1"/>
  <c r="L65" i="14"/>
  <c r="J57" i="8"/>
  <c r="M57" i="8"/>
  <c r="N57" i="8" s="1"/>
  <c r="J58" i="13"/>
  <c r="M63" i="10"/>
  <c r="N63" i="10" s="1"/>
  <c r="J62" i="12"/>
  <c r="M62" i="12"/>
  <c r="N62" i="12" s="1"/>
  <c r="J60" i="9"/>
  <c r="J52" i="9"/>
  <c r="J53" i="8"/>
  <c r="M52" i="13"/>
  <c r="N52" i="13" s="1"/>
  <c r="E46" i="8"/>
  <c r="F46" i="8" s="1"/>
  <c r="F43" i="8"/>
  <c r="G43" i="8"/>
  <c r="M62" i="11"/>
  <c r="N62" i="11" s="1"/>
  <c r="J52" i="12"/>
  <c r="J60" i="8"/>
  <c r="M54" i="12"/>
  <c r="N54" i="12" s="1"/>
  <c r="M59" i="10"/>
  <c r="N59" i="10" s="1"/>
  <c r="J59" i="10"/>
  <c r="J54" i="13"/>
  <c r="M54" i="13"/>
  <c r="N54" i="13" s="1"/>
  <c r="F65" i="12"/>
  <c r="F44" i="11"/>
  <c r="G44" i="11"/>
  <c r="H44" i="11" s="1"/>
  <c r="N51" i="8"/>
  <c r="J63" i="8"/>
  <c r="G65" i="12"/>
  <c r="I51" i="12"/>
  <c r="M51" i="12" s="1"/>
  <c r="M51" i="13"/>
  <c r="F65" i="13"/>
  <c r="G44" i="8"/>
  <c r="H44" i="8" s="1"/>
  <c r="F44" i="8"/>
  <c r="J61" i="8"/>
  <c r="F89" i="8"/>
  <c r="E92" i="8"/>
  <c r="F92" i="8" s="1"/>
  <c r="G89" i="8"/>
  <c r="F92" i="11"/>
  <c r="F65" i="10"/>
  <c r="M51" i="10"/>
  <c r="M52" i="11"/>
  <c r="N52" i="11" s="1"/>
  <c r="F65" i="11"/>
  <c r="F43" i="10"/>
  <c r="E46" i="10"/>
  <c r="F46" i="10" s="1"/>
  <c r="M60" i="11"/>
  <c r="N60" i="11" s="1"/>
  <c r="K51" i="12"/>
  <c r="K65" i="12" s="1"/>
  <c r="F89" i="13"/>
  <c r="G89" i="13"/>
  <c r="I52" i="14"/>
  <c r="G65" i="11"/>
  <c r="I51" i="11"/>
  <c r="K51" i="11"/>
  <c r="K65" i="11" s="1"/>
  <c r="J51" i="13"/>
  <c r="I65" i="13"/>
  <c r="J65" i="13" s="1"/>
  <c r="J61" i="11"/>
  <c r="J58" i="10"/>
  <c r="I65" i="8"/>
  <c r="J51" i="8"/>
  <c r="G45" i="8"/>
  <c r="H45" i="8" s="1"/>
  <c r="F45" i="8"/>
  <c r="J53" i="9"/>
  <c r="E46" i="14"/>
  <c r="F46" i="14" s="1"/>
  <c r="F43" i="14"/>
  <c r="G43" i="14"/>
  <c r="J54" i="10"/>
  <c r="M54" i="9"/>
  <c r="N54" i="9" s="1"/>
  <c r="M56" i="10"/>
  <c r="N56" i="10" s="1"/>
  <c r="K65" i="13"/>
  <c r="M55" i="13"/>
  <c r="N55" i="13" s="1"/>
  <c r="H87" i="11"/>
  <c r="J60" i="12"/>
  <c r="I65" i="10"/>
  <c r="J65" i="10" s="1"/>
  <c r="J51" i="10"/>
  <c r="F65" i="8"/>
  <c r="J53" i="10"/>
  <c r="E46" i="9"/>
  <c r="F46" i="9" s="1"/>
  <c r="F43" i="9"/>
  <c r="J62" i="10"/>
  <c r="J55" i="14"/>
  <c r="H87" i="10"/>
  <c r="G92" i="10"/>
  <c r="H92" i="10" s="1"/>
  <c r="L65" i="13"/>
  <c r="G43" i="11"/>
  <c r="E46" i="11"/>
  <c r="F46" i="11" s="1"/>
  <c r="F43" i="11"/>
  <c r="M57" i="11"/>
  <c r="N57" i="11" s="1"/>
  <c r="J57" i="11"/>
  <c r="M51" i="9"/>
  <c r="F65" i="9"/>
  <c r="M55" i="10"/>
  <c r="N55" i="10" s="1"/>
  <c r="G45" i="12"/>
  <c r="H45" i="12" s="1"/>
  <c r="F45" i="12"/>
  <c r="M57" i="14"/>
  <c r="N57" i="14" s="1"/>
  <c r="J60" i="13"/>
  <c r="M60" i="13"/>
  <c r="N60" i="13" s="1"/>
  <c r="M61" i="10"/>
  <c r="N61" i="10" s="1"/>
  <c r="J55" i="12"/>
  <c r="M55" i="12"/>
  <c r="N55" i="12" s="1"/>
  <c r="J63" i="11"/>
  <c r="M63" i="11"/>
  <c r="N63" i="11" s="1"/>
  <c r="G43" i="10"/>
  <c r="J63" i="12"/>
  <c r="M63" i="12"/>
  <c r="N63" i="12" s="1"/>
  <c r="F89" i="11"/>
  <c r="G89" i="11"/>
  <c r="H89" i="11" s="1"/>
  <c r="K65" i="10"/>
  <c r="M51" i="14"/>
  <c r="J61" i="13"/>
  <c r="L65" i="8"/>
  <c r="J52" i="8"/>
  <c r="K65" i="8"/>
  <c r="J52" i="10"/>
  <c r="F92" i="9"/>
  <c r="J53" i="7"/>
  <c r="K65" i="7"/>
  <c r="M59" i="7"/>
  <c r="N59" i="7" s="1"/>
  <c r="M56" i="7"/>
  <c r="N56" i="7" s="1"/>
  <c r="I65" i="7"/>
  <c r="J65" i="7" s="1"/>
  <c r="J51" i="7"/>
  <c r="F89" i="7"/>
  <c r="E92" i="7"/>
  <c r="F92" i="7" s="1"/>
  <c r="M51" i="7"/>
  <c r="M58" i="7"/>
  <c r="N58" i="7" s="1"/>
  <c r="F65" i="7"/>
  <c r="M62" i="7"/>
  <c r="N62" i="7" s="1"/>
  <c r="J61" i="7"/>
  <c r="G89" i="7"/>
  <c r="M57" i="7"/>
  <c r="N57" i="7" s="1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G44" i="3"/>
  <c r="H44" i="3" s="1"/>
  <c r="M56" i="3"/>
  <c r="N56" i="3" s="1"/>
  <c r="J58" i="3"/>
  <c r="E44" i="3"/>
  <c r="F44" i="3" s="1"/>
  <c r="H44" i="7" l="1"/>
  <c r="G46" i="7"/>
  <c r="H46" i="7" s="1"/>
  <c r="M65" i="8"/>
  <c r="N65" i="8" s="1"/>
  <c r="H43" i="10"/>
  <c r="G46" i="10"/>
  <c r="H46" i="10" s="1"/>
  <c r="M65" i="13"/>
  <c r="N65" i="13" s="1"/>
  <c r="N51" i="13"/>
  <c r="N51" i="12"/>
  <c r="M65" i="12"/>
  <c r="N65" i="12" s="1"/>
  <c r="H89" i="8"/>
  <c r="G92" i="8"/>
  <c r="H92" i="8" s="1"/>
  <c r="I65" i="12"/>
  <c r="J65" i="12" s="1"/>
  <c r="J51" i="12"/>
  <c r="G46" i="13"/>
  <c r="H46" i="13" s="1"/>
  <c r="H43" i="13"/>
  <c r="N51" i="14"/>
  <c r="G46" i="11"/>
  <c r="H46" i="11" s="1"/>
  <c r="H43" i="11"/>
  <c r="G46" i="8"/>
  <c r="H46" i="8" s="1"/>
  <c r="H43" i="8"/>
  <c r="H89" i="12"/>
  <c r="G92" i="12"/>
  <c r="H92" i="12" s="1"/>
  <c r="J51" i="11"/>
  <c r="I65" i="11"/>
  <c r="J65" i="11" s="1"/>
  <c r="M51" i="11"/>
  <c r="M65" i="9"/>
  <c r="N65" i="9" s="1"/>
  <c r="N51" i="9"/>
  <c r="J65" i="8"/>
  <c r="J52" i="14"/>
  <c r="M52" i="14"/>
  <c r="N52" i="14" s="1"/>
  <c r="J65" i="9"/>
  <c r="H43" i="14"/>
  <c r="G46" i="14"/>
  <c r="H46" i="14" s="1"/>
  <c r="H89" i="13"/>
  <c r="G92" i="13"/>
  <c r="H92" i="13" s="1"/>
  <c r="N51" i="10"/>
  <c r="M65" i="10"/>
  <c r="N65" i="10" s="1"/>
  <c r="I65" i="14"/>
  <c r="J65" i="14" s="1"/>
  <c r="G92" i="11"/>
  <c r="H92" i="11" s="1"/>
  <c r="G46" i="12"/>
  <c r="H46" i="12" s="1"/>
  <c r="M65" i="7"/>
  <c r="N65" i="7" s="1"/>
  <c r="N51" i="7"/>
  <c r="H89" i="7"/>
  <c r="G92" i="7"/>
  <c r="H92" i="7" s="1"/>
  <c r="J61" i="3"/>
  <c r="N49" i="3"/>
  <c r="M61" i="3"/>
  <c r="N61" i="3" s="1"/>
  <c r="M65" i="14" l="1"/>
  <c r="N65" i="14" s="1"/>
  <c r="M65" i="11"/>
  <c r="N65" i="11" s="1"/>
  <c r="N51" i="11"/>
  <c r="E69" i="4"/>
  <c r="F69" i="4" s="1"/>
  <c r="E68" i="4"/>
  <c r="F68" i="4" s="1"/>
  <c r="G68" i="4"/>
  <c r="G66" i="4"/>
  <c r="E66" i="4"/>
  <c r="F66" i="4" s="1"/>
  <c r="E65" i="4"/>
  <c r="G65" i="4"/>
  <c r="F60" i="4"/>
  <c r="F59" i="4"/>
  <c r="H58" i="4"/>
  <c r="L58" i="4" s="1"/>
  <c r="G58" i="4"/>
  <c r="I58" i="4" s="1"/>
  <c r="F58" i="4"/>
  <c r="F57" i="4"/>
  <c r="F56" i="4"/>
  <c r="H55" i="4"/>
  <c r="L55" i="4"/>
  <c r="F55" i="4"/>
  <c r="F54" i="4"/>
  <c r="M54" i="4" s="1"/>
  <c r="G53" i="4"/>
  <c r="K53" i="4" s="1"/>
  <c r="F53" i="4"/>
  <c r="F52" i="4"/>
  <c r="F51" i="4"/>
  <c r="H50" i="4"/>
  <c r="L50" i="4" s="1"/>
  <c r="G50" i="4"/>
  <c r="I50" i="4" s="1"/>
  <c r="J50" i="4" s="1"/>
  <c r="F50" i="4"/>
  <c r="E61" i="4"/>
  <c r="D61" i="4"/>
  <c r="D44" i="4"/>
  <c r="P21" i="4"/>
  <c r="E67" i="4" s="1"/>
  <c r="F67" i="4" s="1"/>
  <c r="P20" i="4"/>
  <c r="Q19" i="4"/>
  <c r="H60" i="4" s="1"/>
  <c r="L60" i="4" s="1"/>
  <c r="P19" i="4"/>
  <c r="G60" i="4" s="1"/>
  <c r="Q18" i="4"/>
  <c r="H59" i="4" s="1"/>
  <c r="L59" i="4" s="1"/>
  <c r="P18" i="4"/>
  <c r="G59" i="4" s="1"/>
  <c r="Q17" i="4"/>
  <c r="P17" i="4"/>
  <c r="Q16" i="4"/>
  <c r="H57" i="4" s="1"/>
  <c r="L57" i="4" s="1"/>
  <c r="P16" i="4"/>
  <c r="G57" i="4" s="1"/>
  <c r="Q15" i="4"/>
  <c r="H56" i="4" s="1"/>
  <c r="P15" i="4"/>
  <c r="G56" i="4" s="1"/>
  <c r="Q14" i="4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Q11" i="4"/>
  <c r="H52" i="4" s="1"/>
  <c r="L52" i="4" s="1"/>
  <c r="P11" i="4"/>
  <c r="G52" i="4" s="1"/>
  <c r="Q10" i="4"/>
  <c r="H51" i="4" s="1"/>
  <c r="L51" i="4" s="1"/>
  <c r="P10" i="4"/>
  <c r="G51" i="4" s="1"/>
  <c r="Q9" i="4"/>
  <c r="P9" i="4"/>
  <c r="E41" i="4" s="1"/>
  <c r="Q8" i="4"/>
  <c r="H49" i="4" s="1"/>
  <c r="P8" i="4"/>
  <c r="G49" i="4" s="1"/>
  <c r="Q7" i="4"/>
  <c r="P7" i="4"/>
  <c r="N7" i="6"/>
  <c r="M7" i="6"/>
  <c r="D45" i="6"/>
  <c r="E43" i="5"/>
  <c r="E90" i="6"/>
  <c r="D90" i="6"/>
  <c r="G90" i="6" s="1"/>
  <c r="C3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7" i="6"/>
  <c r="E87" i="6"/>
  <c r="D88" i="6"/>
  <c r="E88" i="6"/>
  <c r="D89" i="6"/>
  <c r="D91" i="6"/>
  <c r="E91" i="6"/>
  <c r="Q8" i="5"/>
  <c r="Q7" i="5"/>
  <c r="P7" i="5"/>
  <c r="P13" i="5"/>
  <c r="G54" i="5" s="1"/>
  <c r="P12" i="5"/>
  <c r="G53" i="5" s="1"/>
  <c r="P11" i="5"/>
  <c r="G52" i="5" s="1"/>
  <c r="P10" i="5"/>
  <c r="G51" i="5" s="1"/>
  <c r="P9" i="5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E70" i="5" s="1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E67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G50" i="5"/>
  <c r="H49" i="5"/>
  <c r="D65" i="6" l="1"/>
  <c r="N53" i="6"/>
  <c r="N59" i="6"/>
  <c r="F58" i="6"/>
  <c r="F52" i="6"/>
  <c r="F91" i="6"/>
  <c r="G91" i="6"/>
  <c r="K50" i="4"/>
  <c r="K58" i="4"/>
  <c r="E41" i="5"/>
  <c r="M50" i="4"/>
  <c r="N50" i="4" s="1"/>
  <c r="M58" i="4"/>
  <c r="N58" i="4" s="1"/>
  <c r="G67" i="4"/>
  <c r="E43" i="4"/>
  <c r="I56" i="4"/>
  <c r="J56" i="4" s="1"/>
  <c r="G69" i="4"/>
  <c r="H69" i="4" s="1"/>
  <c r="F87" i="6"/>
  <c r="F88" i="6"/>
  <c r="F62" i="6"/>
  <c r="F61" i="6"/>
  <c r="F56" i="6"/>
  <c r="L64" i="6"/>
  <c r="E89" i="6"/>
  <c r="F89" i="6" s="1"/>
  <c r="J58" i="4"/>
  <c r="H66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M60" i="4"/>
  <c r="N60" i="4" s="1"/>
  <c r="E70" i="4"/>
  <c r="K57" i="4"/>
  <c r="I57" i="4"/>
  <c r="J57" i="4" s="1"/>
  <c r="H65" i="4"/>
  <c r="H61" i="4"/>
  <c r="L49" i="4"/>
  <c r="L61" i="4" s="1"/>
  <c r="E44" i="4"/>
  <c r="F44" i="4" s="1"/>
  <c r="G41" i="4"/>
  <c r="F41" i="4"/>
  <c r="J54" i="4"/>
  <c r="K52" i="4"/>
  <c r="I52" i="4"/>
  <c r="J52" i="4" s="1"/>
  <c r="G61" i="4"/>
  <c r="K49" i="4"/>
  <c r="I49" i="4"/>
  <c r="G42" i="4"/>
  <c r="H42" i="4" s="1"/>
  <c r="M53" i="4"/>
  <c r="N53" i="4" s="1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0" i="6"/>
  <c r="F64" i="6"/>
  <c r="F57" i="6"/>
  <c r="L57" i="6"/>
  <c r="D46" i="6"/>
  <c r="I61" i="6"/>
  <c r="I64" i="6"/>
  <c r="L61" i="6"/>
  <c r="I51" i="6"/>
  <c r="I63" i="6"/>
  <c r="L56" i="6"/>
  <c r="I62" i="6"/>
  <c r="K56" i="6"/>
  <c r="K52" i="6"/>
  <c r="L55" i="6"/>
  <c r="I55" i="6"/>
  <c r="L58" i="6"/>
  <c r="H90" i="6"/>
  <c r="L51" i="6"/>
  <c r="L62" i="6"/>
  <c r="I54" i="6"/>
  <c r="K62" i="6"/>
  <c r="I60" i="6"/>
  <c r="L52" i="6"/>
  <c r="E44" i="6"/>
  <c r="G44" i="6" s="1"/>
  <c r="H44" i="6" s="1"/>
  <c r="H91" i="6"/>
  <c r="K61" i="6"/>
  <c r="L60" i="6"/>
  <c r="E43" i="6"/>
  <c r="K60" i="6"/>
  <c r="I56" i="6"/>
  <c r="K51" i="6"/>
  <c r="K58" i="6"/>
  <c r="K65" i="6" s="1"/>
  <c r="K63" i="6"/>
  <c r="F45" i="6"/>
  <c r="K57" i="6"/>
  <c r="I57" i="6"/>
  <c r="D92" i="6"/>
  <c r="K64" i="6"/>
  <c r="F63" i="6"/>
  <c r="K55" i="6"/>
  <c r="F54" i="6"/>
  <c r="I52" i="6"/>
  <c r="J52" i="6" s="1"/>
  <c r="G88" i="6"/>
  <c r="H88" i="6" s="1"/>
  <c r="F60" i="6"/>
  <c r="K54" i="6"/>
  <c r="G87" i="6"/>
  <c r="E42" i="5"/>
  <c r="E44" i="5" s="1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F42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G41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J58" i="6" l="1"/>
  <c r="F65" i="6"/>
  <c r="J65" i="6" s="1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K6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N51" i="6" s="1"/>
  <c r="J63" i="6"/>
  <c r="M58" i="6"/>
  <c r="F44" i="6"/>
  <c r="M63" i="6"/>
  <c r="N63" i="6" s="1"/>
  <c r="E46" i="6"/>
  <c r="F46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89" i="6"/>
  <c r="H89" i="6" s="1"/>
  <c r="J54" i="6"/>
  <c r="H87" i="6"/>
  <c r="M52" i="6"/>
  <c r="N52" i="6" s="1"/>
  <c r="E92" i="6"/>
  <c r="F92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8" i="6" l="1"/>
  <c r="M65" i="6"/>
  <c r="N65" i="6" s="1"/>
  <c r="J61" i="4"/>
  <c r="G44" i="4"/>
  <c r="H44" i="4" s="1"/>
  <c r="N49" i="4"/>
  <c r="M61" i="4"/>
  <c r="N61" i="4" s="1"/>
  <c r="G46" i="6"/>
  <c r="H46" i="6" s="1"/>
  <c r="G92" i="6"/>
  <c r="H92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<sst xmlns="http://schemas.openxmlformats.org/spreadsheetml/2006/main" count="1835" uniqueCount="185">
  <si>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</si>
  <si>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</si>
  <si>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</si>
  <si>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</si>
  <si>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</si>
  <si>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</si>
  <si>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</si>
  <si>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</si>
  <si>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</si>
  <si>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</si>
  <si>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</si>
  <si>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</si>
  <si>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</si>
  <si>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</si>
  <si>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</si>
  <si>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</si>
  <si>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</si>
  <si>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</si>
  <si>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</si>
  <si>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</si>
  <si>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</si>
  <si>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</si>
  <si>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</si>
  <si>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</si>
  <si>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</si>
  <si>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</si>
  <si>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</si>
  <si>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</si>
  <si>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</si>
  <si>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</si>
  <si>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</si>
  <si>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</si>
  <si>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</si>
  <si>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</si>
  <si>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</si>
  <si>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</si>
  <si>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</si>
  <si>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</si>
  <si>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</si>
  <si>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</si>
  <si>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</si>
  <si>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</si>
  <si>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</si>
  <si>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</si>
  <si>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</si>
  <si>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</si>
  <si>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</si>
  <si>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</si>
  <si>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</si>
  <si>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</si>
  <si>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</si>
  <si>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</si>
  <si>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</si>
  <si>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</si>
  <si>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</si>
  <si>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</si>
  <si>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</si>
  <si>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</si>
  <si>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</si>
  <si>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</si>
  <si>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</si>
  <si>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</si>
  <si>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</si>
  <si>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</si>
  <si>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</si>
  <si>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</si>
  <si>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</si>
  <si>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</si>
  <si>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</si>
  <si>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</si>
  <si>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</si>
  <si>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</si>
  <si>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</si>
  <si>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</si>
  <si>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</si>
  <si>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</si>
  <si>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</si>
  <si>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</si>
  <si>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</si>
  <si>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</si>
  <si>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</si>
  <si>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</si>
  <si>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</si>
  <si>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</si>
  <si>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</si>
  <si>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</si>
  <si>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</si>
  <si>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</si>
  <si>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</si>
  <si>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</si>
  <si>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</si>
  <si>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</si>
  <si>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</si>
  <si>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</si>
  <si>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</si>
  <si>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</si>
  <si>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</si>
  <si>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</si>
  <si>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</si>
  <si>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</si>
  <si>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</si>
  <si>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</si>
  <si>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</si>
  <si>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</si>
  <si>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</si>
  <si>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</si>
  <si>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</si>
  <si>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</si>
  <si>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</si>
  <si>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</si>
  <si>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</si>
  <si>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</si>
  <si>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</si>
  <si>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</si>
  <si>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</si>
  <si>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</si>
  <si>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</si>
  <si>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</si>
  <si>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</si>
  <si>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</si>
  <si>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</si>
  <si>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</si>
  <si>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</si>
  <si>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</si>
  <si>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</si>
  <si>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</si>
  <si>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</si>
  <si>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</si>
  <si>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</si>
  <si>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</si>
  <si>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</si>
  <si>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</si>
  <si>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</si>
  <si>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</si>
  <si>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</si>
  <si>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</si>
  <si>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</si>
  <si>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</si>
  <si>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</si>
  <si>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</si>
  <si>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</si>
  <si>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</si>
  <si>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</si>
  <si>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</si>
  <si>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</si>
  <si>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</si>
  <si>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</si>
  <si>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</si>
  <si>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</si>
  <si>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</si>
  <si>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</si>
  <si>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</si>
  <si>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</si>
  <si>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</si>
  <si>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</si>
  <si>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</si>
  <si>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</si>
  <si>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</si>
  <si>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</si>
  <si>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GLOBAL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</si>
  <si>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</si>
  <si>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</si>
  <si>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</si>
  <si>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</si>
  <si>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</si>
  <si>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</si>
  <si>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</si>
  <si>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</si>
  <si>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</si>
  <si>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</si>
  <si>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</si>
  <si>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</si>
  <si>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</si>
  <si>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DATA PENCAPAIAN — GLOBAL — 20 APRIL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</si>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</sst>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#,##0.#0"/>
  </numFmts>
  <fonts count="3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19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6" borderId="1" xfId="0" applyNumberFormat="1" applyFont="1" applyFill="1" applyBorder="1" applyAlignment="1">
      <alignment horizontal="center" vertical="center"/>
    </xf>
    <xf numFmtId="41" fontId="26" fillId="26" borderId="1" xfId="0" applyNumberFormat="1" applyFont="1" applyFill="1" applyBorder="1" applyAlignment="1">
      <alignment horizontal="right" vertical="center"/>
    </xf>
    <xf numFmtId="9" fontId="25" fillId="26" borderId="1" xfId="0" applyNumberFormat="1" applyFont="1" applyFill="1" applyBorder="1" applyAlignment="1">
      <alignment horizontal="center" vertical="center" wrapText="1"/>
    </xf>
    <xf numFmtId="3" fontId="26" fillId="26" borderId="1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9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8"/>
  <sheetViews>
    <sheetView showGridLines="0" zoomScale="110" zoomScaleNormal="110" workbookViewId="0">
      <selection activeCell="B10" sqref="B10:C18"/>
    </sheetView>
  </sheetViews>
  <sheetFormatPr baseColWidth="10" defaultColWidth="8.6640625" defaultRowHeight="15" x14ac:dyDescent="0.2"/>
  <cols>
    <col min="1" max="1" width="3" customWidth="1"/>
    <col min="2" max="2" width="17.5" bestFit="1" customWidth="1"/>
    <col min="3" max="3" width="64.83203125" bestFit="1" customWidth="1"/>
  </cols>
  <sheetData>
    <row r="1" spans="2:3" ht="18" x14ac:dyDescent="0.2">
      <c r="B1" s="178" t="s">
        <v>0</v>
      </c>
      <c r="C1" s="178"/>
    </row>
    <row r="3" spans="2:3" x14ac:dyDescent="0.2">
      <c r="B3" s="179" t="s">
        <v>1</v>
      </c>
      <c r="C3" s="179"/>
    </row>
    <row r="4" spans="2:3" x14ac:dyDescent="0.2">
      <c r="B4" s="1" t="s">
        <v>2</v>
      </c>
      <c r="C4" s="2" t="s">
        <v>3</v>
      </c>
    </row>
    <row r="5" spans="2:3" x14ac:dyDescent="0.2">
      <c r="B5" s="1" t="s">
        <v>4</v>
      </c>
      <c r="C5" s="2" t="s">
        <v>5</v>
      </c>
    </row>
    <row r="6" spans="2:3" x14ac:dyDescent="0.2">
      <c r="B6" s="1" t="s">
        <v>6</v>
      </c>
      <c r="C6" s="2" t="s">
        <v>7</v>
      </c>
    </row>
    <row r="7" spans="2:3" x14ac:dyDescent="0.2">
      <c r="B7" s="1" t="s">
        <v>8</v>
      </c>
      <c r="C7" s="2" t="s">
        <v>9</v>
      </c>
    </row>
    <row r="8" spans="2:3" x14ac:dyDescent="0.2">
      <c r="B8" s="1" t="s">
        <v>10</v>
      </c>
      <c r="C8" s="2" t="s">
        <v>11</v>
      </c>
    </row>
    <row r="9" spans="2:3" x14ac:dyDescent="0.2">
      <c r="B9" s="1" t="s">
        <v>12</v>
      </c>
      <c r="C9" s="2" t="s">
        <v>13</v>
      </c>
    </row>
    <row r="11" spans="2:3" x14ac:dyDescent="0.2">
      <c r="B11" s="180" t="s">
        <v>14</v>
      </c>
      <c r="C11" s="180"/>
    </row>
    <row r="12" spans="2:3" x14ac:dyDescent="0.2">
      <c r="B12" s="1" t="s">
        <v>15</v>
      </c>
      <c r="C12" s="2" t="s">
        <v>16</v>
      </c>
    </row>
    <row r="13" spans="2:3" x14ac:dyDescent="0.2">
      <c r="B13" s="1" t="s">
        <v>15</v>
      </c>
      <c r="C13" s="2" t="s">
        <v>17</v>
      </c>
    </row>
    <row r="14" spans="2:3" x14ac:dyDescent="0.2">
      <c r="B14" s="1" t="s">
        <v>18</v>
      </c>
      <c r="C14" s="2" t="s">
        <v>19</v>
      </c>
    </row>
    <row r="15" spans="2:3" x14ac:dyDescent="0.2">
      <c r="B15" s="1" t="s">
        <v>18</v>
      </c>
      <c r="C15" s="2" t="s">
        <v>20</v>
      </c>
    </row>
    <row r="16" spans="2:3" x14ac:dyDescent="0.2">
      <c r="B16" s="1" t="s">
        <v>21</v>
      </c>
      <c r="C16" s="2" t="s">
        <v>22</v>
      </c>
    </row>
    <row r="17" spans="2:3" x14ac:dyDescent="0.2">
      <c r="B17" s="1" t="s">
        <v>23</v>
      </c>
      <c r="C17" s="2" t="s">
        <v>24</v>
      </c>
    </row>
    <row r="18" spans="2:3" x14ac:dyDescent="0.2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29"/>
  <sheetViews>
    <sheetView showGridLines="0" topLeftCell="D1" zoomScale="165" zoomScaleNormal="100" workbookViewId="0">
      <selection activeCell="L5" sqref="L5"/>
    </sheetView>
  </sheetViews>
  <sheetFormatPr baseColWidth="10" defaultColWidth="8.6640625" defaultRowHeight="15" x14ac:dyDescent="0.2"/>
  <cols>
    <col min="1" max="1" width="2" customWidth="1"/>
    <col min="2" max="2" width="32" customWidth="1"/>
    <col min="3" max="3" width="14.33203125" bestFit="1" customWidth="1"/>
    <col min="4" max="6" width="12.6640625" bestFit="1" customWidth="1"/>
    <col min="7" max="7" width="12.83203125" bestFit="1" customWidth="1"/>
    <col min="8" max="8" width="12.6640625" bestFit="1" customWidth="1"/>
    <col min="9" max="9" width="11.1640625" bestFit="1" customWidth="1"/>
    <col min="10" max="11" width="11.33203125" bestFit="1" customWidth="1"/>
    <col min="12" max="12" width="9.5" bestFit="1" customWidth="1"/>
    <col min="13" max="13" width="8.1640625" bestFit="1" customWidth="1"/>
    <col min="14" max="14" width="9.83203125" bestFit="1" customWidth="1"/>
    <col min="15" max="15" width="8.5" bestFit="1" customWidth="1"/>
    <col min="16" max="16" width="9.6640625" bestFit="1" customWidth="1"/>
    <col min="17" max="17" width="8.33203125" bestFit="1" customWidth="1"/>
    <col min="18" max="18" width="10.33203125" bestFit="1" customWidth="1"/>
    <col min="19" max="19" width="8.83203125" bestFit="1" customWidth="1"/>
    <col min="20" max="20" width="10" bestFit="1" customWidth="1"/>
    <col min="22" max="22" width="10.1640625" bestFit="1" customWidth="1"/>
    <col min="24" max="24" width="10.1640625" bestFit="1" customWidth="1"/>
    <col min="25" max="25" width="8.83203125" bestFit="1" customWidth="1"/>
    <col min="26" max="26" width="10" bestFit="1" customWidth="1"/>
  </cols>
  <sheetData>
    <row r="1" spans="2:27" ht="18" x14ac:dyDescent="0.2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">
      <c r="B3" s="179" t="s">
        <v>28</v>
      </c>
      <c r="C3" s="179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x14ac:dyDescent="0.2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">
      <c r="B7" s="145" t="s">
        <v>178</v>
      </c>
      <c r="C7" s="146" t="s">
        <v>179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">
      <c r="B13" s="145" t="s">
        <v>178</v>
      </c>
      <c r="C13" s="146" t="s">
        <v>180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x14ac:dyDescent="0.2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">
      <c r="B29" s="181" t="s">
        <v>102</v>
      </c>
      <c r="C29" s="181"/>
      <c r="D29" s="181"/>
      <c r="E29" s="181"/>
      <c r="F29" s="181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zoomScaleNormal="100" workbookViewId="0">
      <selection activeCell="C3" sqref="C3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6" width="12.6640625" bestFit="1" customWidth="1"/>
    <col min="7" max="7" width="13.6640625" bestFit="1" customWidth="1"/>
    <col min="8" max="8" width="9" bestFit="1" customWidth="1"/>
    <col min="9" max="9" width="4.83203125" bestFit="1" customWidth="1"/>
    <col min="10" max="10" width="3.5" bestFit="1" customWidth="1"/>
    <col min="11" max="13" width="12.6640625" bestFit="1" customWidth="1"/>
    <col min="14" max="14" width="8.1640625" bestFit="1" customWidth="1"/>
    <col min="16" max="16" width="13.33203125" bestFit="1" customWidth="1"/>
    <col min="17" max="17" width="12" bestFit="1" customWidth="1"/>
  </cols>
  <sheetData>
    <row r="1" spans="2:17" ht="19" x14ac:dyDescent="0.2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>IFERROR(G43/C3,0)</f>
        <v>0</v>
      </c>
    </row>
    <row r="44" spans="2:14" x14ac:dyDescent="0.2">
      <c r="B44" s="183" t="s">
        <v>146</v>
      </c>
      <c r="C44" s="184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185" t="s">
        <v>41</v>
      </c>
      <c r="C47" s="185" t="s">
        <v>42</v>
      </c>
      <c r="D47" s="186" t="s">
        <v>138</v>
      </c>
      <c r="E47" s="187"/>
      <c r="F47" s="188"/>
      <c r="G47" s="101" t="s">
        <v>139</v>
      </c>
      <c r="H47" s="101"/>
      <c r="I47" s="101"/>
      <c r="J47" s="185" t="s">
        <v>140</v>
      </c>
      <c r="K47" s="102" t="s">
        <v>148</v>
      </c>
      <c r="L47" s="102"/>
      <c r="M47" s="102"/>
      <c r="N47" s="182" t="s">
        <v>149</v>
      </c>
    </row>
    <row r="48" spans="2:14" ht="16" x14ac:dyDescent="0.2">
      <c r="B48" s="185"/>
      <c r="C48" s="185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185"/>
      <c r="K48" s="104" t="s">
        <v>143</v>
      </c>
      <c r="L48" s="104" t="s">
        <v>111</v>
      </c>
      <c r="M48" s="104" t="s">
        <v>146</v>
      </c>
      <c r="N48" s="182"/>
    </row>
    <row r="49" spans="2:14" x14ac:dyDescent="0.2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>IFERROR(M49/C3,0)</f>
        <v>0</v>
      </c>
    </row>
    <row r="50" spans="2:14" x14ac:dyDescent="0.2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>IFERROR(M50/C3,0)</f>
        <v>0</v>
      </c>
    </row>
    <row r="51" spans="2:14" x14ac:dyDescent="0.2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>IFERROR(M51/C3,0)</f>
        <v>0</v>
      </c>
    </row>
    <row r="52" spans="2:14" x14ac:dyDescent="0.2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>IFERROR(M52/C3,0)</f>
        <v>0</v>
      </c>
    </row>
    <row r="53" spans="2:14" x14ac:dyDescent="0.2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>IFERROR(M53/C3,0)</f>
        <v>0</v>
      </c>
    </row>
    <row r="54" spans="2:14" x14ac:dyDescent="0.2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>IFERROR(M54/C3,0)</f>
        <v>0</v>
      </c>
    </row>
    <row r="55" spans="2:14" x14ac:dyDescent="0.2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>IFERROR(M55/C3,0)</f>
        <v>0</v>
      </c>
    </row>
    <row r="56" spans="2:14" x14ac:dyDescent="0.2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>IFERROR(M56/C3,0)</f>
        <v>0</v>
      </c>
    </row>
    <row r="57" spans="2:14" x14ac:dyDescent="0.2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>IFERROR(M57/C3,0)</f>
        <v>0</v>
      </c>
    </row>
    <row r="58" spans="2:14" x14ac:dyDescent="0.2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>IFERROR(M58/C3,0)</f>
        <v>0</v>
      </c>
    </row>
    <row r="59" spans="2:14" x14ac:dyDescent="0.2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>IFERROR(M59/C3,0)</f>
        <v>0</v>
      </c>
    </row>
    <row r="60" spans="2:14" x14ac:dyDescent="0.2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>IFERROR(G65/C3,0)</f>
        <v>0</v>
      </c>
    </row>
    <row r="66" spans="2:8" x14ac:dyDescent="0.2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>IFERROR(G66/C3,0)</f>
        <v>0</v>
      </c>
    </row>
    <row r="67" spans="2:8" x14ac:dyDescent="0.2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>IFERROR(G67/C3,0)</f>
        <v>0</v>
      </c>
    </row>
    <row r="68" spans="2:8" x14ac:dyDescent="0.2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95" priority="1">
      <formula>F41&gt;=$F$40</formula>
    </cfRule>
  </conditionalFormatting>
  <conditionalFormatting sqref="F41:F43">
    <cfRule type="expression" dxfId="94" priority="2">
      <formula>AND(F41&gt;=$F$40-0.2,F41&lt;$F$40)</formula>
    </cfRule>
    <cfRule type="expression" dxfId="93" priority="3">
      <formula>F41&lt;$F$40-0.2</formula>
    </cfRule>
  </conditionalFormatting>
  <conditionalFormatting sqref="J49:J60">
    <cfRule type="expression" dxfId="92" priority="4">
      <formula>J49&gt;=$F$40-0.05</formula>
    </cfRule>
    <cfRule type="expression" dxfId="91" priority="5">
      <formula>AND(J49&gt;=$F$40-0.2,J49&lt;$F$40-0.05)</formula>
    </cfRule>
    <cfRule type="expression" dxfId="90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D35" sqref="D35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4.1640625" bestFit="1" customWidth="1"/>
    <col min="4" max="4" width="38.33203125" bestFit="1" customWidth="1"/>
    <col min="5" max="7" width="12.6640625" bestFit="1" customWidth="1"/>
    <col min="8" max="8" width="9.1640625" bestFit="1" customWidth="1"/>
    <col min="9" max="9" width="5.33203125" bestFit="1" customWidth="1"/>
    <col min="10" max="10" width="3.6640625" bestFit="1" customWidth="1"/>
    <col min="11" max="13" width="12.6640625" bestFit="1" customWidth="1"/>
    <col min="14" max="14" width="8.33203125" bestFit="1" customWidth="1"/>
    <col min="16" max="16" width="14.1640625" bestFit="1" customWidth="1"/>
    <col min="17" max="17" width="13.33203125" bestFit="1" customWidth="1"/>
  </cols>
  <sheetData>
    <row r="1" spans="2:17" ht="19" x14ac:dyDescent="0.2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>IFERROR(G43/C3,0)</f>
        <v>0</v>
      </c>
    </row>
    <row r="44" spans="2:14" x14ac:dyDescent="0.2">
      <c r="B44" s="183" t="s">
        <v>146</v>
      </c>
      <c r="C44" s="184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185" t="s">
        <v>41</v>
      </c>
      <c r="C47" s="185" t="s">
        <v>42</v>
      </c>
      <c r="D47" s="186" t="s">
        <v>138</v>
      </c>
      <c r="E47" s="187"/>
      <c r="F47" s="188"/>
      <c r="G47" s="101" t="s">
        <v>139</v>
      </c>
      <c r="H47" s="101"/>
      <c r="I47" s="101"/>
      <c r="J47" s="185" t="s">
        <v>140</v>
      </c>
      <c r="K47" s="102" t="s">
        <v>148</v>
      </c>
      <c r="L47" s="102"/>
      <c r="M47" s="102"/>
      <c r="N47" s="182" t="s">
        <v>149</v>
      </c>
    </row>
    <row r="48" spans="2:14" ht="16" x14ac:dyDescent="0.2">
      <c r="B48" s="185"/>
      <c r="C48" s="185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185"/>
      <c r="K48" s="104" t="s">
        <v>143</v>
      </c>
      <c r="L48" s="104" t="s">
        <v>111</v>
      </c>
      <c r="M48" s="104" t="s">
        <v>146</v>
      </c>
      <c r="N48" s="182"/>
    </row>
    <row r="49" spans="2:14" x14ac:dyDescent="0.2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>IFERROR(M49/C3,0)</f>
        <v>0</v>
      </c>
    </row>
    <row r="50" spans="2:14" x14ac:dyDescent="0.2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>IFERROR(M50/C3,0)</f>
        <v>0</v>
      </c>
    </row>
    <row r="51" spans="2:14" x14ac:dyDescent="0.2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>IFERROR(M51/C3,0)</f>
        <v>0</v>
      </c>
    </row>
    <row r="52" spans="2:14" x14ac:dyDescent="0.2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>IFERROR(M52/C3,0)</f>
        <v>0</v>
      </c>
    </row>
    <row r="53" spans="2:14" x14ac:dyDescent="0.2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>IFERROR(M53/C3,0)</f>
        <v>0</v>
      </c>
    </row>
    <row r="54" spans="2:14" x14ac:dyDescent="0.2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>IFERROR(M54/C3,0)</f>
        <v>0</v>
      </c>
    </row>
    <row r="55" spans="2:14" x14ac:dyDescent="0.2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>IFERROR(M55/C3,0)</f>
        <v>0</v>
      </c>
    </row>
    <row r="56" spans="2:14" x14ac:dyDescent="0.2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>IFERROR(M56/C3,0)</f>
        <v>0</v>
      </c>
    </row>
    <row r="57" spans="2:14" x14ac:dyDescent="0.2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>IFERROR(M57/C3,0)</f>
        <v>0</v>
      </c>
    </row>
    <row r="58" spans="2:14" x14ac:dyDescent="0.2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>IFERROR(M58/C3,0)</f>
        <v>0</v>
      </c>
    </row>
    <row r="59" spans="2:14" x14ac:dyDescent="0.2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>IFERROR(M59/C3,0)</f>
        <v>0</v>
      </c>
    </row>
    <row r="60" spans="2:14" x14ac:dyDescent="0.2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>IFERROR(G65/C3,0)</f>
        <v>0</v>
      </c>
    </row>
    <row r="66" spans="2:8" x14ac:dyDescent="0.2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>IFERROR(G66/C3,0)</f>
        <v>0</v>
      </c>
    </row>
    <row r="67" spans="2:8" x14ac:dyDescent="0.2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>IFERROR(G67/C3,0)</f>
        <v>0</v>
      </c>
    </row>
    <row r="68" spans="2:8" x14ac:dyDescent="0.2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89" priority="1">
      <formula>F41&gt;=$F$40</formula>
    </cfRule>
  </conditionalFormatting>
  <conditionalFormatting sqref="F41:F43">
    <cfRule type="expression" dxfId="88" priority="2">
      <formula>AND(F41&gt;=$F$40-0.2,F41&lt;$F$40)</formula>
    </cfRule>
    <cfRule type="expression" dxfId="87" priority="3">
      <formula>F41&lt;$F$40-0.2</formula>
    </cfRule>
  </conditionalFormatting>
  <conditionalFormatting sqref="J49:J60">
    <cfRule type="expression" dxfId="86" priority="4">
      <formula>J49&gt;=$F$40-0.05</formula>
    </cfRule>
    <cfRule type="expression" dxfId="85" priority="5">
      <formula>AND(J49&gt;=$F$40-0.2,J49&lt;$F$40-0.05)</formula>
    </cfRule>
    <cfRule type="expression" dxfId="84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D41" sqref="D41"/>
    </sheetView>
  </sheetViews>
  <sheetFormatPr baseColWidth="10" defaultColWidth="8.6640625" defaultRowHeight="15" x14ac:dyDescent="0.2"/>
  <cols>
    <col min="1" max="1" width="2" customWidth="1"/>
    <col min="2" max="2" width="29.83203125" bestFit="1" customWidth="1"/>
    <col min="3" max="3" width="17.33203125" bestFit="1" customWidth="1"/>
    <col min="4" max="4" width="22.5" customWidth="1"/>
    <col min="5" max="5" width="16.5" bestFit="1" customWidth="1"/>
    <col min="6" max="7" width="15.5" bestFit="1" customWidth="1"/>
    <col min="8" max="8" width="13.5" bestFit="1" customWidth="1"/>
    <col min="9" max="9" width="15.5" bestFit="1" customWidth="1"/>
    <col min="10" max="10" width="7.1640625" bestFit="1" customWidth="1"/>
    <col min="11" max="11" width="15.5" bestFit="1" customWidth="1"/>
    <col min="12" max="12" width="13.5" bestFit="1" customWidth="1"/>
    <col min="13" max="13" width="15.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7" ht="20" x14ac:dyDescent="0.2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6" x14ac:dyDescent="0.2">
      <c r="B3" s="22" t="s">
        <v>103</v>
      </c>
      <c r="C3" s="8">
        <v>0</v>
      </c>
      <c r="D3" s="23" t="s">
        <v>104</v>
      </c>
      <c r="E3" s="9">
        <v>31</v>
      </c>
    </row>
    <row r="6" spans="2:17" x14ac:dyDescent="0.2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">
      <c r="B9" s="74" t="s">
        <v>171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">
      <c r="B15" s="74" t="s">
        <v>117</v>
      </c>
      <c r="C15" s="15">
        <v>282161.88</v>
      </c>
      <c r="D15" s="15" t="s">
        <v>170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">
      <c r="B27" s="82" t="s">
        <v>129</v>
      </c>
      <c r="C27" s="16"/>
    </row>
    <row r="28" spans="2:17" x14ac:dyDescent="0.2">
      <c r="B28" s="12" t="s">
        <v>130</v>
      </c>
      <c r="C28" s="12" t="s">
        <v>131</v>
      </c>
    </row>
    <row r="29" spans="2:17" x14ac:dyDescent="0.2">
      <c r="B29" s="74" t="s">
        <v>170</v>
      </c>
      <c r="C29" s="15">
        <v>3087270.2699850001</v>
      </c>
    </row>
    <row r="30" spans="2:17" x14ac:dyDescent="0.2">
      <c r="B30" s="74" t="s">
        <v>132</v>
      </c>
      <c r="C30" s="15">
        <v>174213927.33888301</v>
      </c>
    </row>
    <row r="31" spans="2:17" x14ac:dyDescent="0.2">
      <c r="B31" s="74" t="s">
        <v>133</v>
      </c>
      <c r="C31" s="15">
        <v>309778739.936719</v>
      </c>
    </row>
    <row r="32" spans="2:17" x14ac:dyDescent="0.2">
      <c r="B32" s="74" t="s">
        <v>134</v>
      </c>
      <c r="C32" s="15">
        <v>276397406.795636</v>
      </c>
    </row>
    <row r="33" spans="2:17" x14ac:dyDescent="0.2">
      <c r="B33" s="74" t="s">
        <v>135</v>
      </c>
      <c r="C33" s="15">
        <v>399290297.73101801</v>
      </c>
    </row>
    <row r="34" spans="2:17" x14ac:dyDescent="0.2">
      <c r="B34" s="74" t="s">
        <v>136</v>
      </c>
      <c r="C34" s="15">
        <v>8321067.1999199996</v>
      </c>
    </row>
    <row r="35" spans="2:17" x14ac:dyDescent="0.2">
      <c r="B35" s="13"/>
      <c r="C35" s="15"/>
    </row>
    <row r="36" spans="2:17" x14ac:dyDescent="0.2">
      <c r="B36" s="13"/>
      <c r="C36" s="15"/>
    </row>
    <row r="38" spans="2:17" ht="29.25" customHeight="1" x14ac:dyDescent="0.2">
      <c r="E38" s="29"/>
    </row>
    <row r="39" spans="2:17" ht="24.75" customHeight="1" x14ac:dyDescent="0.2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6" x14ac:dyDescent="0.2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ht="16" x14ac:dyDescent="0.2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>IFERROR(G41/C3,0)</f>
        <v>0</v>
      </c>
      <c r="I41" s="24"/>
      <c r="J41" s="24"/>
      <c r="K41" s="24"/>
      <c r="L41" s="24"/>
      <c r="M41" s="24"/>
      <c r="N41" s="24"/>
    </row>
    <row r="42" spans="2:17" ht="16" x14ac:dyDescent="0.2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>IFERROR(G42/C3,0)</f>
        <v>0</v>
      </c>
      <c r="I42" s="24"/>
      <c r="J42" s="24"/>
      <c r="K42" s="24"/>
      <c r="L42" s="24"/>
      <c r="M42" s="24"/>
      <c r="N42" s="24"/>
    </row>
    <row r="43" spans="2:17" ht="16" x14ac:dyDescent="0.2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>IFERROR(G43/C3,0)</f>
        <v>0</v>
      </c>
      <c r="I43" s="24"/>
      <c r="J43" s="24"/>
      <c r="K43" s="24"/>
      <c r="L43" s="24"/>
      <c r="M43" s="24"/>
      <c r="N43" s="24"/>
    </row>
    <row r="44" spans="2:17" x14ac:dyDescent="0.2">
      <c r="B44" s="172" t="s">
        <v>146</v>
      </c>
      <c r="C44" s="17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>IFERROR(G44/C3,0)</f>
        <v>0</v>
      </c>
      <c r="I44" s="24"/>
      <c r="J44" s="24"/>
      <c r="K44" s="24"/>
      <c r="L44" s="24"/>
      <c r="M44" s="24"/>
      <c r="N44" s="24"/>
    </row>
    <row r="45" spans="2:17" s="48" customFormat="1" ht="25" customHeight="1" x14ac:dyDescent="0.25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25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">
      <c r="B47" s="174" t="s">
        <v>41</v>
      </c>
      <c r="C47" s="174" t="s">
        <v>42</v>
      </c>
      <c r="D47" s="169" t="s">
        <v>138</v>
      </c>
      <c r="E47" s="170"/>
      <c r="F47" s="171"/>
      <c r="G47" s="70" t="s">
        <v>139</v>
      </c>
      <c r="H47" s="70"/>
      <c r="I47" s="70"/>
      <c r="J47" s="174" t="s">
        <v>140</v>
      </c>
      <c r="K47" s="35" t="s">
        <v>148</v>
      </c>
      <c r="L47" s="35"/>
      <c r="M47" s="35"/>
      <c r="N47" s="189" t="s">
        <v>149</v>
      </c>
    </row>
    <row r="48" spans="2:17" ht="17" x14ac:dyDescent="0.2">
      <c r="B48" s="174"/>
      <c r="C48" s="17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174"/>
      <c r="K48" s="34" t="s">
        <v>143</v>
      </c>
      <c r="L48" s="34" t="s">
        <v>111</v>
      </c>
      <c r="M48" s="34" t="s">
        <v>146</v>
      </c>
      <c r="N48" s="189"/>
    </row>
    <row r="49" spans="2:14" ht="16" x14ac:dyDescent="0.2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>IFERROR(M49/C3,0)</f>
        <v>0</v>
      </c>
    </row>
    <row r="50" spans="2:14" ht="16" x14ac:dyDescent="0.2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>IFERROR(M50/C3,0)</f>
        <v>0</v>
      </c>
    </row>
    <row r="51" spans="2:14" ht="16" x14ac:dyDescent="0.2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>IFERROR(M51/C3,0)</f>
        <v>0</v>
      </c>
    </row>
    <row r="52" spans="2:14" ht="16" x14ac:dyDescent="0.2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>IFERROR(M52/C3,0)</f>
        <v>0</v>
      </c>
    </row>
    <row r="53" spans="2:14" ht="16" x14ac:dyDescent="0.2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>IFERROR(M53/C3,0)</f>
        <v>0</v>
      </c>
    </row>
    <row r="54" spans="2:14" ht="16" x14ac:dyDescent="0.2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>IFERROR(M54/C3,0)</f>
        <v>0</v>
      </c>
    </row>
    <row r="55" spans="2:14" ht="16" x14ac:dyDescent="0.2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>IFERROR(M55/C3,0)</f>
        <v>0</v>
      </c>
    </row>
    <row r="56" spans="2:14" ht="16" x14ac:dyDescent="0.2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>IFERROR(M56/C3,0)</f>
        <v>0</v>
      </c>
    </row>
    <row r="57" spans="2:14" ht="16" x14ac:dyDescent="0.2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>IFERROR(M57/C3,0)</f>
        <v>0</v>
      </c>
    </row>
    <row r="58" spans="2:14" ht="16" x14ac:dyDescent="0.2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>IFERROR(M58/C3,0)</f>
        <v>0</v>
      </c>
    </row>
    <row r="59" spans="2:14" ht="16" x14ac:dyDescent="0.2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>IFERROR(M59/C3,0)</f>
        <v>0</v>
      </c>
    </row>
    <row r="60" spans="2:14" ht="16" x14ac:dyDescent="0.2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>IFERROR(M60/C3,0)</f>
        <v>0</v>
      </c>
    </row>
    <row r="61" spans="2:14" ht="16" x14ac:dyDescent="0.2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>IFERROR(M61/C3,0)</f>
        <v>0</v>
      </c>
    </row>
    <row r="62" spans="2:14" x14ac:dyDescent="0.2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ht="16" x14ac:dyDescent="0.2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>IFERROR(G65/C3,0)</f>
        <v>0</v>
      </c>
      <c r="I65" s="24"/>
      <c r="J65" s="24"/>
      <c r="K65" s="24"/>
      <c r="L65" s="24"/>
      <c r="M65" s="24"/>
      <c r="N65" s="24"/>
    </row>
    <row r="66" spans="2:14" x14ac:dyDescent="0.2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>IFERROR(G66/C3,0)</f>
        <v>0</v>
      </c>
      <c r="I66" s="24"/>
      <c r="J66" s="24"/>
      <c r="K66" s="24"/>
      <c r="L66" s="24"/>
      <c r="M66" s="24"/>
      <c r="N66" s="24"/>
    </row>
    <row r="67" spans="2:14" x14ac:dyDescent="0.2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>IFERROR(G67/C3,0)</f>
        <v>0</v>
      </c>
      <c r="I67" s="24"/>
      <c r="J67" s="24"/>
      <c r="K67" s="24"/>
      <c r="L67" s="24"/>
      <c r="M67" s="24"/>
      <c r="N67" s="24"/>
    </row>
    <row r="68" spans="2:14" x14ac:dyDescent="0.2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>IFERROR(G68/C3,0)</f>
        <v>0</v>
      </c>
      <c r="I68" s="24"/>
      <c r="J68" s="24"/>
      <c r="K68" s="24"/>
      <c r="L68" s="24"/>
      <c r="M68" s="24"/>
      <c r="N68" s="24"/>
    </row>
    <row r="69" spans="2:14" x14ac:dyDescent="0.2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>IFERROR(G69/C3,0)</f>
        <v>0</v>
      </c>
      <c r="I69" s="24"/>
      <c r="J69" s="24"/>
      <c r="K69" s="24"/>
      <c r="L69" s="24"/>
      <c r="M69" s="24"/>
      <c r="N69" s="24"/>
    </row>
    <row r="70" spans="2:14" x14ac:dyDescent="0.2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83" priority="3">
      <formula>F41&lt;$F$39-0.2</formula>
    </cfRule>
  </conditionalFormatting>
  <conditionalFormatting sqref="F41:F43">
    <cfRule type="expression" dxfId="82" priority="1">
      <formula>F41&gt;=$F$39</formula>
    </cfRule>
    <cfRule type="expression" dxfId="81" priority="2">
      <formula>AND(F41&gt;=$F$39-0.2,F41&lt;$F$39)</formula>
    </cfRule>
  </conditionalFormatting>
  <conditionalFormatting sqref="J49:J60">
    <cfRule type="expression" dxfId="80" priority="4">
      <formula>J49&gt;=$F$39-0.05</formula>
    </cfRule>
    <cfRule type="expression" dxfId="79" priority="5">
      <formula>AND(J49&gt;=$F$39-0.2,J49&lt;$F$39-0.05)</formula>
    </cfRule>
    <cfRule type="expression" dxfId="78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R92"/>
  <sheetViews>
    <sheetView showGridLines="0" tabSelected="1" zoomScaleNormal="100" workbookViewId="0"/>
  </sheetViews>
  <sheetFormatPr baseColWidth="10" defaultColWidth="8.6640625" defaultRowHeight="15" x14ac:dyDescent="0.2"/>
  <cols>
    <col min="1" max="1" width="2" customWidth="1"/>
    <col min="2" max="2" width="32.6640625" customWidth="1"/>
    <col min="3" max="3" width="16" bestFit="1" customWidth="1"/>
    <col min="4" max="4" width="15.83203125" customWidth="1"/>
    <col min="5" max="5" width="15.5" customWidth="1"/>
    <col min="6" max="6" width="15.1640625" bestFit="1" customWidth="1"/>
    <col min="7" max="7" width="14.83203125" style="116" bestFit="1" customWidth="1"/>
    <col min="8" max="8" width="13.1640625" style="116" bestFit="1" customWidth="1"/>
    <col min="9" max="9" width="14.83203125" style="116" bestFit="1" customWidth="1"/>
    <col min="10" max="10" width="9.5" customWidth="1"/>
    <col min="11" max="11" width="13.5" bestFit="1" customWidth="1"/>
    <col min="12" max="12" width="12.1640625" customWidth="1"/>
    <col min="13" max="13" width="13.5" bestFit="1" customWidth="1"/>
    <col min="14" max="14" width="11.6640625" bestFit="1" customWidth="1"/>
    <col min="16" max="16" width="13.33203125" bestFit="1" customWidth="1"/>
    <col min="17" max="17" width="12.1640625" bestFit="1" customWidth="1"/>
    <col min="18" max="18" width="13.33203125" bestFit="1" customWidth="1"/>
  </cols>
  <sheetData>
    <row r="1" spans="2:14" ht="19" x14ac:dyDescent="0.2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6" x14ac:dyDescent="0.2">
      <c r="B3" s="77" t="s">
        <v>103</v>
      </c>
      <c r="C3" s="78">
        <f ca="1">NETWORKDAYS.INTL(TODAY(),EOMONTH(TODAY(),0),11)</f>
        <v>9</v>
      </c>
      <c r="D3" s="79" t="s">
        <v>104</v>
      </c>
      <c r="E3" s="80">
        <v>30</v>
      </c>
    </row>
    <row r="6" spans="2:14" x14ac:dyDescent="0.2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G8"/>
      <c r="J8" s="116"/>
      <c r="M8" s="11">
        <f>C24</f>
        <v>207464419.02805799</v>
      </c>
      <c r="N8" s="11">
        <f>D24</f>
        <v>27143003.473972999</v>
      </c>
    </row>
    <row r="9" spans="2:14" x14ac:dyDescent="0.2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332868454.87232</v>
      </c>
      <c r="N9" s="11">
        <f>D12+D13</f>
        <v>81746684.933729991</v>
      </c>
    </row>
    <row r="10" spans="2:14" x14ac:dyDescent="0.2">
      <c r="B10" s="74" t="s">
        <v>113</v>
      </c>
      <c r="C10" s="154">
        <v>191985043.80926701</v>
      </c>
      <c r="D10" s="154">
        <v>16071643.834492</v>
      </c>
      <c r="E10" s="154">
        <v>27548773.679979999</v>
      </c>
      <c r="F10" s="154">
        <v>235605461.32373899</v>
      </c>
      <c r="G10"/>
      <c r="J10" s="116"/>
      <c r="M10" s="11">
        <f>C14</f>
        <v>376262219.09472799</v>
      </c>
      <c r="N10" s="11">
        <f>D14</f>
        <v>16265577.579763001</v>
      </c>
    </row>
    <row r="11" spans="2:14" x14ac:dyDescent="0.2">
      <c r="B11" s="74" t="s">
        <v>114</v>
      </c>
      <c r="C11" s="154">
        <v>194255752.86656201</v>
      </c>
      <c r="D11" s="154">
        <v>70028950.726623997</v>
      </c>
      <c r="E11" s="154">
        <v>34053355</v>
      </c>
      <c r="F11" s="154">
        <v>298338058.59318602</v>
      </c>
      <c r="G11"/>
      <c r="J11" s="116"/>
      <c r="M11" s="11">
        <f>C17</f>
        <v>192900897.57999301</v>
      </c>
      <c r="N11" s="11">
        <f>D17</f>
        <v>38549567.509999998</v>
      </c>
    </row>
    <row r="12" spans="2:14" x14ac:dyDescent="0.2">
      <c r="B12" s="74" t="s">
        <v>70</v>
      </c>
      <c r="C12" s="154">
        <v>155827913.34795099</v>
      </c>
      <c r="D12" s="154">
        <v>53504856.653895997</v>
      </c>
      <c r="E12" s="154">
        <v>24414414</v>
      </c>
      <c r="F12" s="154">
        <v>233747184.001847</v>
      </c>
      <c r="G12"/>
      <c r="J12" s="116"/>
      <c r="M12" s="11">
        <f>C16</f>
        <v>296198024.00676101</v>
      </c>
      <c r="N12" s="11">
        <f>D16</f>
        <v>36798035.877389997</v>
      </c>
    </row>
    <row r="13" spans="2:14" x14ac:dyDescent="0.2">
      <c r="B13" s="74" t="s">
        <v>115</v>
      </c>
      <c r="C13" s="154">
        <v>177040541.524369</v>
      </c>
      <c r="D13" s="154">
        <v>28241828.279833999</v>
      </c>
      <c r="E13" s="154">
        <v>1981621.6</v>
      </c>
      <c r="F13" s="154">
        <v>207263991.404203</v>
      </c>
      <c r="G13"/>
      <c r="J13" s="116"/>
      <c r="M13" s="11">
        <f>C19</f>
        <v>681867888.84996402</v>
      </c>
      <c r="N13" s="11">
        <f>D19</f>
        <v>30797953.16993</v>
      </c>
    </row>
    <row r="14" spans="2:14" x14ac:dyDescent="0.2">
      <c r="B14" s="74" t="s">
        <v>116</v>
      </c>
      <c r="C14" s="154">
        <v>376262219.09472799</v>
      </c>
      <c r="D14" s="154">
        <v>16265577.579763001</v>
      </c>
      <c r="E14" s="154">
        <v>43622215.729984999</v>
      </c>
      <c r="F14" s="154">
        <v>436150012.40447599</v>
      </c>
      <c r="G14"/>
      <c r="J14" s="116"/>
      <c r="M14" s="11">
        <f>C25</f>
        <v>269258285.408135</v>
      </c>
      <c r="N14" s="11">
        <f>D25</f>
        <v>39826573.159974001</v>
      </c>
    </row>
    <row r="15" spans="2:14" x14ac:dyDescent="0.2">
      <c r="B15" s="84" t="s">
        <v>117</v>
      </c>
      <c r="C15" s="154"/>
      <c r="D15" s="154" t="s">
        <v>170</v>
      </c>
      <c r="E15" s="154"/>
      <c r="F15" s="154"/>
      <c r="G15"/>
      <c r="J15" s="116"/>
      <c r="M15" s="11">
        <f>C11</f>
        <v>194255752.86656201</v>
      </c>
      <c r="N15" s="11">
        <f>D11</f>
        <v>70028950.726623997</v>
      </c>
    </row>
    <row r="16" spans="2:14" x14ac:dyDescent="0.2">
      <c r="B16" s="74" t="s">
        <v>74</v>
      </c>
      <c r="C16" s="154">
        <v>296198024.00676101</v>
      </c>
      <c r="D16" s="154">
        <v>36798035.877389997</v>
      </c>
      <c r="E16" s="154" t="s">
        <v>170</v>
      </c>
      <c r="F16" s="154">
        <v>332996059.88415098</v>
      </c>
      <c r="G16"/>
      <c r="J16" s="116"/>
      <c r="M16" s="11">
        <f>C26</f>
        <v>326966766.28633702</v>
      </c>
      <c r="N16" s="11">
        <f>D26</f>
        <v>22564673.003970999</v>
      </c>
    </row>
    <row r="17" spans="2:18" x14ac:dyDescent="0.2">
      <c r="B17" s="74" t="s">
        <v>118</v>
      </c>
      <c r="C17" s="154">
        <v>192900897.57999301</v>
      </c>
      <c r="D17" s="154">
        <v>38549567.509999998</v>
      </c>
      <c r="E17" s="154" t="s">
        <v>170</v>
      </c>
      <c r="F17" s="154">
        <v>231450465.089993</v>
      </c>
      <c r="G17"/>
      <c r="J17" s="116"/>
      <c r="M17" s="11">
        <f>C10</f>
        <v>191985043.80926701</v>
      </c>
      <c r="N17" s="11">
        <f>D10</f>
        <v>16071643.834492</v>
      </c>
    </row>
    <row r="18" spans="2:18" x14ac:dyDescent="0.2">
      <c r="B18" s="74" t="s">
        <v>119</v>
      </c>
      <c r="C18" s="154">
        <v>1116620747.7998469</v>
      </c>
      <c r="D18" s="154">
        <v>8089333.6548969997</v>
      </c>
      <c r="E18" s="154" t="s">
        <v>170</v>
      </c>
      <c r="F18" s="154">
        <v>1124710081.4547441</v>
      </c>
      <c r="G18"/>
      <c r="J18" s="116"/>
      <c r="M18" s="11">
        <f>C27</f>
        <v>480404643.87552702</v>
      </c>
      <c r="N18" s="11">
        <f>D27</f>
        <v>117189846.087496</v>
      </c>
    </row>
    <row r="19" spans="2:18" x14ac:dyDescent="0.2">
      <c r="B19" s="74" t="s">
        <v>121</v>
      </c>
      <c r="C19" s="154">
        <v>681867888.84996402</v>
      </c>
      <c r="D19" s="154">
        <v>30797953.16993</v>
      </c>
      <c r="E19" s="154">
        <v>13503603.4</v>
      </c>
      <c r="F19" s="154">
        <v>726169445.41989398</v>
      </c>
      <c r="G19"/>
      <c r="J19" s="116"/>
      <c r="M19" s="11">
        <f>C20+C21</f>
        <v>119698597.944931</v>
      </c>
      <c r="N19" s="11">
        <f>D20+D21</f>
        <v>101237883.27339</v>
      </c>
    </row>
    <row r="20" spans="2:18" x14ac:dyDescent="0.2">
      <c r="B20" s="74" t="s">
        <v>123</v>
      </c>
      <c r="C20" s="154">
        <v>75007949.944931</v>
      </c>
      <c r="D20" s="154">
        <v>13523495.349822</v>
      </c>
      <c r="E20" s="154" t="s">
        <v>170</v>
      </c>
      <c r="F20" s="154">
        <v>88531445.294753</v>
      </c>
      <c r="G20"/>
      <c r="J20" s="116"/>
      <c r="M20" s="14">
        <f>IFERROR(C31,0)+IFERROR(C15,0)+IFERROR(C36,0)</f>
        <v>310879805.19997603</v>
      </c>
      <c r="N20" s="10" t="s">
        <v>120</v>
      </c>
    </row>
    <row r="21" spans="2:18" x14ac:dyDescent="0.2">
      <c r="B21" s="74" t="s">
        <v>124</v>
      </c>
      <c r="C21" s="154">
        <v>44690648</v>
      </c>
      <c r="D21" s="154">
        <v>87714387.923567995</v>
      </c>
      <c r="E21" s="154" t="s">
        <v>170</v>
      </c>
      <c r="F21" s="154">
        <v>132405035.923568</v>
      </c>
      <c r="G21"/>
      <c r="J21" s="116"/>
      <c r="M21" s="14">
        <f>IFERROR(C34,0)+IFERROR(C35,0)+M20</f>
        <v>576640017.73225999</v>
      </c>
      <c r="N21" s="10" t="s">
        <v>122</v>
      </c>
    </row>
    <row r="22" spans="2:18" x14ac:dyDescent="0.2">
      <c r="B22" s="74" t="s">
        <v>175</v>
      </c>
      <c r="C22" s="154">
        <v>38133188.200000003</v>
      </c>
      <c r="D22" s="154" t="s">
        <v>170</v>
      </c>
      <c r="E22" s="154">
        <v>8372972.8399999999</v>
      </c>
      <c r="F22" s="154">
        <v>46506161.039999999</v>
      </c>
      <c r="G22"/>
      <c r="J22" s="116"/>
      <c r="Q22" s="14"/>
      <c r="R22" s="10"/>
    </row>
    <row r="23" spans="2:18" x14ac:dyDescent="0.2">
      <c r="B23" s="74" t="s">
        <v>176</v>
      </c>
      <c r="C23" s="154">
        <v>66944024.659999996</v>
      </c>
      <c r="D23" s="154" t="s">
        <v>170</v>
      </c>
      <c r="E23" s="154">
        <v>13608107.9</v>
      </c>
      <c r="F23" s="154">
        <v>80552132.560000002</v>
      </c>
      <c r="G23"/>
      <c r="J23" s="116"/>
      <c r="Q23" s="14"/>
      <c r="R23" s="10"/>
    </row>
    <row r="24" spans="2:18" x14ac:dyDescent="0.2">
      <c r="B24" s="74" t="s">
        <v>125</v>
      </c>
      <c r="C24" s="154">
        <v>207464419.02805799</v>
      </c>
      <c r="D24" s="154">
        <v>27143003.473972999</v>
      </c>
      <c r="E24" s="154">
        <v>6585729.5999919996</v>
      </c>
      <c r="F24" s="154">
        <v>241193152.10202301</v>
      </c>
      <c r="G24"/>
      <c r="J24" s="116"/>
    </row>
    <row r="25" spans="2:18" x14ac:dyDescent="0.2">
      <c r="B25" s="74" t="s">
        <v>126</v>
      </c>
      <c r="C25" s="154">
        <v>269258285.408135</v>
      </c>
      <c r="D25" s="154">
        <v>39826573.159974001</v>
      </c>
      <c r="E25" s="154">
        <v>13432125.959995</v>
      </c>
      <c r="F25" s="154">
        <v>322516984.52810401</v>
      </c>
      <c r="G25"/>
      <c r="J25" s="116"/>
    </row>
    <row r="26" spans="2:18" x14ac:dyDescent="0.2">
      <c r="B26" s="74" t="s">
        <v>127</v>
      </c>
      <c r="C26" s="154">
        <v>326966766.28633702</v>
      </c>
      <c r="D26" s="154">
        <v>22564673.003970999</v>
      </c>
      <c r="E26" s="154">
        <v>27389189.759980001</v>
      </c>
      <c r="F26" s="154">
        <v>376920629.05028802</v>
      </c>
      <c r="G26"/>
      <c r="J26" s="116"/>
    </row>
    <row r="27" spans="2:18" x14ac:dyDescent="0.2">
      <c r="B27" s="74" t="s">
        <v>128</v>
      </c>
      <c r="C27" s="154">
        <v>480404643.87552702</v>
      </c>
      <c r="D27" s="154">
        <v>117189846.087496</v>
      </c>
      <c r="E27" s="154" t="s">
        <v>170</v>
      </c>
      <c r="F27" s="154">
        <v>597594489.96302295</v>
      </c>
      <c r="G27"/>
      <c r="J27" s="116"/>
    </row>
    <row r="29" spans="2:18" x14ac:dyDescent="0.2">
      <c r="B29" s="82" t="s">
        <v>129</v>
      </c>
      <c r="C29" s="82"/>
    </row>
    <row r="30" spans="2:18" x14ac:dyDescent="0.2">
      <c r="B30" s="83" t="s">
        <v>130</v>
      </c>
      <c r="C30" s="83" t="s">
        <v>131</v>
      </c>
    </row>
    <row r="31" spans="2:18" x14ac:dyDescent="0.2">
      <c r="B31" s="76"/>
      <c r="C31" s="112"/>
    </row>
    <row r="32" spans="2:18" x14ac:dyDescent="0.2">
      <c r="B32" s="84" t="s">
        <v>132</v>
      </c>
      <c r="C32" s="15">
        <v>147422975.96901599</v>
      </c>
    </row>
    <row r="33" spans="2:14" x14ac:dyDescent="0.2">
      <c r="B33" s="84" t="s">
        <v>133</v>
      </c>
      <c r="C33" s="15">
        <v>282751612.259978</v>
      </c>
    </row>
    <row r="34" spans="2:14" x14ac:dyDescent="0.2">
      <c r="B34" s="84" t="s">
        <v>134</v>
      </c>
      <c r="C34" s="15">
        <v>216697088.05257201</v>
      </c>
    </row>
    <row r="35" spans="2:14" x14ac:dyDescent="0.2">
      <c r="B35" s="84" t="s">
        <v>135</v>
      </c>
      <c r="C35" s="15">
        <v>49063124.479712002</v>
      </c>
    </row>
    <row r="36" spans="2:14" x14ac:dyDescent="0.2">
      <c r="B36" s="84" t="s">
        <v>136</v>
      </c>
      <c r="C36" s="15">
        <v>310879805.19997603</v>
      </c>
    </row>
    <row r="37" spans="2:14" x14ac:dyDescent="0.2">
      <c r="B37" s="84"/>
      <c r="C37" s="85"/>
    </row>
    <row r="38" spans="2:14" x14ac:dyDescent="0.2">
      <c r="B38" s="76"/>
      <c r="C38" s="85"/>
    </row>
    <row r="41" spans="2:14" ht="20" x14ac:dyDescent="0.2">
      <c r="B41" s="159" t="s">
        <v>173</v>
      </c>
      <c r="C41" s="160"/>
      <c r="D41" s="161"/>
      <c r="E41" s="67" t="s">
        <v>138</v>
      </c>
      <c r="F41" s="73">
        <f ca="1">DAY(TODAY())/DAY(EOMONTH(TODAY(),0))</f>
        <v>0.7</v>
      </c>
      <c r="G41" s="117"/>
      <c r="H41" s="117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16" x14ac:dyDescent="0.2">
      <c r="B43" s="114" t="s">
        <v>143</v>
      </c>
      <c r="C43" s="41" t="s">
        <v>144</v>
      </c>
      <c r="D43" s="45">
        <f>SUM(TARGETS!J5:J6,TARGETS!J8:J12,TARGETS!J14:J18)</f>
        <v>5973672401.0648613</v>
      </c>
      <c r="E43" s="46">
        <f>M8+M9+M10+M11+M12+M13+M14+M15+M16+M17+M18+M19</f>
        <v>3670130993.6225829</v>
      </c>
      <c r="F43" s="44">
        <f>IFERROR(E43/D43,0)</f>
        <v>0.61438437651323974</v>
      </c>
      <c r="G43" s="118">
        <f>D43-E43</f>
        <v>2303541407.4422784</v>
      </c>
      <c r="H43" s="118">
        <f ca="1">IFERROR(G43/C3,0)</f>
        <v>255949045.27136427</v>
      </c>
    </row>
    <row r="44" spans="2:14" ht="16" x14ac:dyDescent="0.2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598220392.63073301</v>
      </c>
      <c r="F44" s="44">
        <f>IFERROR(E44/D44,0)</f>
        <v>0.47112640655989751</v>
      </c>
      <c r="G44" s="118">
        <f>D44-E44</f>
        <v>671545819.36926699</v>
      </c>
      <c r="H44" s="118">
        <f ca="1">IFERROR(G44/C3,0)</f>
        <v>74616202.152140781</v>
      </c>
    </row>
    <row r="45" spans="2:14" ht="16" x14ac:dyDescent="0.2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1006814605.961254</v>
      </c>
      <c r="F45" s="44">
        <f>IFERROR(E45/D45,0)</f>
        <v>0.56199865178359765</v>
      </c>
      <c r="G45" s="118">
        <f>D45-E45</f>
        <v>784674755.74087441</v>
      </c>
      <c r="H45" s="118">
        <f ca="1">IFERROR(G45/C3,0)</f>
        <v>87186083.971208274</v>
      </c>
    </row>
    <row r="46" spans="2:14" x14ac:dyDescent="0.2">
      <c r="B46" s="172" t="s">
        <v>146</v>
      </c>
      <c r="C46" s="173"/>
      <c r="D46" s="47">
        <f>D43+D44+D45</f>
        <v>9034927974.7669907</v>
      </c>
      <c r="E46" s="47">
        <f>E43+E44+E45</f>
        <v>5275165992.21457</v>
      </c>
      <c r="F46" s="43">
        <f>IFERROR(E46/D46,0)</f>
        <v>0.583863646389568</v>
      </c>
      <c r="G46" s="119">
        <f>G43+G44+G45</f>
        <v>3759761982.5524197</v>
      </c>
      <c r="H46" s="119">
        <f ca="1">IFERROR(G46/C3,0)</f>
        <v>417751331.39471328</v>
      </c>
    </row>
    <row r="48" spans="2:14" ht="19" x14ac:dyDescent="0.2">
      <c r="B48" s="163" t="s">
        <v>147</v>
      </c>
      <c r="C48" s="164"/>
      <c r="D48" s="164"/>
      <c r="E48" s="164"/>
      <c r="F48" s="164"/>
      <c r="G48" s="164"/>
      <c r="H48" s="164"/>
      <c r="I48" s="164"/>
      <c r="J48" s="165"/>
      <c r="K48" s="175"/>
      <c r="L48" s="176"/>
      <c r="M48" s="176"/>
      <c r="N48" s="177"/>
    </row>
    <row r="49" spans="2:14" ht="17" x14ac:dyDescent="0.2">
      <c r="B49" s="174" t="s">
        <v>41</v>
      </c>
      <c r="C49" s="174" t="s">
        <v>42</v>
      </c>
      <c r="D49" s="169" t="s">
        <v>138</v>
      </c>
      <c r="E49" s="170"/>
      <c r="F49" s="171"/>
      <c r="G49" s="120" t="s">
        <v>139</v>
      </c>
      <c r="H49" s="120"/>
      <c r="I49" s="120"/>
      <c r="J49" s="174" t="s">
        <v>140</v>
      </c>
      <c r="K49" s="132" t="s">
        <v>148</v>
      </c>
      <c r="L49" s="132"/>
      <c r="M49" s="132"/>
      <c r="N49" s="162" t="s">
        <v>149</v>
      </c>
    </row>
    <row r="50" spans="2:14" ht="17" x14ac:dyDescent="0.2">
      <c r="B50" s="174"/>
      <c r="C50" s="17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4"/>
      <c r="K50" s="133" t="s">
        <v>143</v>
      </c>
      <c r="L50" s="133" t="s">
        <v>111</v>
      </c>
      <c r="M50" s="133" t="s">
        <v>146</v>
      </c>
      <c r="N50" s="162"/>
    </row>
    <row r="51" spans="2:14" ht="16" x14ac:dyDescent="0.2">
      <c r="B51" s="50" t="s">
        <v>67</v>
      </c>
      <c r="C51" s="55" t="s">
        <v>68</v>
      </c>
      <c r="D51" s="127">
        <f>TARGETS!J5</f>
        <v>396683478.3262167</v>
      </c>
      <c r="E51" s="127">
        <f>TARGETS!K5</f>
        <v>49588709</v>
      </c>
      <c r="F51" s="127">
        <f t="shared" ref="F51:F64" si="0">D51+E51</f>
        <v>446272187.3262167</v>
      </c>
      <c r="G51" s="122">
        <f>M8</f>
        <v>207464419.02805799</v>
      </c>
      <c r="H51" s="122">
        <f>N8</f>
        <v>27143003.473972999</v>
      </c>
      <c r="I51" s="122">
        <f t="shared" ref="I51:I64" si="1">G51+H51</f>
        <v>234607422.502031</v>
      </c>
      <c r="J51" s="61">
        <f t="shared" ref="J51:J64" si="2">IFERROR(I51/F51,0)</f>
        <v>0.52570478099397511</v>
      </c>
      <c r="K51" s="51">
        <f t="shared" ref="K51:K64" si="3">D51-G51</f>
        <v>189219059.29815871</v>
      </c>
      <c r="L51" s="51">
        <f t="shared" ref="L51:L64" si="4">E51-H51</f>
        <v>22445705.526027001</v>
      </c>
      <c r="M51" s="51">
        <f t="shared" ref="M51:M64" si="5">F51-I51</f>
        <v>211664764.8241857</v>
      </c>
      <c r="N51" s="51">
        <f ca="1">IFERROR(M51/C3,0)</f>
        <v>23518307.202687301</v>
      </c>
    </row>
    <row r="52" spans="2:14" ht="16" x14ac:dyDescent="0.2">
      <c r="B52" s="53" t="s">
        <v>69</v>
      </c>
      <c r="C52" s="56" t="s">
        <v>70</v>
      </c>
      <c r="D52" s="128">
        <f>TARGETS!J6</f>
        <v>535182371</v>
      </c>
      <c r="E52" s="128">
        <f>TARGETS!K6</f>
        <v>172865092</v>
      </c>
      <c r="F52" s="128">
        <f t="shared" si="0"/>
        <v>708047463</v>
      </c>
      <c r="G52" s="122">
        <f>M9</f>
        <v>332868454.87232</v>
      </c>
      <c r="H52" s="122">
        <f>N9</f>
        <v>81746684.933729991</v>
      </c>
      <c r="I52" s="122">
        <f t="shared" si="1"/>
        <v>414615139.80605</v>
      </c>
      <c r="J52" s="61">
        <f t="shared" si="2"/>
        <v>0.58557534836622949</v>
      </c>
      <c r="K52" s="54">
        <f t="shared" si="3"/>
        <v>202313916.12768</v>
      </c>
      <c r="L52" s="54">
        <f t="shared" si="4"/>
        <v>91118407.066270009</v>
      </c>
      <c r="M52" s="54">
        <f t="shared" si="5"/>
        <v>293432323.19395</v>
      </c>
      <c r="N52" s="54">
        <f ca="1">IFERROR(M52/C3,0)</f>
        <v>32603591.465994444</v>
      </c>
    </row>
    <row r="53" spans="2:14" ht="16" x14ac:dyDescent="0.2">
      <c r="B53" s="50" t="s">
        <v>178</v>
      </c>
      <c r="C53" s="55" t="s">
        <v>179</v>
      </c>
      <c r="D53" s="148">
        <f>TARGETS!J7</f>
        <v>241473268</v>
      </c>
      <c r="E53" s="148">
        <f>TARGETS!K7</f>
        <v>0</v>
      </c>
      <c r="F53" s="148">
        <f>D53+E53</f>
        <v>241473268</v>
      </c>
      <c r="G53" s="149">
        <f>C22</f>
        <v>38133188.200000003</v>
      </c>
      <c r="H53" s="149">
        <f>IF(D22="",0,D22)</f>
        <v>0</v>
      </c>
      <c r="I53" s="149">
        <f>G53+H53</f>
        <v>38133188.200000003</v>
      </c>
      <c r="J53" s="150">
        <f>IFERROR(I53/F53,0)</f>
        <v>0.15791888069365922</v>
      </c>
      <c r="K53" s="151">
        <f>D53-G53</f>
        <v>203340079.80000001</v>
      </c>
      <c r="L53" s="151">
        <f>E53-H53</f>
        <v>0</v>
      </c>
      <c r="M53" s="151">
        <f>F53-I53</f>
        <v>203340079.80000001</v>
      </c>
      <c r="N53" s="151">
        <f ca="1">IFERROR(M53/C3,0)</f>
        <v>22593342.200000003</v>
      </c>
    </row>
    <row r="54" spans="2:14" ht="16" x14ac:dyDescent="0.2">
      <c r="B54" s="53" t="s">
        <v>71</v>
      </c>
      <c r="C54" s="56" t="s">
        <v>72</v>
      </c>
      <c r="D54" s="128">
        <f>TARGETS!J8</f>
        <v>590712471.92289722</v>
      </c>
      <c r="E54" s="128">
        <f>TARGETS!K8</f>
        <v>28200135</v>
      </c>
      <c r="F54" s="128">
        <f t="shared" si="0"/>
        <v>618912606.92289722</v>
      </c>
      <c r="G54" s="122">
        <f t="shared" ref="G54:H58" si="6">M10</f>
        <v>376262219.09472799</v>
      </c>
      <c r="H54" s="122">
        <f t="shared" si="6"/>
        <v>16265577.579763001</v>
      </c>
      <c r="I54" s="122">
        <f t="shared" si="1"/>
        <v>392527796.67449099</v>
      </c>
      <c r="J54" s="61">
        <f t="shared" si="2"/>
        <v>0.63422168539441504</v>
      </c>
      <c r="K54" s="54">
        <f t="shared" si="3"/>
        <v>214450252.82816923</v>
      </c>
      <c r="L54" s="54">
        <f t="shared" si="4"/>
        <v>11934557.420236999</v>
      </c>
      <c r="M54" s="54">
        <f t="shared" si="5"/>
        <v>226384810.24840623</v>
      </c>
      <c r="N54" s="54">
        <f ca="1">IFERROR(M54/C3,0)</f>
        <v>25153867.805378471</v>
      </c>
    </row>
    <row r="55" spans="2:14" ht="16" x14ac:dyDescent="0.2">
      <c r="B55" s="50" t="s">
        <v>73</v>
      </c>
      <c r="C55" s="55" t="s">
        <v>74</v>
      </c>
      <c r="D55" s="127">
        <f>TARGETS!J9</f>
        <v>395063284.19152415</v>
      </c>
      <c r="E55" s="127">
        <f>TARGETS!K9</f>
        <v>73528469</v>
      </c>
      <c r="F55" s="127">
        <f t="shared" si="0"/>
        <v>468591753.19152415</v>
      </c>
      <c r="G55" s="122">
        <f t="shared" si="6"/>
        <v>192900897.57999301</v>
      </c>
      <c r="H55" s="122">
        <f t="shared" si="6"/>
        <v>38549567.509999998</v>
      </c>
      <c r="I55" s="122">
        <f t="shared" si="1"/>
        <v>231450465.089993</v>
      </c>
      <c r="J55" s="61">
        <f t="shared" si="2"/>
        <v>0.49392773883366642</v>
      </c>
      <c r="K55" s="51">
        <f t="shared" si="3"/>
        <v>202162386.61153114</v>
      </c>
      <c r="L55" s="51">
        <f t="shared" si="4"/>
        <v>34978901.490000002</v>
      </c>
      <c r="M55" s="51">
        <f t="shared" si="5"/>
        <v>237141288.10153115</v>
      </c>
      <c r="N55" s="51">
        <f ca="1">IFERROR(M55/C3,0)</f>
        <v>26349032.011281237</v>
      </c>
    </row>
    <row r="56" spans="2:14" ht="16" x14ac:dyDescent="0.2">
      <c r="B56" s="53" t="s">
        <v>75</v>
      </c>
      <c r="C56" s="56" t="s">
        <v>74</v>
      </c>
      <c r="D56" s="128">
        <f>TARGETS!J10</f>
        <v>463918832.1226536</v>
      </c>
      <c r="E56" s="128">
        <f>TARGETS!K10</f>
        <v>71898548</v>
      </c>
      <c r="F56" s="128">
        <f t="shared" si="0"/>
        <v>535817380.1226536</v>
      </c>
      <c r="G56" s="122">
        <f t="shared" si="6"/>
        <v>296198024.00676101</v>
      </c>
      <c r="H56" s="122">
        <f t="shared" si="6"/>
        <v>36798035.877389997</v>
      </c>
      <c r="I56" s="122">
        <f t="shared" si="1"/>
        <v>332996059.88415098</v>
      </c>
      <c r="J56" s="61">
        <f t="shared" si="2"/>
        <v>0.6214730470443588</v>
      </c>
      <c r="K56" s="54">
        <f t="shared" si="3"/>
        <v>167720808.11589259</v>
      </c>
      <c r="L56" s="54">
        <f t="shared" si="4"/>
        <v>35100512.122610003</v>
      </c>
      <c r="M56" s="54">
        <f t="shared" si="5"/>
        <v>202821320.23850262</v>
      </c>
      <c r="N56" s="54">
        <f ca="1">IFERROR(M56/C3,0)</f>
        <v>22535702.248722512</v>
      </c>
    </row>
    <row r="57" spans="2:14" ht="16" x14ac:dyDescent="0.2">
      <c r="B57" s="50" t="s">
        <v>76</v>
      </c>
      <c r="C57" s="55" t="s">
        <v>77</v>
      </c>
      <c r="D57" s="127">
        <f>TARGETS!J11</f>
        <v>941758345.44471872</v>
      </c>
      <c r="E57" s="127">
        <f>TARGETS!K11</f>
        <v>73246884</v>
      </c>
      <c r="F57" s="127">
        <f t="shared" si="0"/>
        <v>1015005229.4447187</v>
      </c>
      <c r="G57" s="122">
        <f t="shared" si="6"/>
        <v>681867888.84996402</v>
      </c>
      <c r="H57" s="122">
        <f t="shared" si="6"/>
        <v>30797953.16993</v>
      </c>
      <c r="I57" s="122">
        <f t="shared" si="1"/>
        <v>712665842.019894</v>
      </c>
      <c r="J57" s="61">
        <f t="shared" si="2"/>
        <v>0.70213021701353573</v>
      </c>
      <c r="K57" s="51">
        <f t="shared" si="3"/>
        <v>259890456.5947547</v>
      </c>
      <c r="L57" s="51">
        <f t="shared" si="4"/>
        <v>42448930.830070004</v>
      </c>
      <c r="M57" s="51">
        <f t="shared" si="5"/>
        <v>302339387.42482471</v>
      </c>
      <c r="N57" s="51">
        <f ca="1">IFERROR(M57/C3,0)</f>
        <v>33593265.269424967</v>
      </c>
    </row>
    <row r="58" spans="2:14" ht="16" x14ac:dyDescent="0.2">
      <c r="B58" s="53" t="s">
        <v>78</v>
      </c>
      <c r="C58" s="56" t="s">
        <v>79</v>
      </c>
      <c r="D58" s="128">
        <f>TARGETS!J12</f>
        <v>485287059</v>
      </c>
      <c r="E58" s="128">
        <f>TARGETS!K12</f>
        <v>45099712</v>
      </c>
      <c r="F58" s="128">
        <f t="shared" si="0"/>
        <v>530386771</v>
      </c>
      <c r="G58" s="122">
        <f t="shared" si="6"/>
        <v>269258285.408135</v>
      </c>
      <c r="H58" s="122">
        <f t="shared" si="6"/>
        <v>39826573.159974001</v>
      </c>
      <c r="I58" s="122">
        <f>G58+H58</f>
        <v>309084858.56810898</v>
      </c>
      <c r="J58" s="61">
        <f>IFERROR(I58/F58,0)</f>
        <v>0.58275371006210297</v>
      </c>
      <c r="K58" s="54">
        <f t="shared" si="3"/>
        <v>216028773.591865</v>
      </c>
      <c r="L58" s="54">
        <f t="shared" si="4"/>
        <v>5273138.8400259987</v>
      </c>
      <c r="M58" s="54">
        <f t="shared" si="5"/>
        <v>221301912.43189102</v>
      </c>
      <c r="N58" s="54">
        <f ca="1">IFERROR(M58/C3,0)</f>
        <v>24589101.381321225</v>
      </c>
    </row>
    <row r="59" spans="2:14" ht="16" x14ac:dyDescent="0.2">
      <c r="B59" s="50" t="s">
        <v>178</v>
      </c>
      <c r="C59" s="55" t="s">
        <v>180</v>
      </c>
      <c r="D59" s="148">
        <f>TARGETS!J13</f>
        <v>404133664</v>
      </c>
      <c r="E59" s="148">
        <f>TARGETS!K13</f>
        <v>0</v>
      </c>
      <c r="F59" s="148">
        <f>D59+E59</f>
        <v>404133664</v>
      </c>
      <c r="G59" s="149">
        <f>C23</f>
        <v>66944024.659999996</v>
      </c>
      <c r="H59" s="149">
        <f>IF(D23="",0,D23)</f>
        <v>0</v>
      </c>
      <c r="I59" s="149">
        <f>G59+H59</f>
        <v>66944024.659999996</v>
      </c>
      <c r="J59" s="150">
        <f>IFERROR(I59/F59,0)</f>
        <v>0.16564822637492529</v>
      </c>
      <c r="K59" s="151">
        <f>D59-G59</f>
        <v>337189639.34000003</v>
      </c>
      <c r="L59" s="151">
        <f>E59-H59</f>
        <v>0</v>
      </c>
      <c r="M59" s="151">
        <f>F59-I59</f>
        <v>337189639.34000003</v>
      </c>
      <c r="N59" s="151">
        <f ca="1">IFERROR(M59/C3,0)</f>
        <v>37465515.482222229</v>
      </c>
    </row>
    <row r="60" spans="2:14" ht="16" x14ac:dyDescent="0.2">
      <c r="B60" s="53" t="s">
        <v>80</v>
      </c>
      <c r="C60" s="56" t="s">
        <v>81</v>
      </c>
      <c r="D60" s="128">
        <f>TARGETS!J14</f>
        <v>384017309.32355773</v>
      </c>
      <c r="E60" s="128">
        <f>TARGETS!K14</f>
        <v>119782698</v>
      </c>
      <c r="F60" s="128">
        <f t="shared" si="0"/>
        <v>503800007.32355773</v>
      </c>
      <c r="G60" s="122">
        <f t="shared" ref="G60:H64" si="7">M15</f>
        <v>194255752.86656201</v>
      </c>
      <c r="H60" s="122">
        <f t="shared" si="7"/>
        <v>70028950.726623997</v>
      </c>
      <c r="I60" s="122">
        <f t="shared" si="1"/>
        <v>264284703.59318602</v>
      </c>
      <c r="J60" s="61">
        <f t="shared" si="2"/>
        <v>0.52458257195588576</v>
      </c>
      <c r="K60" s="54">
        <f t="shared" si="3"/>
        <v>189761556.45699573</v>
      </c>
      <c r="L60" s="54">
        <f t="shared" si="4"/>
        <v>49753747.273376003</v>
      </c>
      <c r="M60" s="54">
        <f t="shared" si="5"/>
        <v>239515303.73037171</v>
      </c>
      <c r="N60" s="54">
        <f ca="1">IFERROR(M60/C3,0)</f>
        <v>26612811.525596857</v>
      </c>
    </row>
    <row r="61" spans="2:14" ht="16" x14ac:dyDescent="0.2">
      <c r="B61" s="50" t="s">
        <v>82</v>
      </c>
      <c r="C61" s="55" t="s">
        <v>83</v>
      </c>
      <c r="D61" s="127">
        <f>TARGETS!J15</f>
        <v>611629595.7161876</v>
      </c>
      <c r="E61" s="127">
        <f>TARGETS!K15</f>
        <v>40059909</v>
      </c>
      <c r="F61" s="127">
        <f t="shared" si="0"/>
        <v>651689504.7161876</v>
      </c>
      <c r="G61" s="122">
        <f t="shared" si="7"/>
        <v>326966766.28633702</v>
      </c>
      <c r="H61" s="122">
        <f t="shared" si="7"/>
        <v>22564673.003970999</v>
      </c>
      <c r="I61" s="122">
        <f t="shared" si="1"/>
        <v>349531439.290308</v>
      </c>
      <c r="J61" s="61">
        <f t="shared" si="2"/>
        <v>0.53634658339714991</v>
      </c>
      <c r="K61" s="51">
        <f t="shared" si="3"/>
        <v>284662829.42985058</v>
      </c>
      <c r="L61" s="51">
        <f t="shared" si="4"/>
        <v>17495235.996029001</v>
      </c>
      <c r="M61" s="51">
        <f t="shared" si="5"/>
        <v>302158065.4258796</v>
      </c>
      <c r="N61" s="51">
        <f ca="1">IFERROR(M61/C3,0)</f>
        <v>33573118.380653292</v>
      </c>
    </row>
    <row r="62" spans="2:14" ht="16" x14ac:dyDescent="0.2">
      <c r="B62" s="53" t="s">
        <v>84</v>
      </c>
      <c r="C62" s="56" t="s">
        <v>85</v>
      </c>
      <c r="D62" s="128">
        <f>TARGETS!J16</f>
        <v>366543022.9053762</v>
      </c>
      <c r="E62" s="128">
        <f>TARGETS!K16</f>
        <v>45082463</v>
      </c>
      <c r="F62" s="128">
        <f t="shared" si="0"/>
        <v>411625485.9053762</v>
      </c>
      <c r="G62" s="122">
        <f t="shared" si="7"/>
        <v>191985043.80926701</v>
      </c>
      <c r="H62" s="122">
        <f t="shared" si="7"/>
        <v>16071643.834492</v>
      </c>
      <c r="I62" s="122">
        <f t="shared" si="1"/>
        <v>208056687.64375901</v>
      </c>
      <c r="J62" s="61">
        <f t="shared" si="2"/>
        <v>0.50545142312103275</v>
      </c>
      <c r="K62" s="54">
        <f t="shared" si="3"/>
        <v>174557979.09610918</v>
      </c>
      <c r="L62" s="54">
        <f t="shared" si="4"/>
        <v>29010819.165508002</v>
      </c>
      <c r="M62" s="54">
        <f t="shared" si="5"/>
        <v>203568798.26161718</v>
      </c>
      <c r="N62" s="54">
        <f ca="1">IFERROR(M62/C3,0)</f>
        <v>22618755.36240191</v>
      </c>
    </row>
    <row r="63" spans="2:14" ht="16" x14ac:dyDescent="0.2">
      <c r="B63" s="50" t="s">
        <v>86</v>
      </c>
      <c r="C63" s="55" t="s">
        <v>87</v>
      </c>
      <c r="D63" s="127">
        <f>TARGETS!J17</f>
        <v>563350942.09827971</v>
      </c>
      <c r="E63" s="127">
        <f>TARGETS!K17</f>
        <v>311125253</v>
      </c>
      <c r="F63" s="127">
        <f t="shared" si="0"/>
        <v>874476195.09827971</v>
      </c>
      <c r="G63" s="122">
        <f t="shared" si="7"/>
        <v>480404643.87552702</v>
      </c>
      <c r="H63" s="122">
        <f t="shared" si="7"/>
        <v>117189846.087496</v>
      </c>
      <c r="I63" s="122">
        <f t="shared" si="1"/>
        <v>597594489.96302307</v>
      </c>
      <c r="J63" s="61">
        <f t="shared" si="2"/>
        <v>0.68337422254914693</v>
      </c>
      <c r="K63" s="51">
        <f t="shared" si="3"/>
        <v>82946298.22275269</v>
      </c>
      <c r="L63" s="51">
        <f t="shared" si="4"/>
        <v>193935406.91250402</v>
      </c>
      <c r="M63" s="51">
        <f t="shared" si="5"/>
        <v>276881705.13525665</v>
      </c>
      <c r="N63" s="51">
        <f ca="1">IFERROR(M63/C3,0)</f>
        <v>30764633.903917406</v>
      </c>
    </row>
    <row r="64" spans="2:14" ht="16" x14ac:dyDescent="0.2">
      <c r="B64" s="53" t="s">
        <v>88</v>
      </c>
      <c r="C64" s="56" t="s">
        <v>89</v>
      </c>
      <c r="D64" s="128">
        <f>TARGETS!J18</f>
        <v>239525689.01344877</v>
      </c>
      <c r="E64" s="128">
        <f>TARGETS!K18</f>
        <v>239288340</v>
      </c>
      <c r="F64" s="128">
        <f t="shared" si="0"/>
        <v>478814029.01344877</v>
      </c>
      <c r="G64" s="122">
        <f t="shared" si="7"/>
        <v>119698597.944931</v>
      </c>
      <c r="H64" s="122">
        <f t="shared" si="7"/>
        <v>101237883.27339</v>
      </c>
      <c r="I64" s="122">
        <f t="shared" si="1"/>
        <v>220936481.218321</v>
      </c>
      <c r="J64" s="61">
        <f t="shared" si="2"/>
        <v>0.46142441079585705</v>
      </c>
      <c r="K64" s="54">
        <f t="shared" si="3"/>
        <v>119827091.06851777</v>
      </c>
      <c r="L64" s="54">
        <f t="shared" si="4"/>
        <v>138050456.72661</v>
      </c>
      <c r="M64" s="54">
        <f t="shared" si="5"/>
        <v>257877547.79512778</v>
      </c>
      <c r="N64" s="54">
        <f ca="1">IFERROR(M64/C3,0)</f>
        <v>28653060.866125308</v>
      </c>
    </row>
    <row r="65" spans="2:14" ht="16" x14ac:dyDescent="0.2">
      <c r="B65" s="57" t="s">
        <v>152</v>
      </c>
      <c r="C65" s="58"/>
      <c r="D65" s="155">
        <f t="shared" ref="D65:I65" si="8">SUM(D51:D52,D54:D58,D60:D64)</f>
        <v>5973672401.0648613</v>
      </c>
      <c r="E65" s="155">
        <f t="shared" si="8"/>
        <v>1269766212</v>
      </c>
      <c r="F65" s="155">
        <f t="shared" si="8"/>
        <v>7243438613.0648613</v>
      </c>
      <c r="G65" s="156">
        <f t="shared" si="8"/>
        <v>3670130993.6225829</v>
      </c>
      <c r="H65" s="156">
        <f t="shared" si="8"/>
        <v>598220392.63073301</v>
      </c>
      <c r="I65" s="156">
        <f t="shared" si="8"/>
        <v>4268351386.2533159</v>
      </c>
      <c r="J65" s="157">
        <f>IFERROR(I65/F65,0)</f>
        <v>0.58927142401049226</v>
      </c>
      <c r="K65" s="158">
        <f>SUM(K51:K52,K54:K58,K60:K64)</f>
        <v>2303541407.4422774</v>
      </c>
      <c r="L65" s="158">
        <f>SUM(L51:L52,L54:L58,L60:L64)</f>
        <v>671545819.36926711</v>
      </c>
      <c r="M65" s="158">
        <f>SUM(M51:M52,M54:M58,M60:M64)</f>
        <v>2975087226.8115444</v>
      </c>
      <c r="N65" s="158">
        <f ca="1">IFERROR(M65/C3,0)</f>
        <v>330565247.42350495</v>
      </c>
    </row>
    <row r="67" spans="2:14" ht="20" x14ac:dyDescent="0.2">
      <c r="B67" s="135" t="s">
        <v>177</v>
      </c>
      <c r="C67" s="136"/>
      <c r="D67" s="137"/>
      <c r="G67"/>
      <c r="H67"/>
      <c r="I67"/>
    </row>
    <row r="68" spans="2:14" ht="17" x14ac:dyDescent="0.2">
      <c r="B68" s="174" t="s">
        <v>41</v>
      </c>
      <c r="C68" s="174" t="s">
        <v>42</v>
      </c>
      <c r="D68" s="134" t="s">
        <v>139</v>
      </c>
      <c r="G68"/>
      <c r="H68"/>
      <c r="I68"/>
    </row>
    <row r="69" spans="2:14" ht="17" x14ac:dyDescent="0.2">
      <c r="B69" s="174"/>
      <c r="C69" s="174"/>
      <c r="D69" s="71" t="s">
        <v>174</v>
      </c>
      <c r="G69"/>
      <c r="H69"/>
      <c r="I69"/>
    </row>
    <row r="70" spans="2:14" ht="16" x14ac:dyDescent="0.2">
      <c r="B70" s="50" t="s">
        <v>67</v>
      </c>
      <c r="C70" s="55" t="s">
        <v>68</v>
      </c>
      <c r="D70" s="152">
        <f>IF(E24="",0,E24)</f>
        <v>6585729.5999919996</v>
      </c>
      <c r="G70"/>
      <c r="H70"/>
      <c r="I70"/>
    </row>
    <row r="71" spans="2:14" ht="16" x14ac:dyDescent="0.2">
      <c r="B71" s="53" t="s">
        <v>69</v>
      </c>
      <c r="C71" s="56" t="s">
        <v>70</v>
      </c>
      <c r="D71" s="153">
        <f>IF(E12="",0,E12)+IF(E13="",0,E13)</f>
        <v>26396035.600000001</v>
      </c>
      <c r="G71"/>
      <c r="H71"/>
      <c r="I71"/>
    </row>
    <row r="72" spans="2:14" ht="16" x14ac:dyDescent="0.2">
      <c r="B72" s="50" t="s">
        <v>71</v>
      </c>
      <c r="C72" s="55" t="s">
        <v>72</v>
      </c>
      <c r="D72" s="152">
        <f>IF(E14="",0,E14)</f>
        <v>43622215.729984999</v>
      </c>
      <c r="G72"/>
      <c r="H72"/>
      <c r="I72"/>
    </row>
    <row r="73" spans="2:14" ht="16" x14ac:dyDescent="0.2">
      <c r="B73" s="53" t="s">
        <v>73</v>
      </c>
      <c r="C73" s="56" t="s">
        <v>74</v>
      </c>
      <c r="D73" s="153">
        <f>0</f>
        <v>0</v>
      </c>
      <c r="G73"/>
      <c r="H73"/>
      <c r="I73"/>
    </row>
    <row r="74" spans="2:14" ht="16" x14ac:dyDescent="0.2">
      <c r="B74" s="50" t="s">
        <v>75</v>
      </c>
      <c r="C74" s="55" t="s">
        <v>74</v>
      </c>
      <c r="D74" s="152">
        <f>0</f>
        <v>0</v>
      </c>
      <c r="G74"/>
      <c r="H74"/>
      <c r="I74"/>
    </row>
    <row r="75" spans="2:14" ht="16" x14ac:dyDescent="0.2">
      <c r="B75" s="53" t="s">
        <v>76</v>
      </c>
      <c r="C75" s="56" t="s">
        <v>77</v>
      </c>
      <c r="D75" s="153">
        <f>IF(E19="",0,E19)</f>
        <v>13503603.4</v>
      </c>
      <c r="G75"/>
      <c r="H75"/>
      <c r="I75"/>
    </row>
    <row r="76" spans="2:14" ht="16" x14ac:dyDescent="0.2">
      <c r="B76" s="50" t="s">
        <v>78</v>
      </c>
      <c r="C76" s="55" t="s">
        <v>79</v>
      </c>
      <c r="D76" s="152">
        <f>IF(E25="",0,E25)</f>
        <v>13432125.959995</v>
      </c>
      <c r="G76"/>
      <c r="H76"/>
      <c r="I76"/>
    </row>
    <row r="77" spans="2:14" ht="16" x14ac:dyDescent="0.2">
      <c r="B77" s="53" t="s">
        <v>80</v>
      </c>
      <c r="C77" s="56" t="s">
        <v>81</v>
      </c>
      <c r="D77" s="153">
        <f>IF(E11="",0,E11)</f>
        <v>34053355</v>
      </c>
      <c r="G77"/>
      <c r="H77"/>
      <c r="I77"/>
    </row>
    <row r="78" spans="2:14" ht="16" x14ac:dyDescent="0.2">
      <c r="B78" s="50" t="s">
        <v>82</v>
      </c>
      <c r="C78" s="55" t="s">
        <v>83</v>
      </c>
      <c r="D78" s="152">
        <f>IF(E26="",0,E26)</f>
        <v>27389189.759980001</v>
      </c>
      <c r="G78"/>
      <c r="H78"/>
      <c r="I78"/>
    </row>
    <row r="79" spans="2:14" ht="16" x14ac:dyDescent="0.2">
      <c r="B79" s="53" t="s">
        <v>84</v>
      </c>
      <c r="C79" s="56" t="s">
        <v>85</v>
      </c>
      <c r="D79" s="153">
        <f>IF(E10="",0,E10)</f>
        <v>27548773.679979999</v>
      </c>
      <c r="G79"/>
      <c r="H79"/>
      <c r="I79"/>
    </row>
    <row r="80" spans="2:14" ht="16" x14ac:dyDescent="0.2">
      <c r="B80" s="50" t="s">
        <v>86</v>
      </c>
      <c r="C80" s="55" t="s">
        <v>87</v>
      </c>
      <c r="D80" s="152">
        <f>0</f>
        <v>0</v>
      </c>
      <c r="G80"/>
      <c r="H80"/>
      <c r="I80"/>
    </row>
    <row r="81" spans="2:9" ht="16" x14ac:dyDescent="0.2">
      <c r="B81" s="53" t="s">
        <v>88</v>
      </c>
      <c r="C81" s="56" t="s">
        <v>89</v>
      </c>
      <c r="D81" s="153">
        <f>0</f>
        <v>0</v>
      </c>
      <c r="G81"/>
      <c r="H81"/>
      <c r="I81"/>
    </row>
    <row r="82" spans="2:9" ht="16" x14ac:dyDescent="0.2">
      <c r="B82" s="57" t="s">
        <v>152</v>
      </c>
      <c r="C82" s="58"/>
      <c r="D82" s="129">
        <f t="shared" ref="D82" si="9">SUM(D70:D81)</f>
        <v>192531028.72993201</v>
      </c>
      <c r="G82"/>
      <c r="H82"/>
      <c r="I82"/>
    </row>
    <row r="85" spans="2:9" ht="19" x14ac:dyDescent="0.2">
      <c r="B85" s="166" t="s">
        <v>145</v>
      </c>
      <c r="C85" s="167"/>
      <c r="D85" s="167"/>
      <c r="E85" s="167"/>
      <c r="F85" s="168"/>
      <c r="G85" s="124"/>
      <c r="H85" s="124"/>
    </row>
    <row r="86" spans="2:9" ht="17" x14ac:dyDescent="0.2">
      <c r="B86" s="75" t="s">
        <v>153</v>
      </c>
      <c r="C86" s="75" t="s">
        <v>42</v>
      </c>
      <c r="D86" s="75" t="s">
        <v>138</v>
      </c>
      <c r="E86" s="75" t="s">
        <v>139</v>
      </c>
      <c r="F86" s="75" t="s">
        <v>140</v>
      </c>
      <c r="G86" s="130" t="s">
        <v>141</v>
      </c>
      <c r="H86" s="130" t="s">
        <v>142</v>
      </c>
    </row>
    <row r="87" spans="2:9" ht="16" x14ac:dyDescent="0.2">
      <c r="B87" s="50" t="s">
        <v>92</v>
      </c>
      <c r="C87" s="55" t="s">
        <v>93</v>
      </c>
      <c r="D87" s="125">
        <f>TARGETS!G22</f>
        <v>279391895.3166402</v>
      </c>
      <c r="E87" s="122">
        <f>IFERROR(C32,0)</f>
        <v>147422975.96901599</v>
      </c>
      <c r="F87" s="61">
        <f t="shared" ref="F87:F92" si="10">IFERROR(E87/D87,0)</f>
        <v>0.52765659434014256</v>
      </c>
      <c r="G87" s="125">
        <f>D87-E87</f>
        <v>131968919.34762421</v>
      </c>
      <c r="H87" s="125">
        <f ca="1">IFERROR(G87/C3,0)</f>
        <v>14663213.260847135</v>
      </c>
    </row>
    <row r="88" spans="2:9" ht="16" x14ac:dyDescent="0.2">
      <c r="B88" s="53" t="s">
        <v>94</v>
      </c>
      <c r="C88" s="56" t="s">
        <v>95</v>
      </c>
      <c r="D88" s="126">
        <f>TARGETS!G23</f>
        <v>419611959.16831887</v>
      </c>
      <c r="E88" s="122">
        <f>IFERROR(C33,0)</f>
        <v>282751612.259978</v>
      </c>
      <c r="F88" s="61">
        <f t="shared" si="10"/>
        <v>0.67384069038546612</v>
      </c>
      <c r="G88" s="126">
        <f>D88-E88</f>
        <v>136860346.90834087</v>
      </c>
      <c r="H88" s="126">
        <f ca="1">IFERROR(G88/C3,0)</f>
        <v>15206705.212037874</v>
      </c>
    </row>
    <row r="89" spans="2:9" ht="16" x14ac:dyDescent="0.2">
      <c r="B89" s="50" t="s">
        <v>96</v>
      </c>
      <c r="C89" s="55" t="s">
        <v>97</v>
      </c>
      <c r="D89" s="125">
        <f>TARGETS!G24</f>
        <v>1092485507.2171693</v>
      </c>
      <c r="E89" s="122">
        <f>M21+M7</f>
        <v>576640017.73225999</v>
      </c>
      <c r="F89" s="61">
        <f t="shared" si="10"/>
        <v>0.52782395182623953</v>
      </c>
      <c r="G89" s="125">
        <f>D89-E89</f>
        <v>515845489.4849093</v>
      </c>
      <c r="H89" s="125">
        <f ca="1">IFERROR(G89/C3,0)</f>
        <v>57316165.498323254</v>
      </c>
    </row>
    <row r="90" spans="2:9" ht="16" hidden="1" x14ac:dyDescent="0.2">
      <c r="B90" s="53" t="s">
        <v>98</v>
      </c>
      <c r="C90" s="56" t="s">
        <v>99</v>
      </c>
      <c r="D90" s="126">
        <f>TARGETS!G25</f>
        <v>0</v>
      </c>
      <c r="E90" s="122">
        <f>0</f>
        <v>0</v>
      </c>
      <c r="F90" s="61">
        <f t="shared" si="10"/>
        <v>0</v>
      </c>
      <c r="G90" s="126">
        <f>D90-E90</f>
        <v>0</v>
      </c>
      <c r="H90" s="126">
        <f ca="1">IFERROR(G90/C3,0)</f>
        <v>0</v>
      </c>
    </row>
    <row r="91" spans="2:9" ht="16" hidden="1" x14ac:dyDescent="0.2">
      <c r="B91" s="50" t="s">
        <v>100</v>
      </c>
      <c r="C91" s="113" t="s">
        <v>101</v>
      </c>
      <c r="D91" s="125">
        <f>TARGETS!G26</f>
        <v>0</v>
      </c>
      <c r="E91" s="122">
        <f>0</f>
        <v>0</v>
      </c>
      <c r="F91" s="61">
        <f t="shared" si="10"/>
        <v>0</v>
      </c>
      <c r="G91" s="125">
        <f>D91-E91</f>
        <v>0</v>
      </c>
      <c r="H91" s="125">
        <f ca="1">IFERROR(G91/C3,0)</f>
        <v>0</v>
      </c>
    </row>
    <row r="92" spans="2:9" ht="16" x14ac:dyDescent="0.2">
      <c r="B92" s="57" t="s">
        <v>152</v>
      </c>
      <c r="C92" s="58"/>
      <c r="D92" s="123">
        <f>SUM(D87:D91)</f>
        <v>1791489361.7021284</v>
      </c>
      <c r="E92" s="123">
        <f>SUM(E87:E91)</f>
        <v>1006814605.961254</v>
      </c>
      <c r="F92" s="43">
        <f t="shared" si="10"/>
        <v>0.56199865178359765</v>
      </c>
      <c r="G92" s="119">
        <f>SUM(G87:G91)</f>
        <v>784674755.74087441</v>
      </c>
      <c r="H92" s="119">
        <f ca="1">IFERROR(G92/C3,0)</f>
        <v>87186083.971208274</v>
      </c>
    </row>
  </sheetData>
  <mergeCells count="12">
    <mergeCell ref="B41:D41"/>
    <mergeCell ref="N49:N50"/>
    <mergeCell ref="B48:J48"/>
    <mergeCell ref="B85:F85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77" priority="8">
      <formula>J51&gt;=$F$42-0.05</formula>
    </cfRule>
    <cfRule type="expression" dxfId="76" priority="9">
      <formula>AND(J51&gt;=$F$42-0.2,J51&lt;$F$42-0.05)</formula>
    </cfRule>
    <cfRule type="expression" dxfId="75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92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83203125" bestFit="1" customWidth="1"/>
    <col min="4" max="4" width="37.1640625" bestFit="1" customWidth="1"/>
    <col min="5" max="5" width="13.5" bestFit="1" customWidth="1"/>
    <col min="6" max="6" width="10.83203125" bestFit="1" customWidth="1"/>
    <col min="7" max="7" width="7.83203125" bestFit="1" customWidth="1"/>
    <col min="8" max="8" width="9.83203125" bestFit="1" customWidth="1"/>
    <col min="9" max="9" width="6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83203125" bestFit="1" customWidth="1"/>
    <col min="14" max="14" width="12.33203125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NETWORKDAYS.INTL(TODAY(),EOMONTH(TODAY(),0),11)</f>
        <v>9</v>
      </c>
      <c r="D3" s="79" t="s">
        <v>104</v>
      </c>
      <c r="E3" s="80"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/>
      <c r="D9" s="85"/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4"/>
      <c r="D10" s="154"/>
      <c r="E10" s="154"/>
      <c r="F10" s="154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4"/>
      <c r="D11" s="154"/>
      <c r="E11" s="154"/>
      <c r="F11" s="154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4"/>
      <c r="D12" s="154"/>
      <c r="E12" s="154"/>
      <c r="F12" s="154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4"/>
      <c r="D13" s="154"/>
      <c r="E13" s="154"/>
      <c r="F13" s="154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4"/>
      <c r="D14" s="154"/>
      <c r="E14" s="154"/>
      <c r="F14" s="154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4"/>
      <c r="D15" s="154"/>
      <c r="E15" s="154"/>
      <c r="F15" s="154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4"/>
      <c r="D16" s="154"/>
      <c r="E16" s="154"/>
      <c r="F16" s="154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4"/>
      <c r="D17" s="154"/>
      <c r="E17" s="154"/>
      <c r="F17" s="154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4"/>
      <c r="D18" s="154"/>
      <c r="E18" s="154"/>
      <c r="F18" s="154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4"/>
      <c r="D19" s="154"/>
      <c r="E19" s="154"/>
      <c r="F19" s="154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4"/>
      <c r="D20" s="154"/>
      <c r="E20" s="154"/>
      <c r="F20" s="154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4"/>
      <c r="D21" s="154"/>
      <c r="E21" s="154"/>
      <c r="F21" s="154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4"/>
      <c r="D22" s="154"/>
      <c r="E22" s="154"/>
      <c r="F22" s="154"/>
      <c r="H22" s="116"/>
      <c r="I22" s="116"/>
      <c r="J22" s="116"/>
    </row>
    <row r="23" spans="2:14" x14ac:dyDescent="0.2">
      <c r="B23" s="74" t="s">
        <v>176</v>
      </c>
      <c r="C23" s="154"/>
      <c r="D23" s="154"/>
      <c r="E23" s="154"/>
      <c r="F23" s="154"/>
      <c r="H23" s="116"/>
      <c r="I23" s="116"/>
      <c r="J23" s="116"/>
    </row>
    <row r="24" spans="2:14" x14ac:dyDescent="0.2">
      <c r="B24" s="74" t="s">
        <v>125</v>
      </c>
      <c r="C24" s="154"/>
      <c r="D24" s="154"/>
      <c r="E24" s="154"/>
      <c r="F24" s="154"/>
      <c r="H24" s="116"/>
      <c r="I24" s="116"/>
      <c r="J24" s="116"/>
    </row>
    <row r="25" spans="2:14" x14ac:dyDescent="0.2">
      <c r="B25" s="74" t="s">
        <v>126</v>
      </c>
      <c r="C25" s="154"/>
      <c r="D25" s="154"/>
      <c r="E25" s="154"/>
      <c r="F25" s="154"/>
      <c r="H25" s="116"/>
      <c r="I25" s="116"/>
      <c r="J25" s="116"/>
    </row>
    <row r="26" spans="2:14" x14ac:dyDescent="0.2">
      <c r="B26" s="74" t="s">
        <v>127</v>
      </c>
      <c r="C26" s="154"/>
      <c r="D26" s="154"/>
      <c r="E26" s="154"/>
      <c r="F26" s="154"/>
      <c r="H26" s="116"/>
      <c r="I26" s="116"/>
      <c r="J26" s="116"/>
    </row>
    <row r="27" spans="2:14" x14ac:dyDescent="0.2">
      <c r="B27" s="74" t="s">
        <v>128</v>
      </c>
      <c r="C27" s="154"/>
      <c r="D27" s="154"/>
      <c r="E27" s="154"/>
      <c r="F27" s="154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/>
      <c r="G32" s="116"/>
      <c r="H32" s="116"/>
      <c r="I32" s="116"/>
    </row>
    <row r="33" spans="2:14" x14ac:dyDescent="0.2">
      <c r="B33" s="84" t="s">
        <v>133</v>
      </c>
      <c r="C33" s="15"/>
      <c r="G33" s="116"/>
      <c r="H33" s="116"/>
      <c r="I33" s="116"/>
    </row>
    <row r="34" spans="2:14" x14ac:dyDescent="0.2">
      <c r="B34" s="84" t="s">
        <v>134</v>
      </c>
      <c r="C34" s="15"/>
      <c r="G34" s="116"/>
      <c r="H34" s="116"/>
      <c r="I34" s="116"/>
    </row>
    <row r="35" spans="2:14" x14ac:dyDescent="0.2">
      <c r="B35" s="84" t="s">
        <v>135</v>
      </c>
      <c r="C35" s="15"/>
      <c r="G35" s="116"/>
      <c r="H35" s="116"/>
      <c r="I35" s="116"/>
    </row>
    <row r="36" spans="2:14" x14ac:dyDescent="0.2">
      <c r="B36" s="84" t="s">
        <v>136</v>
      </c>
      <c r="C36" s="15"/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9" t="s">
        <v>159</v>
      </c>
      <c r="C41" s="160"/>
      <c r="D41" s="161"/>
      <c r="E41" s="67" t="s">
        <v>138</v>
      </c>
      <c r="F41" s="73">
        <f ca="1">DAY(TODAY())/DAY(EOMONTH(TODAY(),0))</f>
        <v>0.7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SUM(TARGETS!L5:L6,TARGETS!L8:L12,TARGETS!L14:L18)</f>
        <v>0</v>
      </c>
      <c r="E43" s="46">
        <f>M8+M9+M10+M11+M12+M13+M14+M15+M16+M17+M18+M19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SUM(TARGETS!M5:M6,TARGETS!M8:M12,TARGETS!M14:M18)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SUM(TARGETS!H22:H26)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72" t="s">
        <v>146</v>
      </c>
      <c r="C46" s="17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x14ac:dyDescent="0.2">
      <c r="G47" s="116"/>
      <c r="H47" s="116"/>
      <c r="I47" s="116"/>
    </row>
    <row r="48" spans="2:14" ht="19" x14ac:dyDescent="0.2">
      <c r="B48" s="163" t="s">
        <v>147</v>
      </c>
      <c r="C48" s="164"/>
      <c r="D48" s="164"/>
      <c r="E48" s="164"/>
      <c r="F48" s="164"/>
      <c r="G48" s="164"/>
      <c r="H48" s="164"/>
      <c r="I48" s="164"/>
      <c r="J48" s="165"/>
      <c r="K48" s="175"/>
      <c r="L48" s="176"/>
      <c r="M48" s="176"/>
      <c r="N48" s="177"/>
    </row>
    <row r="49" spans="2:14" ht="17" x14ac:dyDescent="0.2">
      <c r="B49" s="174" t="s">
        <v>41</v>
      </c>
      <c r="C49" s="174" t="s">
        <v>42</v>
      </c>
      <c r="D49" s="169" t="s">
        <v>138</v>
      </c>
      <c r="E49" s="170"/>
      <c r="F49" s="171"/>
      <c r="G49" s="120" t="s">
        <v>139</v>
      </c>
      <c r="H49" s="120"/>
      <c r="I49" s="120"/>
      <c r="J49" s="174" t="s">
        <v>140</v>
      </c>
      <c r="K49" s="132" t="s">
        <v>148</v>
      </c>
      <c r="L49" s="132"/>
      <c r="M49" s="132"/>
      <c r="N49" s="162" t="s">
        <v>149</v>
      </c>
    </row>
    <row r="50" spans="2:14" ht="17" x14ac:dyDescent="0.2">
      <c r="B50" s="174"/>
      <c r="C50" s="17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4"/>
      <c r="K50" s="133" t="s">
        <v>143</v>
      </c>
      <c r="L50" s="133" t="s">
        <v>111</v>
      </c>
      <c r="M50" s="133" t="s">
        <v>146</v>
      </c>
      <c r="N50" s="162"/>
    </row>
    <row r="51" spans="2:14" ht="16" x14ac:dyDescent="0.2">
      <c r="B51" s="50" t="s">
        <v>67</v>
      </c>
      <c r="C51" s="55" t="s">
        <v>68</v>
      </c>
      <c r="D51" s="127">
        <f>TARGETS!L5</f>
        <v>0</v>
      </c>
      <c r="E51" s="127">
        <f>TARGETS!M5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TARGETS!L6</f>
        <v>0</v>
      </c>
      <c r="E52" s="128">
        <f>TARGETS!M6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50" t="s">
        <v>178</v>
      </c>
      <c r="C53" s="55" t="s">
        <v>179</v>
      </c>
      <c r="D53" s="148">
        <f>TARGETS!L7</f>
        <v>0</v>
      </c>
      <c r="E53" s="148">
        <f>TARGETS!M7</f>
        <v>0</v>
      </c>
      <c r="F53" s="148">
        <f>D53+E53</f>
        <v>0</v>
      </c>
      <c r="G53" s="149">
        <f>C22</f>
        <v>0</v>
      </c>
      <c r="H53" s="149">
        <f>IF(D22="",0,D22)</f>
        <v>0</v>
      </c>
      <c r="I53" s="149">
        <f>G53+H53</f>
        <v>0</v>
      </c>
      <c r="J53" s="150">
        <f>IFERROR(I53/F53,0)</f>
        <v>0</v>
      </c>
      <c r="K53" s="151">
        <f>D53-G53</f>
        <v>0</v>
      </c>
      <c r="L53" s="151">
        <f>E53-H53</f>
        <v>0</v>
      </c>
      <c r="M53" s="151">
        <f>F53-I53</f>
        <v>0</v>
      </c>
      <c r="N53" s="151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TARGETS!L8</f>
        <v>0</v>
      </c>
      <c r="E54" s="128">
        <f>TARGETS!M8</f>
        <v>0</v>
      </c>
      <c r="F54" s="128">
        <f t="shared" si="0"/>
        <v>0</v>
      </c>
      <c r="G54" s="122">
        <f t="shared" ref="G54:H58" si="4">M10</f>
        <v>0</v>
      </c>
      <c r="H54" s="122">
        <f t="shared" si="4"/>
        <v>0</v>
      </c>
      <c r="I54" s="122">
        <f t="shared" si="1"/>
        <v>0</v>
      </c>
      <c r="J54" s="61">
        <f t="shared" si="2"/>
        <v>0</v>
      </c>
      <c r="K54" s="54">
        <f t="shared" si="3"/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TARGETS!L9</f>
        <v>0</v>
      </c>
      <c r="E55" s="127">
        <f>TARGETS!M9</f>
        <v>0</v>
      </c>
      <c r="F55" s="127">
        <f t="shared" si="0"/>
        <v>0</v>
      </c>
      <c r="G55" s="122">
        <f t="shared" si="4"/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1">
        <f t="shared" si="3"/>
        <v>0</v>
      </c>
      <c r="L55" s="51">
        <f t="shared" si="3"/>
        <v>0</v>
      </c>
      <c r="M55" s="51">
        <f t="shared" si="3"/>
        <v>0</v>
      </c>
      <c r="N55" s="51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TARGETS!L10</f>
        <v>0</v>
      </c>
      <c r="E56" s="128">
        <f>TARGETS!M10</f>
        <v>0</v>
      </c>
      <c r="F56" s="128">
        <f t="shared" si="0"/>
        <v>0</v>
      </c>
      <c r="G56" s="122">
        <f t="shared" si="4"/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TARGETS!L11</f>
        <v>0</v>
      </c>
      <c r="E57" s="127">
        <f>TARGETS!M11</f>
        <v>0</v>
      </c>
      <c r="F57" s="127">
        <f t="shared" si="0"/>
        <v>0</v>
      </c>
      <c r="G57" s="122">
        <f t="shared" si="4"/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TARGETS!L12</f>
        <v>0</v>
      </c>
      <c r="E58" s="128">
        <f>TARGETS!M12</f>
        <v>0</v>
      </c>
      <c r="F58" s="128">
        <f t="shared" si="0"/>
        <v>0</v>
      </c>
      <c r="G58" s="122">
        <f t="shared" si="4"/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50" t="s">
        <v>178</v>
      </c>
      <c r="C59" s="55" t="s">
        <v>180</v>
      </c>
      <c r="D59" s="148">
        <f>TARGETS!L13</f>
        <v>0</v>
      </c>
      <c r="E59" s="148">
        <f>TARGETS!M13</f>
        <v>0</v>
      </c>
      <c r="F59" s="148">
        <f>D59+E59</f>
        <v>0</v>
      </c>
      <c r="G59" s="149">
        <f>C23</f>
        <v>0</v>
      </c>
      <c r="H59" s="149">
        <f>IF(D23="",0,D23)</f>
        <v>0</v>
      </c>
      <c r="I59" s="149">
        <f>G59+H59</f>
        <v>0</v>
      </c>
      <c r="J59" s="150">
        <f>IFERROR(I59/F59,0)</f>
        <v>0</v>
      </c>
      <c r="K59" s="151">
        <f>D59-G59</f>
        <v>0</v>
      </c>
      <c r="L59" s="151">
        <f>E59-H59</f>
        <v>0</v>
      </c>
      <c r="M59" s="151">
        <f>F59-I59</f>
        <v>0</v>
      </c>
      <c r="N59" s="151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TARGETS!L14</f>
        <v>0</v>
      </c>
      <c r="E60" s="128">
        <f>TARGETS!M14</f>
        <v>0</v>
      </c>
      <c r="F60" s="128">
        <f t="shared" si="0"/>
        <v>0</v>
      </c>
      <c r="G60" s="122">
        <f t="shared" ref="G60:H64" si="5">M15</f>
        <v>0</v>
      </c>
      <c r="H60" s="122">
        <f t="shared" si="5"/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TARGETS!L15</f>
        <v>0</v>
      </c>
      <c r="E61" s="127">
        <f>TARGETS!M15</f>
        <v>0</v>
      </c>
      <c r="F61" s="127">
        <f t="shared" si="0"/>
        <v>0</v>
      </c>
      <c r="G61" s="122">
        <f t="shared" si="5"/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1">
        <f t="shared" si="3"/>
        <v>0</v>
      </c>
      <c r="L61" s="51">
        <f t="shared" si="3"/>
        <v>0</v>
      </c>
      <c r="M61" s="51">
        <f t="shared" si="3"/>
        <v>0</v>
      </c>
      <c r="N61" s="51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TARGETS!L16</f>
        <v>0</v>
      </c>
      <c r="E62" s="128">
        <f>TARGETS!M16</f>
        <v>0</v>
      </c>
      <c r="F62" s="128">
        <f t="shared" si="0"/>
        <v>0</v>
      </c>
      <c r="G62" s="122">
        <f t="shared" si="5"/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TARGETS!L17</f>
        <v>0</v>
      </c>
      <c r="E63" s="127">
        <f>TARGETS!M17</f>
        <v>0</v>
      </c>
      <c r="F63" s="127">
        <f t="shared" si="0"/>
        <v>0</v>
      </c>
      <c r="G63" s="122">
        <f t="shared" si="5"/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1">
        <f t="shared" si="3"/>
        <v>0</v>
      </c>
      <c r="L63" s="51">
        <f t="shared" si="3"/>
        <v>0</v>
      </c>
      <c r="M63" s="51">
        <f t="shared" si="3"/>
        <v>0</v>
      </c>
      <c r="N63" s="51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TARGETS!L18</f>
        <v>0</v>
      </c>
      <c r="E64" s="128">
        <f>TARGETS!M18</f>
        <v>0</v>
      </c>
      <c r="F64" s="128">
        <f t="shared" si="0"/>
        <v>0</v>
      </c>
      <c r="G64" s="122">
        <f t="shared" si="5"/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5">
        <f t="shared" ref="D65:I65" si="6">SUM(D51:D52,D54:D58,D60:D64)</f>
        <v>0</v>
      </c>
      <c r="E65" s="155">
        <f t="shared" si="6"/>
        <v>0</v>
      </c>
      <c r="F65" s="155">
        <f t="shared" si="6"/>
        <v>0</v>
      </c>
      <c r="G65" s="156">
        <f t="shared" si="6"/>
        <v>0</v>
      </c>
      <c r="H65" s="156">
        <f t="shared" si="6"/>
        <v>0</v>
      </c>
      <c r="I65" s="156">
        <f t="shared" si="6"/>
        <v>0</v>
      </c>
      <c r="J65" s="157">
        <f>IFERROR(I65/F65,0)</f>
        <v>0</v>
      </c>
      <c r="K65" s="158">
        <f>SUM(K51:K52,K54:K58,K60:K64)</f>
        <v>0</v>
      </c>
      <c r="L65" s="158">
        <f>SUM(L51:L52,L54:L58,L60:L64)</f>
        <v>0</v>
      </c>
      <c r="M65" s="158">
        <f>SUM(M51:M52,M54:M58,M60:M64)</f>
        <v>0</v>
      </c>
      <c r="N65" s="158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4" t="s">
        <v>41</v>
      </c>
      <c r="C68" s="174" t="s">
        <v>42</v>
      </c>
      <c r="D68" s="134" t="s">
        <v>139</v>
      </c>
    </row>
    <row r="69" spans="2:14" ht="17" x14ac:dyDescent="0.2">
      <c r="B69" s="174"/>
      <c r="C69" s="174"/>
      <c r="D69" s="71" t="s">
        <v>174</v>
      </c>
    </row>
    <row r="70" spans="2:14" ht="16" x14ac:dyDescent="0.2">
      <c r="B70" s="50" t="s">
        <v>67</v>
      </c>
      <c r="C70" s="55" t="s">
        <v>68</v>
      </c>
      <c r="D70" s="152">
        <f>IF(E24="",0,E24)</f>
        <v>0</v>
      </c>
    </row>
    <row r="71" spans="2:14" ht="16" x14ac:dyDescent="0.2">
      <c r="B71" s="53" t="s">
        <v>69</v>
      </c>
      <c r="C71" s="56" t="s">
        <v>70</v>
      </c>
      <c r="D71" s="153">
        <f>IF(E12="",0,E12)+IF(E13="",0,E13)</f>
        <v>0</v>
      </c>
    </row>
    <row r="72" spans="2:14" ht="16" x14ac:dyDescent="0.2">
      <c r="B72" s="50" t="s">
        <v>71</v>
      </c>
      <c r="C72" s="55" t="s">
        <v>72</v>
      </c>
      <c r="D72" s="152">
        <f>IF(E14="",0,E14)</f>
        <v>0</v>
      </c>
    </row>
    <row r="73" spans="2:14" ht="16" x14ac:dyDescent="0.2">
      <c r="B73" s="53" t="s">
        <v>73</v>
      </c>
      <c r="C73" s="56" t="s">
        <v>74</v>
      </c>
      <c r="D73" s="153">
        <f>0</f>
        <v>0</v>
      </c>
    </row>
    <row r="74" spans="2:14" ht="16" x14ac:dyDescent="0.2">
      <c r="B74" s="50" t="s">
        <v>75</v>
      </c>
      <c r="C74" s="55" t="s">
        <v>74</v>
      </c>
      <c r="D74" s="152">
        <f>0</f>
        <v>0</v>
      </c>
    </row>
    <row r="75" spans="2:14" ht="16" x14ac:dyDescent="0.2">
      <c r="B75" s="53" t="s">
        <v>76</v>
      </c>
      <c r="C75" s="56" t="s">
        <v>77</v>
      </c>
      <c r="D75" s="153">
        <f>IF(E19="",0,E19)</f>
        <v>0</v>
      </c>
    </row>
    <row r="76" spans="2:14" ht="16" x14ac:dyDescent="0.2">
      <c r="B76" s="50" t="s">
        <v>78</v>
      </c>
      <c r="C76" s="55" t="s">
        <v>79</v>
      </c>
      <c r="D76" s="152">
        <f>IF(E25="",0,E25)</f>
        <v>0</v>
      </c>
    </row>
    <row r="77" spans="2:14" ht="16" x14ac:dyDescent="0.2">
      <c r="B77" s="53" t="s">
        <v>80</v>
      </c>
      <c r="C77" s="56" t="s">
        <v>81</v>
      </c>
      <c r="D77" s="153">
        <f>IF(E11="",0,E11)</f>
        <v>0</v>
      </c>
    </row>
    <row r="78" spans="2:14" ht="16" x14ac:dyDescent="0.2">
      <c r="B78" s="50" t="s">
        <v>82</v>
      </c>
      <c r="C78" s="55" t="s">
        <v>83</v>
      </c>
      <c r="D78" s="152">
        <f>IF(E26="",0,E26)</f>
        <v>0</v>
      </c>
    </row>
    <row r="79" spans="2:14" ht="16" x14ac:dyDescent="0.2">
      <c r="B79" s="53" t="s">
        <v>84</v>
      </c>
      <c r="C79" s="56" t="s">
        <v>85</v>
      </c>
      <c r="D79" s="153">
        <f>IF(E10="",0,E10)</f>
        <v>0</v>
      </c>
    </row>
    <row r="80" spans="2:14" ht="16" x14ac:dyDescent="0.2">
      <c r="B80" s="50" t="s">
        <v>86</v>
      </c>
      <c r="C80" s="55" t="s">
        <v>87</v>
      </c>
      <c r="D80" s="152">
        <f>0</f>
        <v>0</v>
      </c>
    </row>
    <row r="81" spans="2:9" ht="16" x14ac:dyDescent="0.2">
      <c r="B81" s="53" t="s">
        <v>88</v>
      </c>
      <c r="C81" s="56" t="s">
        <v>89</v>
      </c>
      <c r="D81" s="153">
        <f>0</f>
        <v>0</v>
      </c>
    </row>
    <row r="82" spans="2:9" ht="16" x14ac:dyDescent="0.2">
      <c r="B82" s="57" t="s">
        <v>152</v>
      </c>
      <c r="C82" s="58"/>
      <c r="D82" s="129">
        <f t="shared" ref="D82" si="7">SUM(D70:D81)</f>
        <v>0</v>
      </c>
    </row>
    <row r="83" spans="2:9" x14ac:dyDescent="0.2">
      <c r="G83" s="116"/>
      <c r="H83" s="116"/>
      <c r="I83" s="116"/>
    </row>
    <row r="84" spans="2:9" x14ac:dyDescent="0.2">
      <c r="G84" s="116"/>
      <c r="H84" s="116"/>
      <c r="I84" s="116"/>
    </row>
    <row r="85" spans="2:9" ht="19" x14ac:dyDescent="0.2">
      <c r="B85" s="166" t="s">
        <v>145</v>
      </c>
      <c r="C85" s="167"/>
      <c r="D85" s="167"/>
      <c r="E85" s="167"/>
      <c r="F85" s="168"/>
      <c r="G85" s="124"/>
      <c r="H85" s="124"/>
      <c r="I85" s="116"/>
    </row>
    <row r="86" spans="2:9" ht="17" x14ac:dyDescent="0.2">
      <c r="B86" s="75" t="s">
        <v>153</v>
      </c>
      <c r="C86" s="75" t="s">
        <v>42</v>
      </c>
      <c r="D86" s="75" t="s">
        <v>138</v>
      </c>
      <c r="E86" s="75" t="s">
        <v>139</v>
      </c>
      <c r="F86" s="75" t="s">
        <v>140</v>
      </c>
      <c r="G86" s="130" t="s">
        <v>141</v>
      </c>
      <c r="H86" s="130" t="s">
        <v>142</v>
      </c>
      <c r="I86" s="116"/>
    </row>
    <row r="87" spans="2:9" ht="16" x14ac:dyDescent="0.2">
      <c r="B87" s="50" t="s">
        <v>92</v>
      </c>
      <c r="C87" s="55" t="s">
        <v>93</v>
      </c>
      <c r="D87" s="125">
        <f>TARGETS!H22</f>
        <v>0</v>
      </c>
      <c r="E87" s="122">
        <f>IFERROR(C32,0)</f>
        <v>0</v>
      </c>
      <c r="F87" s="61">
        <f t="shared" ref="F87:F92" si="8">IFERROR(E87/D87,0)</f>
        <v>0</v>
      </c>
      <c r="G87" s="125">
        <f>D87-E87</f>
        <v>0</v>
      </c>
      <c r="H87" s="125">
        <f ca="1">IFERROR(G87/C3,0)</f>
        <v>0</v>
      </c>
      <c r="I87" s="116"/>
    </row>
    <row r="88" spans="2:9" ht="16" x14ac:dyDescent="0.2">
      <c r="B88" s="53" t="s">
        <v>94</v>
      </c>
      <c r="C88" s="56" t="s">
        <v>95</v>
      </c>
      <c r="D88" s="126">
        <f>TARGETS!H23</f>
        <v>0</v>
      </c>
      <c r="E88" s="122">
        <f>IFERROR(C33,0)</f>
        <v>0</v>
      </c>
      <c r="F88" s="61">
        <f t="shared" si="8"/>
        <v>0</v>
      </c>
      <c r="G88" s="126">
        <f>D88-E88</f>
        <v>0</v>
      </c>
      <c r="H88" s="126">
        <f ca="1">IFERROR(G88/C3,0)</f>
        <v>0</v>
      </c>
      <c r="I88" s="116"/>
    </row>
    <row r="89" spans="2:9" ht="16" x14ac:dyDescent="0.2">
      <c r="B89" s="50" t="s">
        <v>96</v>
      </c>
      <c r="C89" s="55" t="s">
        <v>97</v>
      </c>
      <c r="D89" s="125">
        <f>TARGETS!H24</f>
        <v>0</v>
      </c>
      <c r="E89" s="122">
        <f>M21+M7</f>
        <v>0</v>
      </c>
      <c r="F89" s="61">
        <f t="shared" si="8"/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98</v>
      </c>
      <c r="C90" s="56" t="s">
        <v>99</v>
      </c>
      <c r="D90" s="126">
        <f>TARGETS!H25</f>
        <v>0</v>
      </c>
      <c r="E90" s="122">
        <f>0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100</v>
      </c>
      <c r="C91" s="113" t="s">
        <v>101</v>
      </c>
      <c r="D91" s="125">
        <f>TARGETS!H26</f>
        <v>0</v>
      </c>
      <c r="E91" s="122">
        <f>0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7" t="s">
        <v>152</v>
      </c>
      <c r="C92" s="58"/>
      <c r="D92" s="123">
        <f>SUM(D87:D91)</f>
        <v>0</v>
      </c>
      <c r="E92" s="123">
        <f>SUM(E87:E91)</f>
        <v>0</v>
      </c>
      <c r="F92" s="43">
        <f t="shared" si="8"/>
        <v>0</v>
      </c>
      <c r="G92" s="119">
        <f>SUM(G87:G91)</f>
        <v>0</v>
      </c>
      <c r="H92" s="119">
        <f ca="1">IFERROR(G92/C3,0)</f>
        <v>0</v>
      </c>
      <c r="I92" s="116"/>
    </row>
  </sheetData>
  <mergeCells count="12">
    <mergeCell ref="B68:B69"/>
    <mergeCell ref="C68:C69"/>
    <mergeCell ref="B85:F85"/>
    <mergeCell ref="B41:D41"/>
    <mergeCell ref="B48:J48"/>
    <mergeCell ref="K48:N48"/>
    <mergeCell ref="D49:F49"/>
    <mergeCell ref="J49:J50"/>
    <mergeCell ref="N49:N50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92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NETWORKDAYS.INTL(TODAY(),EOMONTH(TODAY(),0),11)</f>
        <v>9</v>
      </c>
      <c r="D3" s="79" t="s">
        <v>104</v>
      </c>
      <c r="E3" s="80"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/>
      <c r="D9" s="85"/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4"/>
      <c r="D10" s="154"/>
      <c r="E10" s="154"/>
      <c r="F10" s="154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4"/>
      <c r="D11" s="154"/>
      <c r="E11" s="154"/>
      <c r="F11" s="154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4"/>
      <c r="D12" s="154"/>
      <c r="E12" s="154"/>
      <c r="F12" s="154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4"/>
      <c r="D13" s="154"/>
      <c r="E13" s="154"/>
      <c r="F13" s="154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4"/>
      <c r="D14" s="154"/>
      <c r="E14" s="154"/>
      <c r="F14" s="154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4"/>
      <c r="D15" s="154"/>
      <c r="E15" s="154"/>
      <c r="F15" s="154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4"/>
      <c r="D16" s="154"/>
      <c r="E16" s="154"/>
      <c r="F16" s="154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4"/>
      <c r="D17" s="154"/>
      <c r="E17" s="154"/>
      <c r="F17" s="154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4"/>
      <c r="D18" s="154"/>
      <c r="E18" s="154"/>
      <c r="F18" s="154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4"/>
      <c r="D19" s="154"/>
      <c r="E19" s="154"/>
      <c r="F19" s="154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4"/>
      <c r="D20" s="154"/>
      <c r="E20" s="154"/>
      <c r="F20" s="154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4"/>
      <c r="D21" s="154"/>
      <c r="E21" s="154"/>
      <c r="F21" s="154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4"/>
      <c r="D22" s="154"/>
      <c r="E22" s="154"/>
      <c r="F22" s="154"/>
      <c r="H22" s="116"/>
      <c r="I22" s="116"/>
      <c r="J22" s="116"/>
    </row>
    <row r="23" spans="2:14" x14ac:dyDescent="0.2">
      <c r="B23" s="74" t="s">
        <v>176</v>
      </c>
      <c r="C23" s="154"/>
      <c r="D23" s="154"/>
      <c r="E23" s="154"/>
      <c r="F23" s="154"/>
      <c r="H23" s="116"/>
      <c r="I23" s="116"/>
      <c r="J23" s="116"/>
    </row>
    <row r="24" spans="2:14" x14ac:dyDescent="0.2">
      <c r="B24" s="74" t="s">
        <v>125</v>
      </c>
      <c r="C24" s="154"/>
      <c r="D24" s="154"/>
      <c r="E24" s="154"/>
      <c r="F24" s="154"/>
      <c r="H24" s="116"/>
      <c r="I24" s="116"/>
      <c r="J24" s="116"/>
    </row>
    <row r="25" spans="2:14" x14ac:dyDescent="0.2">
      <c r="B25" s="74" t="s">
        <v>126</v>
      </c>
      <c r="C25" s="154"/>
      <c r="D25" s="154"/>
      <c r="E25" s="154"/>
      <c r="F25" s="154"/>
      <c r="H25" s="116"/>
      <c r="I25" s="116"/>
      <c r="J25" s="116"/>
    </row>
    <row r="26" spans="2:14" x14ac:dyDescent="0.2">
      <c r="B26" s="74" t="s">
        <v>127</v>
      </c>
      <c r="C26" s="154"/>
      <c r="D26" s="154"/>
      <c r="E26" s="154"/>
      <c r="F26" s="154"/>
      <c r="H26" s="116"/>
      <c r="I26" s="116"/>
      <c r="J26" s="116"/>
    </row>
    <row r="27" spans="2:14" x14ac:dyDescent="0.2">
      <c r="B27" s="74" t="s">
        <v>128</v>
      </c>
      <c r="C27" s="154"/>
      <c r="D27" s="154"/>
      <c r="E27" s="154"/>
      <c r="F27" s="154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/>
      <c r="G32" s="116"/>
      <c r="H32" s="116"/>
      <c r="I32" s="116"/>
    </row>
    <row r="33" spans="2:14" x14ac:dyDescent="0.2">
      <c r="B33" s="84" t="s">
        <v>133</v>
      </c>
      <c r="C33" s="15"/>
      <c r="G33" s="116"/>
      <c r="H33" s="116"/>
      <c r="I33" s="116"/>
    </row>
    <row r="34" spans="2:14" x14ac:dyDescent="0.2">
      <c r="B34" s="84" t="s">
        <v>134</v>
      </c>
      <c r="C34" s="15"/>
      <c r="G34" s="116"/>
      <c r="H34" s="116"/>
      <c r="I34" s="116"/>
    </row>
    <row r="35" spans="2:14" x14ac:dyDescent="0.2">
      <c r="B35" s="84" t="s">
        <v>135</v>
      </c>
      <c r="C35" s="15"/>
      <c r="G35" s="116"/>
      <c r="H35" s="116"/>
      <c r="I35" s="116"/>
    </row>
    <row r="36" spans="2:14" x14ac:dyDescent="0.2">
      <c r="B36" s="84" t="s">
        <v>136</v>
      </c>
      <c r="C36" s="15"/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9" t="s">
        <v>161</v>
      </c>
      <c r="C41" s="160"/>
      <c r="D41" s="161"/>
      <c r="E41" s="67" t="s">
        <v>138</v>
      </c>
      <c r="F41" s="73">
        <f ca="1">DAY(TODAY())/DAY(EOMONTH(TODAY(),0))</f>
        <v>0.7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SUM(TARGETS!N5:N6,TARGETS!N8:N12,TARGETS!N14:N18)</f>
        <v>0</v>
      </c>
      <c r="E43" s="46">
        <f>M8+M9+M10+M11+M12+M13+M14+M15+M16+M17+M18+M19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72" t="s">
        <v>146</v>
      </c>
      <c r="C46" s="17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163" t="s">
        <v>147</v>
      </c>
      <c r="C48" s="164"/>
      <c r="D48" s="164"/>
      <c r="E48" s="164"/>
      <c r="F48" s="164"/>
      <c r="G48" s="164"/>
      <c r="H48" s="164"/>
      <c r="I48" s="164"/>
      <c r="J48" s="165"/>
      <c r="K48" s="175"/>
      <c r="L48" s="176"/>
      <c r="M48" s="176"/>
      <c r="N48" s="177"/>
    </row>
    <row r="49" spans="2:14" ht="17" x14ac:dyDescent="0.2">
      <c r="B49" s="174" t="s">
        <v>41</v>
      </c>
      <c r="C49" s="174" t="s">
        <v>42</v>
      </c>
      <c r="D49" s="169" t="s">
        <v>138</v>
      </c>
      <c r="E49" s="170"/>
      <c r="F49" s="171"/>
      <c r="G49" s="120" t="s">
        <v>139</v>
      </c>
      <c r="H49" s="120"/>
      <c r="I49" s="120"/>
      <c r="J49" s="174" t="s">
        <v>140</v>
      </c>
      <c r="K49" s="132" t="s">
        <v>148</v>
      </c>
      <c r="L49" s="132"/>
      <c r="M49" s="132"/>
      <c r="N49" s="162" t="s">
        <v>149</v>
      </c>
    </row>
    <row r="50" spans="2:14" ht="51" x14ac:dyDescent="0.2">
      <c r="B50" s="174"/>
      <c r="C50" s="17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4"/>
      <c r="K50" s="133" t="s">
        <v>143</v>
      </c>
      <c r="L50" s="133" t="s">
        <v>111</v>
      </c>
      <c r="M50" s="133" t="s">
        <v>146</v>
      </c>
      <c r="N50" s="162"/>
    </row>
    <row r="51" spans="2:14" ht="16" x14ac:dyDescent="0.2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50" t="s">
        <v>178</v>
      </c>
      <c r="C53" s="55" t="s">
        <v>179</v>
      </c>
      <c r="D53" s="148">
        <f>TARGETS!N7</f>
        <v>0</v>
      </c>
      <c r="E53" s="148">
        <f>TARGETS!O7</f>
        <v>0</v>
      </c>
      <c r="F53" s="148">
        <f>D53+E53</f>
        <v>0</v>
      </c>
      <c r="G53" s="149">
        <f>C22</f>
        <v>0</v>
      </c>
      <c r="H53" s="149">
        <f>IF(D22="",0,D22)</f>
        <v>0</v>
      </c>
      <c r="I53" s="149">
        <f>G53+H53</f>
        <v>0</v>
      </c>
      <c r="J53" s="150">
        <f>IFERROR(I53/F53,0)</f>
        <v>0</v>
      </c>
      <c r="K53" s="151">
        <f>D53-G53</f>
        <v>0</v>
      </c>
      <c r="L53" s="151">
        <f>E53-H53</f>
        <v>0</v>
      </c>
      <c r="M53" s="151">
        <f>F53-I53</f>
        <v>0</v>
      </c>
      <c r="N53" s="151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 t="shared" ref="G54:H58" si="4">M10</f>
        <v>0</v>
      </c>
      <c r="H54" s="122">
        <f t="shared" si="4"/>
        <v>0</v>
      </c>
      <c r="I54" s="122">
        <f t="shared" si="1"/>
        <v>0</v>
      </c>
      <c r="J54" s="61">
        <f t="shared" si="2"/>
        <v>0</v>
      </c>
      <c r="K54" s="54">
        <f t="shared" si="3"/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 t="shared" si="4"/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1">
        <f t="shared" si="3"/>
        <v>0</v>
      </c>
      <c r="L55" s="51">
        <f t="shared" si="3"/>
        <v>0</v>
      </c>
      <c r="M55" s="51">
        <f t="shared" si="3"/>
        <v>0</v>
      </c>
      <c r="N55" s="51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 t="shared" si="4"/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 t="shared" si="4"/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 t="shared" si="4"/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50" t="s">
        <v>178</v>
      </c>
      <c r="C59" s="55" t="s">
        <v>180</v>
      </c>
      <c r="D59" s="148">
        <f>TARGETS!N13</f>
        <v>0</v>
      </c>
      <c r="E59" s="148">
        <f>TARGETS!O13</f>
        <v>0</v>
      </c>
      <c r="F59" s="148">
        <f>D59+E59</f>
        <v>0</v>
      </c>
      <c r="G59" s="149">
        <f>C23</f>
        <v>0</v>
      </c>
      <c r="H59" s="149">
        <f>IF(D23="",0,D23)</f>
        <v>0</v>
      </c>
      <c r="I59" s="149">
        <f>G59+H59</f>
        <v>0</v>
      </c>
      <c r="J59" s="150">
        <f>IFERROR(I59/F59,0)</f>
        <v>0</v>
      </c>
      <c r="K59" s="151">
        <f>D59-G59</f>
        <v>0</v>
      </c>
      <c r="L59" s="151">
        <f>E59-H59</f>
        <v>0</v>
      </c>
      <c r="M59" s="151">
        <f>F59-I59</f>
        <v>0</v>
      </c>
      <c r="N59" s="151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 t="shared" ref="G60:H64" si="5">M15</f>
        <v>0</v>
      </c>
      <c r="H60" s="122">
        <f t="shared" si="5"/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 t="shared" si="5"/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1">
        <f t="shared" si="3"/>
        <v>0</v>
      </c>
      <c r="L61" s="51">
        <f t="shared" si="3"/>
        <v>0</v>
      </c>
      <c r="M61" s="51">
        <f t="shared" si="3"/>
        <v>0</v>
      </c>
      <c r="N61" s="51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 t="shared" si="5"/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 t="shared" si="5"/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1">
        <f t="shared" si="3"/>
        <v>0</v>
      </c>
      <c r="L63" s="51">
        <f t="shared" si="3"/>
        <v>0</v>
      </c>
      <c r="M63" s="51">
        <f t="shared" si="3"/>
        <v>0</v>
      </c>
      <c r="N63" s="51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 t="shared" si="5"/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5">
        <f t="shared" ref="D65:I65" si="6">SUM(D51:D52,D54:D58,D60:D64)</f>
        <v>0</v>
      </c>
      <c r="E65" s="155">
        <f t="shared" si="6"/>
        <v>0</v>
      </c>
      <c r="F65" s="155">
        <f t="shared" si="6"/>
        <v>0</v>
      </c>
      <c r="G65" s="156">
        <f t="shared" si="6"/>
        <v>0</v>
      </c>
      <c r="H65" s="156">
        <f t="shared" si="6"/>
        <v>0</v>
      </c>
      <c r="I65" s="156">
        <f t="shared" si="6"/>
        <v>0</v>
      </c>
      <c r="J65" s="157">
        <f>IFERROR(I65/F65,0)</f>
        <v>0</v>
      </c>
      <c r="K65" s="158">
        <f>SUM(K51:K52,K54:K58,K60:K64)</f>
        <v>0</v>
      </c>
      <c r="L65" s="158">
        <f>SUM(L51:L52,L54:L58,L60:L64)</f>
        <v>0</v>
      </c>
      <c r="M65" s="158">
        <f>SUM(M51:M52,M54:M58,M60:M64)</f>
        <v>0</v>
      </c>
      <c r="N65" s="158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4" t="s">
        <v>41</v>
      </c>
      <c r="C68" s="174" t="s">
        <v>42</v>
      </c>
      <c r="D68" s="134" t="s">
        <v>139</v>
      </c>
    </row>
    <row r="69" spans="2:14" ht="17" x14ac:dyDescent="0.2">
      <c r="B69" s="174"/>
      <c r="C69" s="174"/>
      <c r="D69" s="71" t="s">
        <v>174</v>
      </c>
    </row>
    <row r="70" spans="2:14" ht="16" x14ac:dyDescent="0.2">
      <c r="B70" s="50" t="s">
        <v>67</v>
      </c>
      <c r="C70" s="55" t="s">
        <v>68</v>
      </c>
      <c r="D70" s="152">
        <f>IF(E24="",0,E24)</f>
        <v>0</v>
      </c>
    </row>
    <row r="71" spans="2:14" ht="16" x14ac:dyDescent="0.2">
      <c r="B71" s="53" t="s">
        <v>69</v>
      </c>
      <c r="C71" s="56" t="s">
        <v>70</v>
      </c>
      <c r="D71" s="153">
        <f>IF(E12="",0,E12)+IF(E13="",0,E13)</f>
        <v>0</v>
      </c>
    </row>
    <row r="72" spans="2:14" ht="16" x14ac:dyDescent="0.2">
      <c r="B72" s="50" t="s">
        <v>71</v>
      </c>
      <c r="C72" s="55" t="s">
        <v>72</v>
      </c>
      <c r="D72" s="152">
        <f>IF(E14="",0,E14)</f>
        <v>0</v>
      </c>
    </row>
    <row r="73" spans="2:14" ht="16" x14ac:dyDescent="0.2">
      <c r="B73" s="53" t="s">
        <v>73</v>
      </c>
      <c r="C73" s="56" t="s">
        <v>74</v>
      </c>
      <c r="D73" s="153">
        <f>0</f>
        <v>0</v>
      </c>
    </row>
    <row r="74" spans="2:14" ht="16" x14ac:dyDescent="0.2">
      <c r="B74" s="50" t="s">
        <v>75</v>
      </c>
      <c r="C74" s="55" t="s">
        <v>74</v>
      </c>
      <c r="D74" s="152">
        <f>0</f>
        <v>0</v>
      </c>
    </row>
    <row r="75" spans="2:14" ht="16" x14ac:dyDescent="0.2">
      <c r="B75" s="53" t="s">
        <v>76</v>
      </c>
      <c r="C75" s="56" t="s">
        <v>77</v>
      </c>
      <c r="D75" s="153">
        <f>IF(E19="",0,E19)</f>
        <v>0</v>
      </c>
    </row>
    <row r="76" spans="2:14" ht="16" x14ac:dyDescent="0.2">
      <c r="B76" s="50" t="s">
        <v>78</v>
      </c>
      <c r="C76" s="55" t="s">
        <v>79</v>
      </c>
      <c r="D76" s="152">
        <f>IF(E25="",0,E25)</f>
        <v>0</v>
      </c>
    </row>
    <row r="77" spans="2:14" ht="16" x14ac:dyDescent="0.2">
      <c r="B77" s="53" t="s">
        <v>80</v>
      </c>
      <c r="C77" s="56" t="s">
        <v>81</v>
      </c>
      <c r="D77" s="153">
        <f>IF(E11="",0,E11)</f>
        <v>0</v>
      </c>
    </row>
    <row r="78" spans="2:14" ht="16" x14ac:dyDescent="0.2">
      <c r="B78" s="50" t="s">
        <v>82</v>
      </c>
      <c r="C78" s="55" t="s">
        <v>83</v>
      </c>
      <c r="D78" s="152">
        <f>IF(E26="",0,E26)</f>
        <v>0</v>
      </c>
    </row>
    <row r="79" spans="2:14" ht="16" x14ac:dyDescent="0.2">
      <c r="B79" s="53" t="s">
        <v>84</v>
      </c>
      <c r="C79" s="56" t="s">
        <v>85</v>
      </c>
      <c r="D79" s="153">
        <f>IF(E10="",0,E10)</f>
        <v>0</v>
      </c>
    </row>
    <row r="80" spans="2:14" ht="16" x14ac:dyDescent="0.2">
      <c r="B80" s="50" t="s">
        <v>86</v>
      </c>
      <c r="C80" s="55" t="s">
        <v>87</v>
      </c>
      <c r="D80" s="152">
        <f>0</f>
        <v>0</v>
      </c>
    </row>
    <row r="81" spans="2:9" ht="16" x14ac:dyDescent="0.2">
      <c r="B81" s="53" t="s">
        <v>88</v>
      </c>
      <c r="C81" s="56" t="s">
        <v>89</v>
      </c>
      <c r="D81" s="153">
        <f>0</f>
        <v>0</v>
      </c>
    </row>
    <row r="82" spans="2:9" ht="16" x14ac:dyDescent="0.2">
      <c r="B82" s="57" t="s">
        <v>152</v>
      </c>
      <c r="C82" s="58"/>
      <c r="D82" s="129">
        <f t="shared" ref="D82" si="7">SUM(D70:D81)</f>
        <v>0</v>
      </c>
    </row>
    <row r="83" spans="2:9" x14ac:dyDescent="0.2">
      <c r="G83" s="116"/>
      <c r="H83" s="116"/>
      <c r="I83" s="116"/>
    </row>
    <row r="84" spans="2:9" x14ac:dyDescent="0.2">
      <c r="G84" s="116"/>
      <c r="H84" s="116"/>
      <c r="I84" s="116"/>
    </row>
    <row r="85" spans="2:9" ht="19" x14ac:dyDescent="0.2">
      <c r="B85" s="166" t="s">
        <v>145</v>
      </c>
      <c r="C85" s="167"/>
      <c r="D85" s="167"/>
      <c r="E85" s="167"/>
      <c r="F85" s="168"/>
      <c r="G85" s="124"/>
      <c r="H85" s="124"/>
      <c r="I85" s="116"/>
    </row>
    <row r="86" spans="2:9" ht="17" x14ac:dyDescent="0.2">
      <c r="B86" s="75" t="s">
        <v>153</v>
      </c>
      <c r="C86" s="75" t="s">
        <v>42</v>
      </c>
      <c r="D86" s="75" t="s">
        <v>138</v>
      </c>
      <c r="E86" s="75" t="s">
        <v>139</v>
      </c>
      <c r="F86" s="75" t="s">
        <v>140</v>
      </c>
      <c r="G86" s="130" t="s">
        <v>141</v>
      </c>
      <c r="H86" s="130" t="s">
        <v>142</v>
      </c>
      <c r="I86" s="116"/>
    </row>
    <row r="87" spans="2:9" ht="16" x14ac:dyDescent="0.2">
      <c r="B87" s="50" t="s">
        <v>92</v>
      </c>
      <c r="C87" s="55" t="s">
        <v>93</v>
      </c>
      <c r="D87" s="125">
        <f>TARGETS!I22</f>
        <v>0</v>
      </c>
      <c r="E87" s="122">
        <f>IFERROR(C32,0)</f>
        <v>0</v>
      </c>
      <c r="F87" s="61">
        <f t="shared" ref="F87:F92" si="8">IFERROR(E87/D87,0)</f>
        <v>0</v>
      </c>
      <c r="G87" s="125">
        <f>D87-E87</f>
        <v>0</v>
      </c>
      <c r="H87" s="125">
        <f ca="1">IFERROR(G87/C3,0)</f>
        <v>0</v>
      </c>
      <c r="I87" s="116"/>
    </row>
    <row r="88" spans="2:9" ht="16" x14ac:dyDescent="0.2">
      <c r="B88" s="53" t="s">
        <v>94</v>
      </c>
      <c r="C88" s="56" t="s">
        <v>95</v>
      </c>
      <c r="D88" s="126">
        <f>TARGETS!I23</f>
        <v>0</v>
      </c>
      <c r="E88" s="122">
        <f>IFERROR(C33,0)</f>
        <v>0</v>
      </c>
      <c r="F88" s="61">
        <f t="shared" si="8"/>
        <v>0</v>
      </c>
      <c r="G88" s="126">
        <f>D88-E88</f>
        <v>0</v>
      </c>
      <c r="H88" s="126">
        <f ca="1">IFERROR(G88/C3,0)</f>
        <v>0</v>
      </c>
      <c r="I88" s="116"/>
    </row>
    <row r="89" spans="2:9" ht="16" x14ac:dyDescent="0.2">
      <c r="B89" s="50" t="s">
        <v>96</v>
      </c>
      <c r="C89" s="55" t="s">
        <v>97</v>
      </c>
      <c r="D89" s="125">
        <f>TARGETS!I24</f>
        <v>0</v>
      </c>
      <c r="E89" s="122">
        <f>M21+M7</f>
        <v>0</v>
      </c>
      <c r="F89" s="61">
        <f t="shared" si="8"/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98</v>
      </c>
      <c r="C90" s="56" t="s">
        <v>99</v>
      </c>
      <c r="D90" s="126">
        <f>TARGETS!I25</f>
        <v>0</v>
      </c>
      <c r="E90" s="122">
        <f>0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100</v>
      </c>
      <c r="C91" s="113" t="s">
        <v>101</v>
      </c>
      <c r="D91" s="125">
        <f>TARGETS!I26</f>
        <v>0</v>
      </c>
      <c r="E91" s="122">
        <f>0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7" t="s">
        <v>152</v>
      </c>
      <c r="C92" s="58"/>
      <c r="D92" s="123">
        <f>SUM(D87:D91)</f>
        <v>0</v>
      </c>
      <c r="E92" s="123">
        <f>SUM(E87:E91)</f>
        <v>0</v>
      </c>
      <c r="F92" s="43">
        <f t="shared" si="8"/>
        <v>0</v>
      </c>
      <c r="G92" s="119">
        <f>SUM(G87:G91)</f>
        <v>0</v>
      </c>
      <c r="H92" s="119">
        <f ca="1">IFERROR(G92/C3,0)</f>
        <v>0</v>
      </c>
      <c r="I92" s="116"/>
    </row>
  </sheetData>
  <mergeCells count="12">
    <mergeCell ref="B68:B69"/>
    <mergeCell ref="C68:C69"/>
    <mergeCell ref="B85:F85"/>
    <mergeCell ref="B41:D41"/>
    <mergeCell ref="B48:J48"/>
    <mergeCell ref="K48:N48"/>
    <mergeCell ref="D49:F49"/>
    <mergeCell ref="J49:J50"/>
    <mergeCell ref="N49:N50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N92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NETWORKDAYS.INTL(TODAY(),EOMONTH(TODAY(),0),11)</f>
        <v>9</v>
      </c>
      <c r="D3" s="79" t="s">
        <v>104</v>
      </c>
      <c r="E3" s="80"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/>
      <c r="D9" s="85"/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4"/>
      <c r="D10" s="154"/>
      <c r="E10" s="154"/>
      <c r="F10" s="154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4"/>
      <c r="D11" s="154"/>
      <c r="E11" s="154"/>
      <c r="F11" s="154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4"/>
      <c r="D12" s="154"/>
      <c r="E12" s="154"/>
      <c r="F12" s="154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4"/>
      <c r="D13" s="154"/>
      <c r="E13" s="154"/>
      <c r="F13" s="154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4"/>
      <c r="D14" s="154"/>
      <c r="E14" s="154"/>
      <c r="F14" s="154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4"/>
      <c r="D15" s="154"/>
      <c r="E15" s="154"/>
      <c r="F15" s="154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4"/>
      <c r="D16" s="154"/>
      <c r="E16" s="154"/>
      <c r="F16" s="154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4"/>
      <c r="D17" s="154"/>
      <c r="E17" s="154"/>
      <c r="F17" s="154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4"/>
      <c r="D18" s="154"/>
      <c r="E18" s="154"/>
      <c r="F18" s="154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4"/>
      <c r="D19" s="154"/>
      <c r="E19" s="154"/>
      <c r="F19" s="154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4"/>
      <c r="D20" s="154"/>
      <c r="E20" s="154"/>
      <c r="F20" s="154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4"/>
      <c r="D21" s="154"/>
      <c r="E21" s="154"/>
      <c r="F21" s="154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4"/>
      <c r="D22" s="154"/>
      <c r="E22" s="154"/>
      <c r="F22" s="154"/>
      <c r="H22" s="116"/>
      <c r="I22" s="116"/>
      <c r="J22" s="116"/>
    </row>
    <row r="23" spans="2:14" x14ac:dyDescent="0.2">
      <c r="B23" s="74" t="s">
        <v>176</v>
      </c>
      <c r="C23" s="154"/>
      <c r="D23" s="154"/>
      <c r="E23" s="154"/>
      <c r="F23" s="154"/>
      <c r="H23" s="116"/>
      <c r="I23" s="116"/>
      <c r="J23" s="116"/>
    </row>
    <row r="24" spans="2:14" x14ac:dyDescent="0.2">
      <c r="B24" s="74" t="s">
        <v>125</v>
      </c>
      <c r="C24" s="154"/>
      <c r="D24" s="154"/>
      <c r="E24" s="154"/>
      <c r="F24" s="154"/>
      <c r="H24" s="116"/>
      <c r="I24" s="116"/>
      <c r="J24" s="116"/>
    </row>
    <row r="25" spans="2:14" x14ac:dyDescent="0.2">
      <c r="B25" s="74" t="s">
        <v>126</v>
      </c>
      <c r="C25" s="154"/>
      <c r="D25" s="154"/>
      <c r="E25" s="154"/>
      <c r="F25" s="154"/>
      <c r="H25" s="116"/>
      <c r="I25" s="116"/>
      <c r="J25" s="116"/>
    </row>
    <row r="26" spans="2:14" x14ac:dyDescent="0.2">
      <c r="B26" s="74" t="s">
        <v>127</v>
      </c>
      <c r="C26" s="154"/>
      <c r="D26" s="154"/>
      <c r="E26" s="154"/>
      <c r="F26" s="154"/>
      <c r="H26" s="116"/>
      <c r="I26" s="116"/>
      <c r="J26" s="116"/>
    </row>
    <row r="27" spans="2:14" x14ac:dyDescent="0.2">
      <c r="B27" s="74" t="s">
        <v>128</v>
      </c>
      <c r="C27" s="154"/>
      <c r="D27" s="154"/>
      <c r="E27" s="154"/>
      <c r="F27" s="154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/>
      <c r="G32" s="116"/>
      <c r="H32" s="116"/>
      <c r="I32" s="116"/>
    </row>
    <row r="33" spans="2:14" x14ac:dyDescent="0.2">
      <c r="B33" s="84" t="s">
        <v>133</v>
      </c>
      <c r="C33" s="15"/>
      <c r="G33" s="116"/>
      <c r="H33" s="116"/>
      <c r="I33" s="116"/>
    </row>
    <row r="34" spans="2:14" x14ac:dyDescent="0.2">
      <c r="B34" s="84" t="s">
        <v>134</v>
      </c>
      <c r="C34" s="15"/>
      <c r="G34" s="116"/>
      <c r="H34" s="116"/>
      <c r="I34" s="116"/>
    </row>
    <row r="35" spans="2:14" x14ac:dyDescent="0.2">
      <c r="B35" s="84" t="s">
        <v>135</v>
      </c>
      <c r="C35" s="15"/>
      <c r="G35" s="116"/>
      <c r="H35" s="116"/>
      <c r="I35" s="116"/>
    </row>
    <row r="36" spans="2:14" x14ac:dyDescent="0.2">
      <c r="B36" s="84" t="s">
        <v>136</v>
      </c>
      <c r="C36" s="15"/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9" t="s">
        <v>181</v>
      </c>
      <c r="C41" s="160"/>
      <c r="D41" s="161"/>
      <c r="E41" s="67" t="s">
        <v>138</v>
      </c>
      <c r="F41" s="73">
        <f ca="1">DAY(TODAY())/DAY(EOMONTH(TODAY(),0))</f>
        <v>0.7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SUM(TARGETS!P5:P6,TARGETS!P8:P12,TARGETS!P14:P18)</f>
        <v>0</v>
      </c>
      <c r="E43" s="46">
        <f>M8+M9+M10+M11+M12+M13+M14+M15+M16+M17+M18+M19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72" t="s">
        <v>146</v>
      </c>
      <c r="C46" s="17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163" t="s">
        <v>147</v>
      </c>
      <c r="C48" s="164"/>
      <c r="D48" s="164"/>
      <c r="E48" s="164"/>
      <c r="F48" s="164"/>
      <c r="G48" s="164"/>
      <c r="H48" s="164"/>
      <c r="I48" s="164"/>
      <c r="J48" s="165"/>
      <c r="K48" s="175"/>
      <c r="L48" s="176"/>
      <c r="M48" s="176"/>
      <c r="N48" s="177"/>
    </row>
    <row r="49" spans="2:14" ht="17" x14ac:dyDescent="0.2">
      <c r="B49" s="174" t="s">
        <v>41</v>
      </c>
      <c r="C49" s="174" t="s">
        <v>42</v>
      </c>
      <c r="D49" s="169" t="s">
        <v>138</v>
      </c>
      <c r="E49" s="170"/>
      <c r="F49" s="171"/>
      <c r="G49" s="120" t="s">
        <v>139</v>
      </c>
      <c r="H49" s="120"/>
      <c r="I49" s="120"/>
      <c r="J49" s="174" t="s">
        <v>140</v>
      </c>
      <c r="K49" s="132" t="s">
        <v>148</v>
      </c>
      <c r="L49" s="132"/>
      <c r="M49" s="132"/>
      <c r="N49" s="162" t="s">
        <v>149</v>
      </c>
    </row>
    <row r="50" spans="2:14" ht="51" x14ac:dyDescent="0.2">
      <c r="B50" s="174"/>
      <c r="C50" s="17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4"/>
      <c r="K50" s="133" t="s">
        <v>143</v>
      </c>
      <c r="L50" s="133" t="s">
        <v>111</v>
      </c>
      <c r="M50" s="133" t="s">
        <v>146</v>
      </c>
      <c r="N50" s="162"/>
    </row>
    <row r="51" spans="2:14" ht="16" x14ac:dyDescent="0.2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50" t="s">
        <v>178</v>
      </c>
      <c r="C53" s="55" t="s">
        <v>179</v>
      </c>
      <c r="D53" s="148">
        <f>TARGETS!P7</f>
        <v>0</v>
      </c>
      <c r="E53" s="148">
        <f>TARGETS!Q7</f>
        <v>0</v>
      </c>
      <c r="F53" s="148">
        <f>D53+E53</f>
        <v>0</v>
      </c>
      <c r="G53" s="149">
        <f>C22</f>
        <v>0</v>
      </c>
      <c r="H53" s="149">
        <f>IF(D22="",0,D22)</f>
        <v>0</v>
      </c>
      <c r="I53" s="149">
        <f>G53+H53</f>
        <v>0</v>
      </c>
      <c r="J53" s="150">
        <f>IFERROR(I53/F53,0)</f>
        <v>0</v>
      </c>
      <c r="K53" s="151">
        <f>D53-G53</f>
        <v>0</v>
      </c>
      <c r="L53" s="151">
        <f>E53-H53</f>
        <v>0</v>
      </c>
      <c r="M53" s="151">
        <f>F53-I53</f>
        <v>0</v>
      </c>
      <c r="N53" s="151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 t="shared" ref="G54:H58" si="4">M10</f>
        <v>0</v>
      </c>
      <c r="H54" s="122">
        <f t="shared" si="4"/>
        <v>0</v>
      </c>
      <c r="I54" s="122">
        <f t="shared" si="1"/>
        <v>0</v>
      </c>
      <c r="J54" s="61">
        <f t="shared" si="2"/>
        <v>0</v>
      </c>
      <c r="K54" s="54">
        <f t="shared" si="3"/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 t="shared" si="4"/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1">
        <f t="shared" si="3"/>
        <v>0</v>
      </c>
      <c r="L55" s="51">
        <f t="shared" si="3"/>
        <v>0</v>
      </c>
      <c r="M55" s="51">
        <f t="shared" si="3"/>
        <v>0</v>
      </c>
      <c r="N55" s="51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 t="shared" si="4"/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 t="shared" si="4"/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 t="shared" si="4"/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50" t="s">
        <v>178</v>
      </c>
      <c r="C59" s="55" t="s">
        <v>180</v>
      </c>
      <c r="D59" s="148">
        <f>TARGETS!P13</f>
        <v>0</v>
      </c>
      <c r="E59" s="148">
        <f>TARGETS!Q13</f>
        <v>0</v>
      </c>
      <c r="F59" s="148">
        <f>D59+E59</f>
        <v>0</v>
      </c>
      <c r="G59" s="149">
        <f>C23</f>
        <v>0</v>
      </c>
      <c r="H59" s="149">
        <f>IF(D23="",0,D23)</f>
        <v>0</v>
      </c>
      <c r="I59" s="149">
        <f>G59+H59</f>
        <v>0</v>
      </c>
      <c r="J59" s="150">
        <f>IFERROR(I59/F59,0)</f>
        <v>0</v>
      </c>
      <c r="K59" s="151">
        <f>D59-G59</f>
        <v>0</v>
      </c>
      <c r="L59" s="151">
        <f>E59-H59</f>
        <v>0</v>
      </c>
      <c r="M59" s="151">
        <f>F59-I59</f>
        <v>0</v>
      </c>
      <c r="N59" s="151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 t="shared" ref="G60:H64" si="5">M15</f>
        <v>0</v>
      </c>
      <c r="H60" s="122">
        <f t="shared" si="5"/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 t="shared" si="5"/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1">
        <f t="shared" si="3"/>
        <v>0</v>
      </c>
      <c r="L61" s="51">
        <f t="shared" si="3"/>
        <v>0</v>
      </c>
      <c r="M61" s="51">
        <f t="shared" si="3"/>
        <v>0</v>
      </c>
      <c r="N61" s="51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 t="shared" si="5"/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 t="shared" si="5"/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1">
        <f t="shared" si="3"/>
        <v>0</v>
      </c>
      <c r="L63" s="51">
        <f t="shared" si="3"/>
        <v>0</v>
      </c>
      <c r="M63" s="51">
        <f t="shared" si="3"/>
        <v>0</v>
      </c>
      <c r="N63" s="51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 t="shared" si="5"/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5">
        <f t="shared" ref="D65:I65" si="6">SUM(D51:D52,D54:D58,D60:D64)</f>
        <v>0</v>
      </c>
      <c r="E65" s="155">
        <f t="shared" si="6"/>
        <v>0</v>
      </c>
      <c r="F65" s="155">
        <f t="shared" si="6"/>
        <v>0</v>
      </c>
      <c r="G65" s="156">
        <f t="shared" si="6"/>
        <v>0</v>
      </c>
      <c r="H65" s="156">
        <f t="shared" si="6"/>
        <v>0</v>
      </c>
      <c r="I65" s="156">
        <f t="shared" si="6"/>
        <v>0</v>
      </c>
      <c r="J65" s="157">
        <f>IFERROR(I65/F65,0)</f>
        <v>0</v>
      </c>
      <c r="K65" s="158">
        <f>SUM(K51:K52,K54:K58,K60:K64)</f>
        <v>0</v>
      </c>
      <c r="L65" s="158">
        <f>SUM(L51:L52,L54:L58,L60:L64)</f>
        <v>0</v>
      </c>
      <c r="M65" s="158">
        <f>SUM(M51:M52,M54:M58,M60:M64)</f>
        <v>0</v>
      </c>
      <c r="N65" s="158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4" t="s">
        <v>41</v>
      </c>
      <c r="C68" s="174" t="s">
        <v>42</v>
      </c>
      <c r="D68" s="134" t="s">
        <v>139</v>
      </c>
    </row>
    <row r="69" spans="2:14" ht="17" x14ac:dyDescent="0.2">
      <c r="B69" s="174"/>
      <c r="C69" s="174"/>
      <c r="D69" s="71" t="s">
        <v>174</v>
      </c>
    </row>
    <row r="70" spans="2:14" ht="16" x14ac:dyDescent="0.2">
      <c r="B70" s="50" t="s">
        <v>67</v>
      </c>
      <c r="C70" s="55" t="s">
        <v>68</v>
      </c>
      <c r="D70" s="152">
        <f>IF(E24="",0,E24)</f>
        <v>0</v>
      </c>
    </row>
    <row r="71" spans="2:14" ht="16" x14ac:dyDescent="0.2">
      <c r="B71" s="53" t="s">
        <v>69</v>
      </c>
      <c r="C71" s="56" t="s">
        <v>70</v>
      </c>
      <c r="D71" s="153">
        <f>IF(E12="",0,E12)+IF(E13="",0,E13)</f>
        <v>0</v>
      </c>
    </row>
    <row r="72" spans="2:14" ht="16" x14ac:dyDescent="0.2">
      <c r="B72" s="50" t="s">
        <v>71</v>
      </c>
      <c r="C72" s="55" t="s">
        <v>72</v>
      </c>
      <c r="D72" s="152">
        <f>IF(E14="",0,E14)</f>
        <v>0</v>
      </c>
    </row>
    <row r="73" spans="2:14" ht="16" x14ac:dyDescent="0.2">
      <c r="B73" s="53" t="s">
        <v>73</v>
      </c>
      <c r="C73" s="56" t="s">
        <v>74</v>
      </c>
      <c r="D73" s="153">
        <f>0</f>
        <v>0</v>
      </c>
    </row>
    <row r="74" spans="2:14" ht="16" x14ac:dyDescent="0.2">
      <c r="B74" s="50" t="s">
        <v>75</v>
      </c>
      <c r="C74" s="55" t="s">
        <v>74</v>
      </c>
      <c r="D74" s="152">
        <f>0</f>
        <v>0</v>
      </c>
    </row>
    <row r="75" spans="2:14" ht="16" x14ac:dyDescent="0.2">
      <c r="B75" s="53" t="s">
        <v>76</v>
      </c>
      <c r="C75" s="56" t="s">
        <v>77</v>
      </c>
      <c r="D75" s="153">
        <f>IF(E19="",0,E19)</f>
        <v>0</v>
      </c>
    </row>
    <row r="76" spans="2:14" ht="16" x14ac:dyDescent="0.2">
      <c r="B76" s="50" t="s">
        <v>78</v>
      </c>
      <c r="C76" s="55" t="s">
        <v>79</v>
      </c>
      <c r="D76" s="152">
        <f>IF(E25="",0,E25)</f>
        <v>0</v>
      </c>
    </row>
    <row r="77" spans="2:14" ht="16" x14ac:dyDescent="0.2">
      <c r="B77" s="53" t="s">
        <v>80</v>
      </c>
      <c r="C77" s="56" t="s">
        <v>81</v>
      </c>
      <c r="D77" s="153">
        <f>IF(E11="",0,E11)</f>
        <v>0</v>
      </c>
    </row>
    <row r="78" spans="2:14" ht="16" x14ac:dyDescent="0.2">
      <c r="B78" s="50" t="s">
        <v>82</v>
      </c>
      <c r="C78" s="55" t="s">
        <v>83</v>
      </c>
      <c r="D78" s="152">
        <f>IF(E26="",0,E26)</f>
        <v>0</v>
      </c>
    </row>
    <row r="79" spans="2:14" ht="16" x14ac:dyDescent="0.2">
      <c r="B79" s="53" t="s">
        <v>84</v>
      </c>
      <c r="C79" s="56" t="s">
        <v>85</v>
      </c>
      <c r="D79" s="153">
        <f>IF(E10="",0,E10)</f>
        <v>0</v>
      </c>
    </row>
    <row r="80" spans="2:14" ht="16" x14ac:dyDescent="0.2">
      <c r="B80" s="50" t="s">
        <v>86</v>
      </c>
      <c r="C80" s="55" t="s">
        <v>87</v>
      </c>
      <c r="D80" s="152">
        <f>0</f>
        <v>0</v>
      </c>
    </row>
    <row r="81" spans="2:9" ht="16" x14ac:dyDescent="0.2">
      <c r="B81" s="53" t="s">
        <v>88</v>
      </c>
      <c r="C81" s="56" t="s">
        <v>89</v>
      </c>
      <c r="D81" s="153">
        <f>0</f>
        <v>0</v>
      </c>
    </row>
    <row r="82" spans="2:9" ht="16" x14ac:dyDescent="0.2">
      <c r="B82" s="57" t="s">
        <v>152</v>
      </c>
      <c r="C82" s="58"/>
      <c r="D82" s="129">
        <f t="shared" ref="D82" si="7">SUM(D70:D81)</f>
        <v>0</v>
      </c>
    </row>
    <row r="83" spans="2:9" x14ac:dyDescent="0.2">
      <c r="G83" s="116"/>
      <c r="H83" s="116"/>
      <c r="I83" s="116"/>
    </row>
    <row r="84" spans="2:9" x14ac:dyDescent="0.2">
      <c r="G84" s="116"/>
      <c r="H84" s="116"/>
      <c r="I84" s="116"/>
    </row>
    <row r="85" spans="2:9" ht="19" x14ac:dyDescent="0.2">
      <c r="B85" s="166" t="s">
        <v>145</v>
      </c>
      <c r="C85" s="167"/>
      <c r="D85" s="167"/>
      <c r="E85" s="167"/>
      <c r="F85" s="168"/>
      <c r="G85" s="124"/>
      <c r="H85" s="124"/>
      <c r="I85" s="116"/>
    </row>
    <row r="86" spans="2:9" ht="17" x14ac:dyDescent="0.2">
      <c r="B86" s="75" t="s">
        <v>153</v>
      </c>
      <c r="C86" s="75" t="s">
        <v>42</v>
      </c>
      <c r="D86" s="75" t="s">
        <v>138</v>
      </c>
      <c r="E86" s="75" t="s">
        <v>139</v>
      </c>
      <c r="F86" s="75" t="s">
        <v>140</v>
      </c>
      <c r="G86" s="130" t="s">
        <v>141</v>
      </c>
      <c r="H86" s="130" t="s">
        <v>142</v>
      </c>
      <c r="I86" s="116"/>
    </row>
    <row r="87" spans="2:9" ht="16" x14ac:dyDescent="0.2">
      <c r="B87" s="50" t="s">
        <v>92</v>
      </c>
      <c r="C87" s="55" t="s">
        <v>93</v>
      </c>
      <c r="D87" s="125">
        <f>TARGETS!J22</f>
        <v>0</v>
      </c>
      <c r="E87" s="122">
        <f>IFERROR(C32,0)</f>
        <v>0</v>
      </c>
      <c r="F87" s="61">
        <f t="shared" ref="F87:F92" si="8">IFERROR(E87/D87,0)</f>
        <v>0</v>
      </c>
      <c r="G87" s="125">
        <f>D87-E87</f>
        <v>0</v>
      </c>
      <c r="H87" s="125">
        <f ca="1">IFERROR(G87/C3,0)</f>
        <v>0</v>
      </c>
      <c r="I87" s="116"/>
    </row>
    <row r="88" spans="2:9" ht="16" x14ac:dyDescent="0.2">
      <c r="B88" s="53" t="s">
        <v>94</v>
      </c>
      <c r="C88" s="56" t="s">
        <v>95</v>
      </c>
      <c r="D88" s="126">
        <f>TARGETS!J23</f>
        <v>0</v>
      </c>
      <c r="E88" s="122">
        <f>IFERROR(C33,0)</f>
        <v>0</v>
      </c>
      <c r="F88" s="61">
        <f t="shared" si="8"/>
        <v>0</v>
      </c>
      <c r="G88" s="126">
        <f>D88-E88</f>
        <v>0</v>
      </c>
      <c r="H88" s="126">
        <f ca="1">IFERROR(G88/C3,0)</f>
        <v>0</v>
      </c>
      <c r="I88" s="116"/>
    </row>
    <row r="89" spans="2:9" ht="16" x14ac:dyDescent="0.2">
      <c r="B89" s="50" t="s">
        <v>96</v>
      </c>
      <c r="C89" s="55" t="s">
        <v>97</v>
      </c>
      <c r="D89" s="125">
        <f>TARGETS!J24</f>
        <v>0</v>
      </c>
      <c r="E89" s="122">
        <f>M21+M7</f>
        <v>0</v>
      </c>
      <c r="F89" s="61">
        <f t="shared" si="8"/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98</v>
      </c>
      <c r="C90" s="56" t="s">
        <v>99</v>
      </c>
      <c r="D90" s="126">
        <f>TARGETS!J25</f>
        <v>0</v>
      </c>
      <c r="E90" s="122">
        <f>0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100</v>
      </c>
      <c r="C91" s="113" t="s">
        <v>101</v>
      </c>
      <c r="D91" s="125">
        <f>TARGETS!J26</f>
        <v>0</v>
      </c>
      <c r="E91" s="122">
        <f>0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7" t="s">
        <v>152</v>
      </c>
      <c r="C92" s="58"/>
      <c r="D92" s="123">
        <f>SUM(D87:D91)</f>
        <v>0</v>
      </c>
      <c r="E92" s="123">
        <f>SUM(E87:E91)</f>
        <v>0</v>
      </c>
      <c r="F92" s="43">
        <f t="shared" si="8"/>
        <v>0</v>
      </c>
      <c r="G92" s="119">
        <f>SUM(G87:G91)</f>
        <v>0</v>
      </c>
      <c r="H92" s="119">
        <f ca="1">IFERROR(G92/C3,0)</f>
        <v>0</v>
      </c>
      <c r="I92" s="116"/>
    </row>
  </sheetData>
  <mergeCells count="12">
    <mergeCell ref="B68:B69"/>
    <mergeCell ref="C68:C69"/>
    <mergeCell ref="B85:F85"/>
    <mergeCell ref="B41:D41"/>
    <mergeCell ref="B48:J48"/>
    <mergeCell ref="K48:N48"/>
    <mergeCell ref="D49:F49"/>
    <mergeCell ref="J49:J50"/>
    <mergeCell ref="N49:N50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N92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NETWORKDAYS.INTL(TODAY(),EOMONTH(TODAY(),0),11)</f>
        <v>9</v>
      </c>
      <c r="D3" s="79" t="s">
        <v>104</v>
      </c>
      <c r="E3" s="80"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/>
      <c r="D9" s="85"/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4"/>
      <c r="D10" s="154"/>
      <c r="E10" s="154"/>
      <c r="F10" s="154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4"/>
      <c r="D11" s="154"/>
      <c r="E11" s="154"/>
      <c r="F11" s="154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4"/>
      <c r="D12" s="154"/>
      <c r="E12" s="154"/>
      <c r="F12" s="154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4"/>
      <c r="D13" s="154"/>
      <c r="E13" s="154"/>
      <c r="F13" s="154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4"/>
      <c r="D14" s="154"/>
      <c r="E14" s="154"/>
      <c r="F14" s="154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4"/>
      <c r="D15" s="154"/>
      <c r="E15" s="154"/>
      <c r="F15" s="154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4"/>
      <c r="D16" s="154"/>
      <c r="E16" s="154"/>
      <c r="F16" s="154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4"/>
      <c r="D17" s="154"/>
      <c r="E17" s="154"/>
      <c r="F17" s="154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4"/>
      <c r="D18" s="154"/>
      <c r="E18" s="154"/>
      <c r="F18" s="154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4"/>
      <c r="D19" s="154"/>
      <c r="E19" s="154"/>
      <c r="F19" s="154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4"/>
      <c r="D20" s="154"/>
      <c r="E20" s="154"/>
      <c r="F20" s="154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4"/>
      <c r="D21" s="154"/>
      <c r="E21" s="154"/>
      <c r="F21" s="154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4"/>
      <c r="D22" s="154"/>
      <c r="E22" s="154"/>
      <c r="F22" s="154"/>
      <c r="H22" s="116"/>
      <c r="I22" s="116"/>
      <c r="J22" s="116"/>
    </row>
    <row r="23" spans="2:14" x14ac:dyDescent="0.2">
      <c r="B23" s="74" t="s">
        <v>176</v>
      </c>
      <c r="C23" s="154"/>
      <c r="D23" s="154"/>
      <c r="E23" s="154"/>
      <c r="F23" s="154"/>
      <c r="H23" s="116"/>
      <c r="I23" s="116"/>
      <c r="J23" s="116"/>
    </row>
    <row r="24" spans="2:14" x14ac:dyDescent="0.2">
      <c r="B24" s="74" t="s">
        <v>125</v>
      </c>
      <c r="C24" s="154"/>
      <c r="D24" s="154"/>
      <c r="E24" s="154"/>
      <c r="F24" s="154"/>
      <c r="H24" s="116"/>
      <c r="I24" s="116"/>
      <c r="J24" s="116"/>
    </row>
    <row r="25" spans="2:14" x14ac:dyDescent="0.2">
      <c r="B25" s="74" t="s">
        <v>126</v>
      </c>
      <c r="C25" s="154"/>
      <c r="D25" s="154"/>
      <c r="E25" s="154"/>
      <c r="F25" s="154"/>
      <c r="H25" s="116"/>
      <c r="I25" s="116"/>
      <c r="J25" s="116"/>
    </row>
    <row r="26" spans="2:14" x14ac:dyDescent="0.2">
      <c r="B26" s="74" t="s">
        <v>127</v>
      </c>
      <c r="C26" s="154"/>
      <c r="D26" s="154"/>
      <c r="E26" s="154"/>
      <c r="F26" s="154"/>
      <c r="H26" s="116"/>
      <c r="I26" s="116"/>
      <c r="J26" s="116"/>
    </row>
    <row r="27" spans="2:14" x14ac:dyDescent="0.2">
      <c r="B27" s="74" t="s">
        <v>128</v>
      </c>
      <c r="C27" s="154"/>
      <c r="D27" s="154"/>
      <c r="E27" s="154"/>
      <c r="F27" s="154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/>
      <c r="G32" s="116"/>
      <c r="H32" s="116"/>
      <c r="I32" s="116"/>
    </row>
    <row r="33" spans="2:14" x14ac:dyDescent="0.2">
      <c r="B33" s="84" t="s">
        <v>133</v>
      </c>
      <c r="C33" s="15"/>
      <c r="G33" s="116"/>
      <c r="H33" s="116"/>
      <c r="I33" s="116"/>
    </row>
    <row r="34" spans="2:14" x14ac:dyDescent="0.2">
      <c r="B34" s="84" t="s">
        <v>134</v>
      </c>
      <c r="C34" s="15"/>
      <c r="G34" s="116"/>
      <c r="H34" s="116"/>
      <c r="I34" s="116"/>
    </row>
    <row r="35" spans="2:14" x14ac:dyDescent="0.2">
      <c r="B35" s="84" t="s">
        <v>135</v>
      </c>
      <c r="C35" s="15"/>
      <c r="G35" s="116"/>
      <c r="H35" s="116"/>
      <c r="I35" s="116"/>
    </row>
    <row r="36" spans="2:14" x14ac:dyDescent="0.2">
      <c r="B36" s="84" t="s">
        <v>136</v>
      </c>
      <c r="C36" s="15"/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9" t="s">
        <v>164</v>
      </c>
      <c r="C41" s="160"/>
      <c r="D41" s="161"/>
      <c r="E41" s="67" t="s">
        <v>138</v>
      </c>
      <c r="F41" s="73">
        <f ca="1">DAY(TODAY())/DAY(EOMONTH(TODAY(),0))</f>
        <v>0.7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SUM(TARGETS!R5:R6,TARGETS!R8:R12,TARGETS!R14:R18)</f>
        <v>0</v>
      </c>
      <c r="E43" s="46">
        <f>M8+M9+M10+M11+M12+M13+M14+M15+M16+M17+M18+M19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72" t="s">
        <v>146</v>
      </c>
      <c r="C46" s="17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163" t="s">
        <v>147</v>
      </c>
      <c r="C48" s="164"/>
      <c r="D48" s="164"/>
      <c r="E48" s="164"/>
      <c r="F48" s="164"/>
      <c r="G48" s="164"/>
      <c r="H48" s="164"/>
      <c r="I48" s="164"/>
      <c r="J48" s="165"/>
      <c r="K48" s="175"/>
      <c r="L48" s="176"/>
      <c r="M48" s="176"/>
      <c r="N48" s="177"/>
    </row>
    <row r="49" spans="2:14" ht="17" x14ac:dyDescent="0.2">
      <c r="B49" s="174" t="s">
        <v>41</v>
      </c>
      <c r="C49" s="174" t="s">
        <v>42</v>
      </c>
      <c r="D49" s="169" t="s">
        <v>138</v>
      </c>
      <c r="E49" s="170"/>
      <c r="F49" s="171"/>
      <c r="G49" s="120" t="s">
        <v>139</v>
      </c>
      <c r="H49" s="120"/>
      <c r="I49" s="120"/>
      <c r="J49" s="174" t="s">
        <v>140</v>
      </c>
      <c r="K49" s="132" t="s">
        <v>148</v>
      </c>
      <c r="L49" s="132"/>
      <c r="M49" s="132"/>
      <c r="N49" s="162" t="s">
        <v>149</v>
      </c>
    </row>
    <row r="50" spans="2:14" ht="51" x14ac:dyDescent="0.2">
      <c r="B50" s="174"/>
      <c r="C50" s="17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4"/>
      <c r="K50" s="133" t="s">
        <v>143</v>
      </c>
      <c r="L50" s="133" t="s">
        <v>111</v>
      </c>
      <c r="M50" s="133" t="s">
        <v>146</v>
      </c>
      <c r="N50" s="162"/>
    </row>
    <row r="51" spans="2:14" ht="16" x14ac:dyDescent="0.2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50" t="s">
        <v>178</v>
      </c>
      <c r="C53" s="55" t="s">
        <v>179</v>
      </c>
      <c r="D53" s="148">
        <f>TARGETS!R7</f>
        <v>0</v>
      </c>
      <c r="E53" s="148">
        <f>TARGETS!S7</f>
        <v>0</v>
      </c>
      <c r="F53" s="148">
        <f>D53+E53</f>
        <v>0</v>
      </c>
      <c r="G53" s="149">
        <f>C22</f>
        <v>0</v>
      </c>
      <c r="H53" s="149">
        <f>IF(D22="",0,D22)</f>
        <v>0</v>
      </c>
      <c r="I53" s="149">
        <f>G53+H53</f>
        <v>0</v>
      </c>
      <c r="J53" s="150">
        <f>IFERROR(I53/F53,0)</f>
        <v>0</v>
      </c>
      <c r="K53" s="151">
        <f>D53-G53</f>
        <v>0</v>
      </c>
      <c r="L53" s="151">
        <f>E53-H53</f>
        <v>0</v>
      </c>
      <c r="M53" s="151">
        <f>F53-I53</f>
        <v>0</v>
      </c>
      <c r="N53" s="151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 t="shared" ref="G54:H58" si="4">M10</f>
        <v>0</v>
      </c>
      <c r="H54" s="122">
        <f t="shared" si="4"/>
        <v>0</v>
      </c>
      <c r="I54" s="122">
        <f t="shared" si="1"/>
        <v>0</v>
      </c>
      <c r="J54" s="61">
        <f t="shared" si="2"/>
        <v>0</v>
      </c>
      <c r="K54" s="54">
        <f t="shared" si="3"/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 t="shared" si="4"/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1">
        <f t="shared" si="3"/>
        <v>0</v>
      </c>
      <c r="L55" s="51">
        <f t="shared" si="3"/>
        <v>0</v>
      </c>
      <c r="M55" s="51">
        <f t="shared" si="3"/>
        <v>0</v>
      </c>
      <c r="N55" s="51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 t="shared" si="4"/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 t="shared" si="4"/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 t="shared" si="4"/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50" t="s">
        <v>178</v>
      </c>
      <c r="C59" s="55" t="s">
        <v>180</v>
      </c>
      <c r="D59" s="148">
        <f>TARGETS!R13</f>
        <v>0</v>
      </c>
      <c r="E59" s="148">
        <f>TARGETS!S13</f>
        <v>0</v>
      </c>
      <c r="F59" s="148">
        <f>D59+E59</f>
        <v>0</v>
      </c>
      <c r="G59" s="149">
        <f>C23</f>
        <v>0</v>
      </c>
      <c r="H59" s="149">
        <f>IF(D23="",0,D23)</f>
        <v>0</v>
      </c>
      <c r="I59" s="149">
        <f>G59+H59</f>
        <v>0</v>
      </c>
      <c r="J59" s="150">
        <f>IFERROR(I59/F59,0)</f>
        <v>0</v>
      </c>
      <c r="K59" s="151">
        <f>D59-G59</f>
        <v>0</v>
      </c>
      <c r="L59" s="151">
        <f>E59-H59</f>
        <v>0</v>
      </c>
      <c r="M59" s="151">
        <f>F59-I59</f>
        <v>0</v>
      </c>
      <c r="N59" s="151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 t="shared" ref="G60:H64" si="5">M15</f>
        <v>0</v>
      </c>
      <c r="H60" s="122">
        <f t="shared" si="5"/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 t="shared" si="5"/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1">
        <f t="shared" si="3"/>
        <v>0</v>
      </c>
      <c r="L61" s="51">
        <f t="shared" si="3"/>
        <v>0</v>
      </c>
      <c r="M61" s="51">
        <f t="shared" si="3"/>
        <v>0</v>
      </c>
      <c r="N61" s="51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 t="shared" si="5"/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 t="shared" si="5"/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1">
        <f t="shared" si="3"/>
        <v>0</v>
      </c>
      <c r="L63" s="51">
        <f t="shared" si="3"/>
        <v>0</v>
      </c>
      <c r="M63" s="51">
        <f t="shared" si="3"/>
        <v>0</v>
      </c>
      <c r="N63" s="51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 t="shared" si="5"/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5">
        <f t="shared" ref="D65:I65" si="6">SUM(D51:D52,D54:D58,D60:D64)</f>
        <v>0</v>
      </c>
      <c r="E65" s="155">
        <f t="shared" si="6"/>
        <v>0</v>
      </c>
      <c r="F65" s="155">
        <f t="shared" si="6"/>
        <v>0</v>
      </c>
      <c r="G65" s="156">
        <f t="shared" si="6"/>
        <v>0</v>
      </c>
      <c r="H65" s="156">
        <f t="shared" si="6"/>
        <v>0</v>
      </c>
      <c r="I65" s="156">
        <f t="shared" si="6"/>
        <v>0</v>
      </c>
      <c r="J65" s="157">
        <f>IFERROR(I65/F65,0)</f>
        <v>0</v>
      </c>
      <c r="K65" s="158">
        <f>SUM(K51:K52,K54:K58,K60:K64)</f>
        <v>0</v>
      </c>
      <c r="L65" s="158">
        <f>SUM(L51:L52,L54:L58,L60:L64)</f>
        <v>0</v>
      </c>
      <c r="M65" s="158">
        <f>SUM(M51:M52,M54:M58,M60:M64)</f>
        <v>0</v>
      </c>
      <c r="N65" s="158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4" t="s">
        <v>41</v>
      </c>
      <c r="C68" s="174" t="s">
        <v>42</v>
      </c>
      <c r="D68" s="134" t="s">
        <v>139</v>
      </c>
    </row>
    <row r="69" spans="2:14" ht="17" x14ac:dyDescent="0.2">
      <c r="B69" s="174"/>
      <c r="C69" s="174"/>
      <c r="D69" s="71" t="s">
        <v>174</v>
      </c>
    </row>
    <row r="70" spans="2:14" ht="16" x14ac:dyDescent="0.2">
      <c r="B70" s="50" t="s">
        <v>67</v>
      </c>
      <c r="C70" s="55" t="s">
        <v>68</v>
      </c>
      <c r="D70" s="152">
        <f>IF(E24="",0,E24)</f>
        <v>0</v>
      </c>
    </row>
    <row r="71" spans="2:14" ht="16" x14ac:dyDescent="0.2">
      <c r="B71" s="53" t="s">
        <v>69</v>
      </c>
      <c r="C71" s="56" t="s">
        <v>70</v>
      </c>
      <c r="D71" s="153">
        <f>IF(E12="",0,E12)+IF(E13="",0,E13)</f>
        <v>0</v>
      </c>
    </row>
    <row r="72" spans="2:14" ht="16" x14ac:dyDescent="0.2">
      <c r="B72" s="50" t="s">
        <v>71</v>
      </c>
      <c r="C72" s="55" t="s">
        <v>72</v>
      </c>
      <c r="D72" s="152">
        <f>IF(E14="",0,E14)</f>
        <v>0</v>
      </c>
    </row>
    <row r="73" spans="2:14" ht="16" x14ac:dyDescent="0.2">
      <c r="B73" s="53" t="s">
        <v>73</v>
      </c>
      <c r="C73" s="56" t="s">
        <v>74</v>
      </c>
      <c r="D73" s="153">
        <f>0</f>
        <v>0</v>
      </c>
    </row>
    <row r="74" spans="2:14" ht="16" x14ac:dyDescent="0.2">
      <c r="B74" s="50" t="s">
        <v>75</v>
      </c>
      <c r="C74" s="55" t="s">
        <v>74</v>
      </c>
      <c r="D74" s="152">
        <f>0</f>
        <v>0</v>
      </c>
    </row>
    <row r="75" spans="2:14" ht="16" x14ac:dyDescent="0.2">
      <c r="B75" s="53" t="s">
        <v>76</v>
      </c>
      <c r="C75" s="56" t="s">
        <v>77</v>
      </c>
      <c r="D75" s="153">
        <f>IF(E19="",0,E19)</f>
        <v>0</v>
      </c>
    </row>
    <row r="76" spans="2:14" ht="16" x14ac:dyDescent="0.2">
      <c r="B76" s="50" t="s">
        <v>78</v>
      </c>
      <c r="C76" s="55" t="s">
        <v>79</v>
      </c>
      <c r="D76" s="152">
        <f>IF(E25="",0,E25)</f>
        <v>0</v>
      </c>
    </row>
    <row r="77" spans="2:14" ht="16" x14ac:dyDescent="0.2">
      <c r="B77" s="53" t="s">
        <v>80</v>
      </c>
      <c r="C77" s="56" t="s">
        <v>81</v>
      </c>
      <c r="D77" s="153">
        <f>IF(E11="",0,E11)</f>
        <v>0</v>
      </c>
    </row>
    <row r="78" spans="2:14" ht="16" x14ac:dyDescent="0.2">
      <c r="B78" s="50" t="s">
        <v>82</v>
      </c>
      <c r="C78" s="55" t="s">
        <v>83</v>
      </c>
      <c r="D78" s="152">
        <f>IF(E26="",0,E26)</f>
        <v>0</v>
      </c>
    </row>
    <row r="79" spans="2:14" ht="16" x14ac:dyDescent="0.2">
      <c r="B79" s="53" t="s">
        <v>84</v>
      </c>
      <c r="C79" s="56" t="s">
        <v>85</v>
      </c>
      <c r="D79" s="153">
        <f>IF(E10="",0,E10)</f>
        <v>0</v>
      </c>
    </row>
    <row r="80" spans="2:14" ht="16" x14ac:dyDescent="0.2">
      <c r="B80" s="50" t="s">
        <v>86</v>
      </c>
      <c r="C80" s="55" t="s">
        <v>87</v>
      </c>
      <c r="D80" s="152">
        <f>0</f>
        <v>0</v>
      </c>
    </row>
    <row r="81" spans="2:9" ht="16" x14ac:dyDescent="0.2">
      <c r="B81" s="53" t="s">
        <v>88</v>
      </c>
      <c r="C81" s="56" t="s">
        <v>89</v>
      </c>
      <c r="D81" s="153">
        <f>0</f>
        <v>0</v>
      </c>
    </row>
    <row r="82" spans="2:9" ht="16" x14ac:dyDescent="0.2">
      <c r="B82" s="57" t="s">
        <v>152</v>
      </c>
      <c r="C82" s="58"/>
      <c r="D82" s="129">
        <f t="shared" ref="D82" si="7">SUM(D70:D81)</f>
        <v>0</v>
      </c>
    </row>
    <row r="83" spans="2:9" x14ac:dyDescent="0.2">
      <c r="G83" s="116"/>
      <c r="H83" s="116"/>
      <c r="I83" s="116"/>
    </row>
    <row r="84" spans="2:9" x14ac:dyDescent="0.2">
      <c r="G84" s="116"/>
      <c r="H84" s="116"/>
      <c r="I84" s="116"/>
    </row>
    <row r="85" spans="2:9" ht="19" x14ac:dyDescent="0.2">
      <c r="B85" s="166" t="s">
        <v>145</v>
      </c>
      <c r="C85" s="167"/>
      <c r="D85" s="167"/>
      <c r="E85" s="167"/>
      <c r="F85" s="168"/>
      <c r="G85" s="124"/>
      <c r="H85" s="124"/>
      <c r="I85" s="116"/>
    </row>
    <row r="86" spans="2:9" ht="17" x14ac:dyDescent="0.2">
      <c r="B86" s="75" t="s">
        <v>153</v>
      </c>
      <c r="C86" s="75" t="s">
        <v>42</v>
      </c>
      <c r="D86" s="75" t="s">
        <v>138</v>
      </c>
      <c r="E86" s="75" t="s">
        <v>139</v>
      </c>
      <c r="F86" s="75" t="s">
        <v>140</v>
      </c>
      <c r="G86" s="130" t="s">
        <v>141</v>
      </c>
      <c r="H86" s="130" t="s">
        <v>142</v>
      </c>
      <c r="I86" s="116"/>
    </row>
    <row r="87" spans="2:9" ht="16" x14ac:dyDescent="0.2">
      <c r="B87" s="50" t="s">
        <v>92</v>
      </c>
      <c r="C87" s="55" t="s">
        <v>93</v>
      </c>
      <c r="D87" s="125">
        <f>TARGETS!K22</f>
        <v>0</v>
      </c>
      <c r="E87" s="122">
        <f>IFERROR(C32,0)</f>
        <v>0</v>
      </c>
      <c r="F87" s="61">
        <f t="shared" ref="F87:F92" si="8">IFERROR(E87/D87,0)</f>
        <v>0</v>
      </c>
      <c r="G87" s="125">
        <f>D87-E87</f>
        <v>0</v>
      </c>
      <c r="H87" s="125">
        <f ca="1">IFERROR(G87/C3,0)</f>
        <v>0</v>
      </c>
      <c r="I87" s="116"/>
    </row>
    <row r="88" spans="2:9" ht="16" x14ac:dyDescent="0.2">
      <c r="B88" s="53" t="s">
        <v>94</v>
      </c>
      <c r="C88" s="56" t="s">
        <v>95</v>
      </c>
      <c r="D88" s="126">
        <f>TARGETS!K23</f>
        <v>0</v>
      </c>
      <c r="E88" s="122">
        <f>IFERROR(C33,0)</f>
        <v>0</v>
      </c>
      <c r="F88" s="61">
        <f t="shared" si="8"/>
        <v>0</v>
      </c>
      <c r="G88" s="126">
        <f>D88-E88</f>
        <v>0</v>
      </c>
      <c r="H88" s="126">
        <f ca="1">IFERROR(G88/C3,0)</f>
        <v>0</v>
      </c>
      <c r="I88" s="116"/>
    </row>
    <row r="89" spans="2:9" ht="16" x14ac:dyDescent="0.2">
      <c r="B89" s="50" t="s">
        <v>96</v>
      </c>
      <c r="C89" s="55" t="s">
        <v>97</v>
      </c>
      <c r="D89" s="125">
        <f>TARGETS!K24</f>
        <v>0</v>
      </c>
      <c r="E89" s="122">
        <f>M21+M7</f>
        <v>0</v>
      </c>
      <c r="F89" s="61">
        <f t="shared" si="8"/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98</v>
      </c>
      <c r="C90" s="56" t="s">
        <v>99</v>
      </c>
      <c r="D90" s="126">
        <f>TARGETS!K25</f>
        <v>0</v>
      </c>
      <c r="E90" s="122">
        <f>0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100</v>
      </c>
      <c r="C91" s="113" t="s">
        <v>101</v>
      </c>
      <c r="D91" s="125">
        <f>TARGETS!K26</f>
        <v>0</v>
      </c>
      <c r="E91" s="122">
        <f>0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7" t="s">
        <v>152</v>
      </c>
      <c r="C92" s="58"/>
      <c r="D92" s="123">
        <f>SUM(D87:D91)</f>
        <v>0</v>
      </c>
      <c r="E92" s="123">
        <f>SUM(E87:E91)</f>
        <v>0</v>
      </c>
      <c r="F92" s="43">
        <f t="shared" si="8"/>
        <v>0</v>
      </c>
      <c r="G92" s="119">
        <f>SUM(G87:G91)</f>
        <v>0</v>
      </c>
      <c r="H92" s="119">
        <f ca="1">IFERROR(G92/C3,0)</f>
        <v>0</v>
      </c>
      <c r="I92" s="116"/>
    </row>
  </sheetData>
  <mergeCells count="12">
    <mergeCell ref="B68:B69"/>
    <mergeCell ref="C68:C69"/>
    <mergeCell ref="B85:F85"/>
    <mergeCell ref="B41:D41"/>
    <mergeCell ref="B48:J48"/>
    <mergeCell ref="K48:N48"/>
    <mergeCell ref="D49:F49"/>
    <mergeCell ref="J49:J50"/>
    <mergeCell ref="N49:N50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N92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NETWORKDAYS.INTL(TODAY(),EOMONTH(TODAY(),0),11)</f>
        <v>9</v>
      </c>
      <c r="D3" s="79" t="s">
        <v>104</v>
      </c>
      <c r="E3" s="80"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/>
      <c r="D9" s="85"/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4"/>
      <c r="D10" s="154"/>
      <c r="E10" s="154"/>
      <c r="F10" s="154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4"/>
      <c r="D11" s="154"/>
      <c r="E11" s="154"/>
      <c r="F11" s="154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4"/>
      <c r="D12" s="154"/>
      <c r="E12" s="154"/>
      <c r="F12" s="154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4"/>
      <c r="D13" s="154"/>
      <c r="E13" s="154"/>
      <c r="F13" s="154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4"/>
      <c r="D14" s="154"/>
      <c r="E14" s="154"/>
      <c r="F14" s="154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4"/>
      <c r="D15" s="154"/>
      <c r="E15" s="154"/>
      <c r="F15" s="154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4"/>
      <c r="D16" s="154"/>
      <c r="E16" s="154"/>
      <c r="F16" s="154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4"/>
      <c r="D17" s="154"/>
      <c r="E17" s="154"/>
      <c r="F17" s="154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4"/>
      <c r="D18" s="154"/>
      <c r="E18" s="154"/>
      <c r="F18" s="154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4"/>
      <c r="D19" s="154"/>
      <c r="E19" s="154"/>
      <c r="F19" s="154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4"/>
      <c r="D20" s="154"/>
      <c r="E20" s="154"/>
      <c r="F20" s="154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4"/>
      <c r="D21" s="154"/>
      <c r="E21" s="154"/>
      <c r="F21" s="154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4"/>
      <c r="D22" s="154"/>
      <c r="E22" s="154"/>
      <c r="F22" s="154"/>
      <c r="H22" s="116"/>
      <c r="I22" s="116"/>
      <c r="J22" s="116"/>
    </row>
    <row r="23" spans="2:14" x14ac:dyDescent="0.2">
      <c r="B23" s="74" t="s">
        <v>176</v>
      </c>
      <c r="C23" s="154"/>
      <c r="D23" s="154"/>
      <c r="E23" s="154"/>
      <c r="F23" s="154"/>
      <c r="H23" s="116"/>
      <c r="I23" s="116"/>
      <c r="J23" s="116"/>
    </row>
    <row r="24" spans="2:14" x14ac:dyDescent="0.2">
      <c r="B24" s="74" t="s">
        <v>125</v>
      </c>
      <c r="C24" s="154"/>
      <c r="D24" s="154"/>
      <c r="E24" s="154"/>
      <c r="F24" s="154"/>
      <c r="H24" s="116"/>
      <c r="I24" s="116"/>
      <c r="J24" s="116"/>
    </row>
    <row r="25" spans="2:14" x14ac:dyDescent="0.2">
      <c r="B25" s="74" t="s">
        <v>126</v>
      </c>
      <c r="C25" s="154"/>
      <c r="D25" s="154"/>
      <c r="E25" s="154"/>
      <c r="F25" s="154"/>
      <c r="H25" s="116"/>
      <c r="I25" s="116"/>
      <c r="J25" s="116"/>
    </row>
    <row r="26" spans="2:14" x14ac:dyDescent="0.2">
      <c r="B26" s="74" t="s">
        <v>127</v>
      </c>
      <c r="C26" s="154"/>
      <c r="D26" s="154"/>
      <c r="E26" s="154"/>
      <c r="F26" s="154"/>
      <c r="H26" s="116"/>
      <c r="I26" s="116"/>
      <c r="J26" s="116"/>
    </row>
    <row r="27" spans="2:14" x14ac:dyDescent="0.2">
      <c r="B27" s="74" t="s">
        <v>128</v>
      </c>
      <c r="C27" s="154"/>
      <c r="D27" s="154"/>
      <c r="E27" s="154"/>
      <c r="F27" s="154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/>
      <c r="G32" s="116"/>
      <c r="H32" s="116"/>
      <c r="I32" s="116"/>
    </row>
    <row r="33" spans="2:14" x14ac:dyDescent="0.2">
      <c r="B33" s="84" t="s">
        <v>133</v>
      </c>
      <c r="C33" s="15"/>
      <c r="G33" s="116"/>
      <c r="H33" s="116"/>
      <c r="I33" s="116"/>
    </row>
    <row r="34" spans="2:14" x14ac:dyDescent="0.2">
      <c r="B34" s="84" t="s">
        <v>134</v>
      </c>
      <c r="C34" s="15"/>
      <c r="G34" s="116"/>
      <c r="H34" s="116"/>
      <c r="I34" s="116"/>
    </row>
    <row r="35" spans="2:14" x14ac:dyDescent="0.2">
      <c r="B35" s="84" t="s">
        <v>135</v>
      </c>
      <c r="C35" s="15"/>
      <c r="G35" s="116"/>
      <c r="H35" s="116"/>
      <c r="I35" s="116"/>
    </row>
    <row r="36" spans="2:14" x14ac:dyDescent="0.2">
      <c r="B36" s="84" t="s">
        <v>136</v>
      </c>
      <c r="C36" s="15"/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9" t="s">
        <v>166</v>
      </c>
      <c r="C41" s="160"/>
      <c r="D41" s="161"/>
      <c r="E41" s="67" t="s">
        <v>138</v>
      </c>
      <c r="F41" s="73">
        <f ca="1">DAY(TODAY())/DAY(EOMONTH(TODAY(),0))</f>
        <v>0.7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SUM(TARGETS!T5:T6,TARGETS!T8:T12,TARGETS!T14:T18)</f>
        <v>0</v>
      </c>
      <c r="E43" s="46">
        <f>M8+M9+M10+M11+M12+M13+M14+M15+M16+M17+M18+M19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72" t="s">
        <v>146</v>
      </c>
      <c r="C46" s="17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163" t="s">
        <v>147</v>
      </c>
      <c r="C48" s="164"/>
      <c r="D48" s="164"/>
      <c r="E48" s="164"/>
      <c r="F48" s="164"/>
      <c r="G48" s="164"/>
      <c r="H48" s="164"/>
      <c r="I48" s="164"/>
      <c r="J48" s="165"/>
      <c r="K48" s="175"/>
      <c r="L48" s="176"/>
      <c r="M48" s="176"/>
      <c r="N48" s="177"/>
    </row>
    <row r="49" spans="2:14" ht="17" x14ac:dyDescent="0.2">
      <c r="B49" s="174" t="s">
        <v>41</v>
      </c>
      <c r="C49" s="174" t="s">
        <v>42</v>
      </c>
      <c r="D49" s="169" t="s">
        <v>138</v>
      </c>
      <c r="E49" s="170"/>
      <c r="F49" s="171"/>
      <c r="G49" s="120" t="s">
        <v>139</v>
      </c>
      <c r="H49" s="120"/>
      <c r="I49" s="120"/>
      <c r="J49" s="174" t="s">
        <v>140</v>
      </c>
      <c r="K49" s="132" t="s">
        <v>148</v>
      </c>
      <c r="L49" s="132"/>
      <c r="M49" s="132"/>
      <c r="N49" s="162" t="s">
        <v>149</v>
      </c>
    </row>
    <row r="50" spans="2:14" ht="51" x14ac:dyDescent="0.2">
      <c r="B50" s="174"/>
      <c r="C50" s="17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4"/>
      <c r="K50" s="133" t="s">
        <v>143</v>
      </c>
      <c r="L50" s="133" t="s">
        <v>111</v>
      </c>
      <c r="M50" s="133" t="s">
        <v>146</v>
      </c>
      <c r="N50" s="162"/>
    </row>
    <row r="51" spans="2:14" ht="16" x14ac:dyDescent="0.2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50" t="s">
        <v>178</v>
      </c>
      <c r="C53" s="55" t="s">
        <v>179</v>
      </c>
      <c r="D53" s="148">
        <f>TARGETS!T7</f>
        <v>0</v>
      </c>
      <c r="E53" s="148">
        <f>TARGETS!U7</f>
        <v>0</v>
      </c>
      <c r="F53" s="148">
        <f>D53+E53</f>
        <v>0</v>
      </c>
      <c r="G53" s="149">
        <f>C22</f>
        <v>0</v>
      </c>
      <c r="H53" s="149">
        <f>IF(D22="",0,D22)</f>
        <v>0</v>
      </c>
      <c r="I53" s="149">
        <f>G53+H53</f>
        <v>0</v>
      </c>
      <c r="J53" s="150">
        <f>IFERROR(I53/F53,0)</f>
        <v>0</v>
      </c>
      <c r="K53" s="151">
        <f>D53-G53</f>
        <v>0</v>
      </c>
      <c r="L53" s="151">
        <f>E53-H53</f>
        <v>0</v>
      </c>
      <c r="M53" s="151">
        <f>F53-I53</f>
        <v>0</v>
      </c>
      <c r="N53" s="151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 t="shared" ref="G54:H58" si="4">M10</f>
        <v>0</v>
      </c>
      <c r="H54" s="122">
        <f t="shared" si="4"/>
        <v>0</v>
      </c>
      <c r="I54" s="122">
        <f t="shared" si="1"/>
        <v>0</v>
      </c>
      <c r="J54" s="61">
        <f t="shared" si="2"/>
        <v>0</v>
      </c>
      <c r="K54" s="54">
        <f t="shared" si="3"/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 t="shared" si="4"/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1">
        <f t="shared" si="3"/>
        <v>0</v>
      </c>
      <c r="L55" s="51">
        <f t="shared" si="3"/>
        <v>0</v>
      </c>
      <c r="M55" s="51">
        <f t="shared" si="3"/>
        <v>0</v>
      </c>
      <c r="N55" s="51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 t="shared" si="4"/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 t="shared" si="4"/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 t="shared" si="4"/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50" t="s">
        <v>178</v>
      </c>
      <c r="C59" s="55" t="s">
        <v>180</v>
      </c>
      <c r="D59" s="148">
        <f>TARGETS!T13</f>
        <v>0</v>
      </c>
      <c r="E59" s="148">
        <f>TARGETS!U13</f>
        <v>0</v>
      </c>
      <c r="F59" s="148">
        <f>D59+E59</f>
        <v>0</v>
      </c>
      <c r="G59" s="149">
        <f>C23</f>
        <v>0</v>
      </c>
      <c r="H59" s="149">
        <f>IF(D23="",0,D23)</f>
        <v>0</v>
      </c>
      <c r="I59" s="149">
        <f>G59+H59</f>
        <v>0</v>
      </c>
      <c r="J59" s="150">
        <f>IFERROR(I59/F59,0)</f>
        <v>0</v>
      </c>
      <c r="K59" s="151">
        <f>D59-G59</f>
        <v>0</v>
      </c>
      <c r="L59" s="151">
        <f>E59-H59</f>
        <v>0</v>
      </c>
      <c r="M59" s="151">
        <f>F59-I59</f>
        <v>0</v>
      </c>
      <c r="N59" s="151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 t="shared" ref="G60:H64" si="5">M15</f>
        <v>0</v>
      </c>
      <c r="H60" s="122">
        <f t="shared" si="5"/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 t="shared" si="5"/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1">
        <f t="shared" si="3"/>
        <v>0</v>
      </c>
      <c r="L61" s="51">
        <f t="shared" si="3"/>
        <v>0</v>
      </c>
      <c r="M61" s="51">
        <f t="shared" si="3"/>
        <v>0</v>
      </c>
      <c r="N61" s="51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 t="shared" si="5"/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 t="shared" si="5"/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1">
        <f t="shared" si="3"/>
        <v>0</v>
      </c>
      <c r="L63" s="51">
        <f t="shared" si="3"/>
        <v>0</v>
      </c>
      <c r="M63" s="51">
        <f t="shared" si="3"/>
        <v>0</v>
      </c>
      <c r="N63" s="51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 t="shared" si="5"/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5">
        <f t="shared" ref="D65:I65" si="6">SUM(D51:D52,D54:D58,D60:D64)</f>
        <v>0</v>
      </c>
      <c r="E65" s="155">
        <f t="shared" si="6"/>
        <v>0</v>
      </c>
      <c r="F65" s="155">
        <f t="shared" si="6"/>
        <v>0</v>
      </c>
      <c r="G65" s="156">
        <f t="shared" si="6"/>
        <v>0</v>
      </c>
      <c r="H65" s="156">
        <f t="shared" si="6"/>
        <v>0</v>
      </c>
      <c r="I65" s="156">
        <f t="shared" si="6"/>
        <v>0</v>
      </c>
      <c r="J65" s="157">
        <f>IFERROR(I65/F65,0)</f>
        <v>0</v>
      </c>
      <c r="K65" s="158">
        <f>SUM(K51:K52,K54:K58,K60:K64)</f>
        <v>0</v>
      </c>
      <c r="L65" s="158">
        <f>SUM(L51:L52,L54:L58,L60:L64)</f>
        <v>0</v>
      </c>
      <c r="M65" s="158">
        <f>SUM(M51:M52,M54:M58,M60:M64)</f>
        <v>0</v>
      </c>
      <c r="N65" s="158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4" t="s">
        <v>41</v>
      </c>
      <c r="C68" s="174" t="s">
        <v>42</v>
      </c>
      <c r="D68" s="134" t="s">
        <v>139</v>
      </c>
    </row>
    <row r="69" spans="2:14" ht="17" x14ac:dyDescent="0.2">
      <c r="B69" s="174"/>
      <c r="C69" s="174"/>
      <c r="D69" s="71" t="s">
        <v>174</v>
      </c>
    </row>
    <row r="70" spans="2:14" ht="16" x14ac:dyDescent="0.2">
      <c r="B70" s="50" t="s">
        <v>67</v>
      </c>
      <c r="C70" s="55" t="s">
        <v>68</v>
      </c>
      <c r="D70" s="152">
        <f>IF(E24="",0,E24)</f>
        <v>0</v>
      </c>
    </row>
    <row r="71" spans="2:14" ht="16" x14ac:dyDescent="0.2">
      <c r="B71" s="53" t="s">
        <v>69</v>
      </c>
      <c r="C71" s="56" t="s">
        <v>70</v>
      </c>
      <c r="D71" s="153">
        <f>IF(E12="",0,E12)+IF(E13="",0,E13)</f>
        <v>0</v>
      </c>
    </row>
    <row r="72" spans="2:14" ht="16" x14ac:dyDescent="0.2">
      <c r="B72" s="50" t="s">
        <v>71</v>
      </c>
      <c r="C72" s="55" t="s">
        <v>72</v>
      </c>
      <c r="D72" s="152">
        <f>IF(E14="",0,E14)</f>
        <v>0</v>
      </c>
    </row>
    <row r="73" spans="2:14" ht="16" x14ac:dyDescent="0.2">
      <c r="B73" s="53" t="s">
        <v>73</v>
      </c>
      <c r="C73" s="56" t="s">
        <v>74</v>
      </c>
      <c r="D73" s="153">
        <f>0</f>
        <v>0</v>
      </c>
    </row>
    <row r="74" spans="2:14" ht="16" x14ac:dyDescent="0.2">
      <c r="B74" s="50" t="s">
        <v>75</v>
      </c>
      <c r="C74" s="55" t="s">
        <v>74</v>
      </c>
      <c r="D74" s="152">
        <f>0</f>
        <v>0</v>
      </c>
    </row>
    <row r="75" spans="2:14" ht="16" x14ac:dyDescent="0.2">
      <c r="B75" s="53" t="s">
        <v>76</v>
      </c>
      <c r="C75" s="56" t="s">
        <v>77</v>
      </c>
      <c r="D75" s="153">
        <f>IF(E19="",0,E19)</f>
        <v>0</v>
      </c>
    </row>
    <row r="76" spans="2:14" ht="16" x14ac:dyDescent="0.2">
      <c r="B76" s="50" t="s">
        <v>78</v>
      </c>
      <c r="C76" s="55" t="s">
        <v>79</v>
      </c>
      <c r="D76" s="152">
        <f>IF(E25="",0,E25)</f>
        <v>0</v>
      </c>
    </row>
    <row r="77" spans="2:14" ht="16" x14ac:dyDescent="0.2">
      <c r="B77" s="53" t="s">
        <v>80</v>
      </c>
      <c r="C77" s="56" t="s">
        <v>81</v>
      </c>
      <c r="D77" s="153">
        <f>IF(E11="",0,E11)</f>
        <v>0</v>
      </c>
    </row>
    <row r="78" spans="2:14" ht="16" x14ac:dyDescent="0.2">
      <c r="B78" s="50" t="s">
        <v>82</v>
      </c>
      <c r="C78" s="55" t="s">
        <v>83</v>
      </c>
      <c r="D78" s="152">
        <f>IF(E26="",0,E26)</f>
        <v>0</v>
      </c>
    </row>
    <row r="79" spans="2:14" ht="16" x14ac:dyDescent="0.2">
      <c r="B79" s="53" t="s">
        <v>84</v>
      </c>
      <c r="C79" s="56" t="s">
        <v>85</v>
      </c>
      <c r="D79" s="153">
        <f>IF(E10="",0,E10)</f>
        <v>0</v>
      </c>
    </row>
    <row r="80" spans="2:14" ht="16" x14ac:dyDescent="0.2">
      <c r="B80" s="50" t="s">
        <v>86</v>
      </c>
      <c r="C80" s="55" t="s">
        <v>87</v>
      </c>
      <c r="D80" s="152">
        <f>0</f>
        <v>0</v>
      </c>
    </row>
    <row r="81" spans="2:9" ht="16" x14ac:dyDescent="0.2">
      <c r="B81" s="53" t="s">
        <v>88</v>
      </c>
      <c r="C81" s="56" t="s">
        <v>89</v>
      </c>
      <c r="D81" s="153">
        <f>0</f>
        <v>0</v>
      </c>
    </row>
    <row r="82" spans="2:9" ht="16" x14ac:dyDescent="0.2">
      <c r="B82" s="57" t="s">
        <v>152</v>
      </c>
      <c r="C82" s="58"/>
      <c r="D82" s="129">
        <f t="shared" ref="D82" si="7">SUM(D70:D81)</f>
        <v>0</v>
      </c>
    </row>
    <row r="83" spans="2:9" x14ac:dyDescent="0.2">
      <c r="G83" s="116"/>
      <c r="H83" s="116"/>
      <c r="I83" s="116"/>
    </row>
    <row r="84" spans="2:9" x14ac:dyDescent="0.2">
      <c r="G84" s="116"/>
      <c r="H84" s="116"/>
      <c r="I84" s="116"/>
    </row>
    <row r="85" spans="2:9" ht="19" x14ac:dyDescent="0.2">
      <c r="B85" s="166" t="s">
        <v>145</v>
      </c>
      <c r="C85" s="167"/>
      <c r="D85" s="167"/>
      <c r="E85" s="167"/>
      <c r="F85" s="168"/>
      <c r="G85" s="124"/>
      <c r="H85" s="124"/>
      <c r="I85" s="116"/>
    </row>
    <row r="86" spans="2:9" ht="17" x14ac:dyDescent="0.2">
      <c r="B86" s="75" t="s">
        <v>153</v>
      </c>
      <c r="C86" s="75" t="s">
        <v>42</v>
      </c>
      <c r="D86" s="75" t="s">
        <v>138</v>
      </c>
      <c r="E86" s="75" t="s">
        <v>139</v>
      </c>
      <c r="F86" s="75" t="s">
        <v>140</v>
      </c>
      <c r="G86" s="130" t="s">
        <v>141</v>
      </c>
      <c r="H86" s="130" t="s">
        <v>142</v>
      </c>
      <c r="I86" s="116"/>
    </row>
    <row r="87" spans="2:9" ht="16" x14ac:dyDescent="0.2">
      <c r="B87" s="50" t="s">
        <v>92</v>
      </c>
      <c r="C87" s="55" t="s">
        <v>93</v>
      </c>
      <c r="D87" s="125">
        <f>TARGETS!L22</f>
        <v>0</v>
      </c>
      <c r="E87" s="122">
        <f>IFERROR(C32,0)</f>
        <v>0</v>
      </c>
      <c r="F87" s="61">
        <f t="shared" ref="F87:F92" si="8">IFERROR(E87/D87,0)</f>
        <v>0</v>
      </c>
      <c r="G87" s="125">
        <f>D87-E87</f>
        <v>0</v>
      </c>
      <c r="H87" s="125">
        <f ca="1">IFERROR(G87/C3,0)</f>
        <v>0</v>
      </c>
      <c r="I87" s="116"/>
    </row>
    <row r="88" spans="2:9" ht="16" x14ac:dyDescent="0.2">
      <c r="B88" s="53" t="s">
        <v>94</v>
      </c>
      <c r="C88" s="56" t="s">
        <v>95</v>
      </c>
      <c r="D88" s="126">
        <f>TARGETS!L23</f>
        <v>0</v>
      </c>
      <c r="E88" s="122">
        <f>IFERROR(C33,0)</f>
        <v>0</v>
      </c>
      <c r="F88" s="61">
        <f t="shared" si="8"/>
        <v>0</v>
      </c>
      <c r="G88" s="126">
        <f>D88-E88</f>
        <v>0</v>
      </c>
      <c r="H88" s="126">
        <f ca="1">IFERROR(G88/C3,0)</f>
        <v>0</v>
      </c>
      <c r="I88" s="116"/>
    </row>
    <row r="89" spans="2:9" ht="16" x14ac:dyDescent="0.2">
      <c r="B89" s="50" t="s">
        <v>96</v>
      </c>
      <c r="C89" s="55" t="s">
        <v>97</v>
      </c>
      <c r="D89" s="125">
        <f>TARGETS!L24</f>
        <v>0</v>
      </c>
      <c r="E89" s="122">
        <f>M21+M7</f>
        <v>0</v>
      </c>
      <c r="F89" s="61">
        <f t="shared" si="8"/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98</v>
      </c>
      <c r="C90" s="56" t="s">
        <v>99</v>
      </c>
      <c r="D90" s="126">
        <f>TARGETS!L25</f>
        <v>0</v>
      </c>
      <c r="E90" s="122">
        <f>0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100</v>
      </c>
      <c r="C91" s="113" t="s">
        <v>101</v>
      </c>
      <c r="D91" s="125">
        <f>TARGETS!L26</f>
        <v>0</v>
      </c>
      <c r="E91" s="122">
        <f>0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7" t="s">
        <v>152</v>
      </c>
      <c r="C92" s="58"/>
      <c r="D92" s="123">
        <f>SUM(D87:D91)</f>
        <v>0</v>
      </c>
      <c r="E92" s="123">
        <f>SUM(E87:E91)</f>
        <v>0</v>
      </c>
      <c r="F92" s="43">
        <f t="shared" si="8"/>
        <v>0</v>
      </c>
      <c r="G92" s="119">
        <f>SUM(G87:G91)</f>
        <v>0</v>
      </c>
      <c r="H92" s="119">
        <f ca="1">IFERROR(G92/C3,0)</f>
        <v>0</v>
      </c>
      <c r="I92" s="116"/>
    </row>
  </sheetData>
  <mergeCells count="12">
    <mergeCell ref="B68:B69"/>
    <mergeCell ref="C68:C69"/>
    <mergeCell ref="B85:F85"/>
    <mergeCell ref="B41:D41"/>
    <mergeCell ref="B48:J48"/>
    <mergeCell ref="K48:N48"/>
    <mergeCell ref="D49:F49"/>
    <mergeCell ref="J49:J50"/>
    <mergeCell ref="N49:N50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N92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NETWORKDAYS.INTL(TODAY(),EOMONTH(TODAY(),0),11)</f>
        <v>9</v>
      </c>
      <c r="D3" s="79" t="s">
        <v>104</v>
      </c>
      <c r="E3" s="80"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/>
      <c r="D9" s="85"/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4"/>
      <c r="D10" s="154"/>
      <c r="E10" s="154"/>
      <c r="F10" s="154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4"/>
      <c r="D11" s="154"/>
      <c r="E11" s="154"/>
      <c r="F11" s="154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4"/>
      <c r="D12" s="154"/>
      <c r="E12" s="154"/>
      <c r="F12" s="154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4"/>
      <c r="D13" s="154"/>
      <c r="E13" s="154"/>
      <c r="F13" s="154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4"/>
      <c r="D14" s="154"/>
      <c r="E14" s="154"/>
      <c r="F14" s="154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4"/>
      <c r="D15" s="154"/>
      <c r="E15" s="154"/>
      <c r="F15" s="154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4"/>
      <c r="D16" s="154"/>
      <c r="E16" s="154"/>
      <c r="F16" s="154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4"/>
      <c r="D17" s="154"/>
      <c r="E17" s="154"/>
      <c r="F17" s="154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4"/>
      <c r="D18" s="154"/>
      <c r="E18" s="154"/>
      <c r="F18" s="154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4"/>
      <c r="D19" s="154"/>
      <c r="E19" s="154"/>
      <c r="F19" s="154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4"/>
      <c r="D20" s="154"/>
      <c r="E20" s="154"/>
      <c r="F20" s="154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4"/>
      <c r="D21" s="154"/>
      <c r="E21" s="154"/>
      <c r="F21" s="154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4"/>
      <c r="D22" s="154"/>
      <c r="E22" s="154"/>
      <c r="F22" s="154"/>
      <c r="H22" s="116"/>
      <c r="I22" s="116"/>
      <c r="J22" s="116"/>
    </row>
    <row r="23" spans="2:14" x14ac:dyDescent="0.2">
      <c r="B23" s="74" t="s">
        <v>176</v>
      </c>
      <c r="C23" s="154"/>
      <c r="D23" s="154"/>
      <c r="E23" s="154"/>
      <c r="F23" s="154"/>
      <c r="H23" s="116"/>
      <c r="I23" s="116"/>
      <c r="J23" s="116"/>
    </row>
    <row r="24" spans="2:14" x14ac:dyDescent="0.2">
      <c r="B24" s="74" t="s">
        <v>125</v>
      </c>
      <c r="C24" s="154"/>
      <c r="D24" s="154"/>
      <c r="E24" s="154"/>
      <c r="F24" s="154"/>
      <c r="H24" s="116"/>
      <c r="I24" s="116"/>
      <c r="J24" s="116"/>
    </row>
    <row r="25" spans="2:14" x14ac:dyDescent="0.2">
      <c r="B25" s="74" t="s">
        <v>126</v>
      </c>
      <c r="C25" s="154"/>
      <c r="D25" s="154"/>
      <c r="E25" s="154"/>
      <c r="F25" s="154"/>
      <c r="H25" s="116"/>
      <c r="I25" s="116"/>
      <c r="J25" s="116"/>
    </row>
    <row r="26" spans="2:14" x14ac:dyDescent="0.2">
      <c r="B26" s="74" t="s">
        <v>127</v>
      </c>
      <c r="C26" s="154"/>
      <c r="D26" s="154"/>
      <c r="E26" s="154"/>
      <c r="F26" s="154"/>
      <c r="H26" s="116"/>
      <c r="I26" s="116"/>
      <c r="J26" s="116"/>
    </row>
    <row r="27" spans="2:14" x14ac:dyDescent="0.2">
      <c r="B27" s="74" t="s">
        <v>128</v>
      </c>
      <c r="C27" s="154"/>
      <c r="D27" s="154"/>
      <c r="E27" s="154"/>
      <c r="F27" s="154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/>
      <c r="G32" s="116"/>
      <c r="H32" s="116"/>
      <c r="I32" s="116"/>
    </row>
    <row r="33" spans="2:14" x14ac:dyDescent="0.2">
      <c r="B33" s="84" t="s">
        <v>133</v>
      </c>
      <c r="C33" s="15"/>
      <c r="G33" s="116"/>
      <c r="H33" s="116"/>
      <c r="I33" s="116"/>
    </row>
    <row r="34" spans="2:14" x14ac:dyDescent="0.2">
      <c r="B34" s="84" t="s">
        <v>134</v>
      </c>
      <c r="C34" s="15"/>
      <c r="G34" s="116"/>
      <c r="H34" s="116"/>
      <c r="I34" s="116"/>
    </row>
    <row r="35" spans="2:14" x14ac:dyDescent="0.2">
      <c r="B35" s="84" t="s">
        <v>135</v>
      </c>
      <c r="C35" s="15"/>
      <c r="G35" s="116"/>
      <c r="H35" s="116"/>
      <c r="I35" s="116"/>
    </row>
    <row r="36" spans="2:14" x14ac:dyDescent="0.2">
      <c r="B36" s="84" t="s">
        <v>136</v>
      </c>
      <c r="C36" s="15"/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9" t="s">
        <v>168</v>
      </c>
      <c r="C41" s="160"/>
      <c r="D41" s="161"/>
      <c r="E41" s="67" t="s">
        <v>138</v>
      </c>
      <c r="F41" s="73">
        <f ca="1">DAY(TODAY())/DAY(EOMONTH(TODAY(),0))</f>
        <v>0.7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SUM(TARGETS!V5:V6,TARGETS!V8:V12,TARGETS!V14:V18)</f>
        <v>0</v>
      </c>
      <c r="E43" s="46">
        <f>M8+M9+M10+M11+M12+M13+M14+M15+M16+M17+M18+M19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72" t="s">
        <v>146</v>
      </c>
      <c r="C46" s="17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163" t="s">
        <v>147</v>
      </c>
      <c r="C48" s="164"/>
      <c r="D48" s="164"/>
      <c r="E48" s="164"/>
      <c r="F48" s="164"/>
      <c r="G48" s="164"/>
      <c r="H48" s="164"/>
      <c r="I48" s="164"/>
      <c r="J48" s="165"/>
      <c r="K48" s="175"/>
      <c r="L48" s="176"/>
      <c r="M48" s="176"/>
      <c r="N48" s="177"/>
    </row>
    <row r="49" spans="2:14" ht="17" x14ac:dyDescent="0.2">
      <c r="B49" s="174" t="s">
        <v>41</v>
      </c>
      <c r="C49" s="174" t="s">
        <v>42</v>
      </c>
      <c r="D49" s="169" t="s">
        <v>138</v>
      </c>
      <c r="E49" s="170"/>
      <c r="F49" s="171"/>
      <c r="G49" s="120" t="s">
        <v>139</v>
      </c>
      <c r="H49" s="120"/>
      <c r="I49" s="120"/>
      <c r="J49" s="174" t="s">
        <v>140</v>
      </c>
      <c r="K49" s="132" t="s">
        <v>148</v>
      </c>
      <c r="L49" s="132"/>
      <c r="M49" s="132"/>
      <c r="N49" s="162" t="s">
        <v>149</v>
      </c>
    </row>
    <row r="50" spans="2:14" ht="51" x14ac:dyDescent="0.2">
      <c r="B50" s="174"/>
      <c r="C50" s="17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4"/>
      <c r="K50" s="133" t="s">
        <v>143</v>
      </c>
      <c r="L50" s="133" t="s">
        <v>111</v>
      </c>
      <c r="M50" s="133" t="s">
        <v>146</v>
      </c>
      <c r="N50" s="162"/>
    </row>
    <row r="51" spans="2:14" ht="16" x14ac:dyDescent="0.2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50" t="s">
        <v>178</v>
      </c>
      <c r="C53" s="55" t="s">
        <v>179</v>
      </c>
      <c r="D53" s="148">
        <f>TARGETS!V7</f>
        <v>0</v>
      </c>
      <c r="E53" s="148">
        <f>TARGETS!W7</f>
        <v>0</v>
      </c>
      <c r="F53" s="148">
        <f>D53+E53</f>
        <v>0</v>
      </c>
      <c r="G53" s="149">
        <f>C22</f>
        <v>0</v>
      </c>
      <c r="H53" s="149">
        <f>IF(D22="",0,D22)</f>
        <v>0</v>
      </c>
      <c r="I53" s="149">
        <f>G53+H53</f>
        <v>0</v>
      </c>
      <c r="J53" s="150">
        <f>IFERROR(I53/F53,0)</f>
        <v>0</v>
      </c>
      <c r="K53" s="151">
        <f>D53-G53</f>
        <v>0</v>
      </c>
      <c r="L53" s="151">
        <f>E53-H53</f>
        <v>0</v>
      </c>
      <c r="M53" s="151">
        <f>F53-I53</f>
        <v>0</v>
      </c>
      <c r="N53" s="151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 t="shared" ref="G54:H58" si="4">M10</f>
        <v>0</v>
      </c>
      <c r="H54" s="122">
        <f t="shared" si="4"/>
        <v>0</v>
      </c>
      <c r="I54" s="122">
        <f t="shared" si="1"/>
        <v>0</v>
      </c>
      <c r="J54" s="61">
        <f t="shared" si="2"/>
        <v>0</v>
      </c>
      <c r="K54" s="54">
        <f t="shared" si="3"/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 t="shared" si="4"/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1">
        <f t="shared" si="3"/>
        <v>0</v>
      </c>
      <c r="L55" s="51">
        <f t="shared" si="3"/>
        <v>0</v>
      </c>
      <c r="M55" s="51">
        <f t="shared" si="3"/>
        <v>0</v>
      </c>
      <c r="N55" s="51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 t="shared" si="4"/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 t="shared" si="4"/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 t="shared" si="4"/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50" t="s">
        <v>178</v>
      </c>
      <c r="C59" s="55" t="s">
        <v>180</v>
      </c>
      <c r="D59" s="148">
        <f>TARGETS!V13</f>
        <v>0</v>
      </c>
      <c r="E59" s="148">
        <f>TARGETS!W13</f>
        <v>0</v>
      </c>
      <c r="F59" s="148">
        <f>D59+E59</f>
        <v>0</v>
      </c>
      <c r="G59" s="149">
        <f>C23</f>
        <v>0</v>
      </c>
      <c r="H59" s="149">
        <f>IF(D23="",0,D23)</f>
        <v>0</v>
      </c>
      <c r="I59" s="149">
        <f>G59+H59</f>
        <v>0</v>
      </c>
      <c r="J59" s="150">
        <f>IFERROR(I59/F59,0)</f>
        <v>0</v>
      </c>
      <c r="K59" s="151">
        <f>D59-G59</f>
        <v>0</v>
      </c>
      <c r="L59" s="151">
        <f>E59-H59</f>
        <v>0</v>
      </c>
      <c r="M59" s="151">
        <f>F59-I59</f>
        <v>0</v>
      </c>
      <c r="N59" s="151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 t="shared" ref="G60:H64" si="5">M15</f>
        <v>0</v>
      </c>
      <c r="H60" s="122">
        <f t="shared" si="5"/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 t="shared" si="5"/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1">
        <f t="shared" si="3"/>
        <v>0</v>
      </c>
      <c r="L61" s="51">
        <f t="shared" si="3"/>
        <v>0</v>
      </c>
      <c r="M61" s="51">
        <f t="shared" si="3"/>
        <v>0</v>
      </c>
      <c r="N61" s="51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 t="shared" si="5"/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 t="shared" si="5"/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1">
        <f t="shared" si="3"/>
        <v>0</v>
      </c>
      <c r="L63" s="51">
        <f t="shared" si="3"/>
        <v>0</v>
      </c>
      <c r="M63" s="51">
        <f t="shared" si="3"/>
        <v>0</v>
      </c>
      <c r="N63" s="51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 t="shared" si="5"/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5">
        <f t="shared" ref="D65:I65" si="6">SUM(D51:D52,D54:D58,D60:D64)</f>
        <v>0</v>
      </c>
      <c r="E65" s="155">
        <f t="shared" si="6"/>
        <v>0</v>
      </c>
      <c r="F65" s="155">
        <f t="shared" si="6"/>
        <v>0</v>
      </c>
      <c r="G65" s="156">
        <f t="shared" si="6"/>
        <v>0</v>
      </c>
      <c r="H65" s="156">
        <f t="shared" si="6"/>
        <v>0</v>
      </c>
      <c r="I65" s="156">
        <f t="shared" si="6"/>
        <v>0</v>
      </c>
      <c r="J65" s="157">
        <f>IFERROR(I65/F65,0)</f>
        <v>0</v>
      </c>
      <c r="K65" s="158">
        <f>SUM(K51:K52,K54:K58,K60:K64)</f>
        <v>0</v>
      </c>
      <c r="L65" s="158">
        <f>SUM(L51:L52,L54:L58,L60:L64)</f>
        <v>0</v>
      </c>
      <c r="M65" s="158">
        <f>SUM(M51:M52,M54:M58,M60:M64)</f>
        <v>0</v>
      </c>
      <c r="N65" s="158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4" t="s">
        <v>41</v>
      </c>
      <c r="C68" s="174" t="s">
        <v>42</v>
      </c>
      <c r="D68" s="134" t="s">
        <v>139</v>
      </c>
    </row>
    <row r="69" spans="2:14" ht="17" x14ac:dyDescent="0.2">
      <c r="B69" s="174"/>
      <c r="C69" s="174"/>
      <c r="D69" s="71" t="s">
        <v>174</v>
      </c>
    </row>
    <row r="70" spans="2:14" ht="16" x14ac:dyDescent="0.2">
      <c r="B70" s="50" t="s">
        <v>67</v>
      </c>
      <c r="C70" s="55" t="s">
        <v>68</v>
      </c>
      <c r="D70" s="152">
        <f>IF(E24="",0,E24)</f>
        <v>0</v>
      </c>
    </row>
    <row r="71" spans="2:14" ht="16" x14ac:dyDescent="0.2">
      <c r="B71" s="53" t="s">
        <v>69</v>
      </c>
      <c r="C71" s="56" t="s">
        <v>70</v>
      </c>
      <c r="D71" s="153">
        <f>IF(E12="",0,E12)+IF(E13="",0,E13)</f>
        <v>0</v>
      </c>
    </row>
    <row r="72" spans="2:14" ht="16" x14ac:dyDescent="0.2">
      <c r="B72" s="50" t="s">
        <v>71</v>
      </c>
      <c r="C72" s="55" t="s">
        <v>72</v>
      </c>
      <c r="D72" s="152">
        <f>IF(E14="",0,E14)</f>
        <v>0</v>
      </c>
    </row>
    <row r="73" spans="2:14" ht="16" x14ac:dyDescent="0.2">
      <c r="B73" s="53" t="s">
        <v>73</v>
      </c>
      <c r="C73" s="56" t="s">
        <v>74</v>
      </c>
      <c r="D73" s="153">
        <f>0</f>
        <v>0</v>
      </c>
    </row>
    <row r="74" spans="2:14" ht="16" x14ac:dyDescent="0.2">
      <c r="B74" s="50" t="s">
        <v>75</v>
      </c>
      <c r="C74" s="55" t="s">
        <v>74</v>
      </c>
      <c r="D74" s="152">
        <f>0</f>
        <v>0</v>
      </c>
    </row>
    <row r="75" spans="2:14" ht="16" x14ac:dyDescent="0.2">
      <c r="B75" s="53" t="s">
        <v>76</v>
      </c>
      <c r="C75" s="56" t="s">
        <v>77</v>
      </c>
      <c r="D75" s="153">
        <f>IF(E19="",0,E19)</f>
        <v>0</v>
      </c>
    </row>
    <row r="76" spans="2:14" ht="16" x14ac:dyDescent="0.2">
      <c r="B76" s="50" t="s">
        <v>78</v>
      </c>
      <c r="C76" s="55" t="s">
        <v>79</v>
      </c>
      <c r="D76" s="152">
        <f>IF(E25="",0,E25)</f>
        <v>0</v>
      </c>
    </row>
    <row r="77" spans="2:14" ht="16" x14ac:dyDescent="0.2">
      <c r="B77" s="53" t="s">
        <v>80</v>
      </c>
      <c r="C77" s="56" t="s">
        <v>81</v>
      </c>
      <c r="D77" s="153">
        <f>IF(E11="",0,E11)</f>
        <v>0</v>
      </c>
    </row>
    <row r="78" spans="2:14" ht="16" x14ac:dyDescent="0.2">
      <c r="B78" s="50" t="s">
        <v>82</v>
      </c>
      <c r="C78" s="55" t="s">
        <v>83</v>
      </c>
      <c r="D78" s="152">
        <f>IF(E26="",0,E26)</f>
        <v>0</v>
      </c>
    </row>
    <row r="79" spans="2:14" ht="16" x14ac:dyDescent="0.2">
      <c r="B79" s="53" t="s">
        <v>84</v>
      </c>
      <c r="C79" s="56" t="s">
        <v>85</v>
      </c>
      <c r="D79" s="153">
        <f>IF(E10="",0,E10)</f>
        <v>0</v>
      </c>
    </row>
    <row r="80" spans="2:14" ht="16" x14ac:dyDescent="0.2">
      <c r="B80" s="50" t="s">
        <v>86</v>
      </c>
      <c r="C80" s="55" t="s">
        <v>87</v>
      </c>
      <c r="D80" s="152">
        <f>0</f>
        <v>0</v>
      </c>
    </row>
    <row r="81" spans="2:9" ht="16" x14ac:dyDescent="0.2">
      <c r="B81" s="53" t="s">
        <v>88</v>
      </c>
      <c r="C81" s="56" t="s">
        <v>89</v>
      </c>
      <c r="D81" s="153">
        <f>0</f>
        <v>0</v>
      </c>
    </row>
    <row r="82" spans="2:9" ht="16" x14ac:dyDescent="0.2">
      <c r="B82" s="57" t="s">
        <v>152</v>
      </c>
      <c r="C82" s="58"/>
      <c r="D82" s="129">
        <f t="shared" ref="D82" si="7">SUM(D70:D81)</f>
        <v>0</v>
      </c>
    </row>
    <row r="83" spans="2:9" x14ac:dyDescent="0.2">
      <c r="G83" s="116"/>
      <c r="H83" s="116"/>
      <c r="I83" s="116"/>
    </row>
    <row r="84" spans="2:9" x14ac:dyDescent="0.2">
      <c r="G84" s="116"/>
      <c r="H84" s="116"/>
      <c r="I84" s="116"/>
    </row>
    <row r="85" spans="2:9" ht="19" x14ac:dyDescent="0.2">
      <c r="B85" s="166" t="s">
        <v>145</v>
      </c>
      <c r="C85" s="167"/>
      <c r="D85" s="167"/>
      <c r="E85" s="167"/>
      <c r="F85" s="168"/>
      <c r="G85" s="124"/>
      <c r="H85" s="124"/>
      <c r="I85" s="116"/>
    </row>
    <row r="86" spans="2:9" ht="17" x14ac:dyDescent="0.2">
      <c r="B86" s="75" t="s">
        <v>153</v>
      </c>
      <c r="C86" s="75" t="s">
        <v>42</v>
      </c>
      <c r="D86" s="75" t="s">
        <v>138</v>
      </c>
      <c r="E86" s="75" t="s">
        <v>139</v>
      </c>
      <c r="F86" s="75" t="s">
        <v>140</v>
      </c>
      <c r="G86" s="130" t="s">
        <v>141</v>
      </c>
      <c r="H86" s="130" t="s">
        <v>142</v>
      </c>
      <c r="I86" s="116"/>
    </row>
    <row r="87" spans="2:9" ht="16" x14ac:dyDescent="0.2">
      <c r="B87" s="50" t="s">
        <v>92</v>
      </c>
      <c r="C87" s="55" t="s">
        <v>93</v>
      </c>
      <c r="D87" s="125">
        <f>TARGETS!M22</f>
        <v>0</v>
      </c>
      <c r="E87" s="122">
        <f>IFERROR(C32,0)</f>
        <v>0</v>
      </c>
      <c r="F87" s="61">
        <f t="shared" ref="F87:F92" si="8">IFERROR(E87/D87,0)</f>
        <v>0</v>
      </c>
      <c r="G87" s="125">
        <f>D87-E87</f>
        <v>0</v>
      </c>
      <c r="H87" s="125">
        <f ca="1">IFERROR(G87/C3,0)</f>
        <v>0</v>
      </c>
      <c r="I87" s="116"/>
    </row>
    <row r="88" spans="2:9" ht="16" x14ac:dyDescent="0.2">
      <c r="B88" s="53" t="s">
        <v>94</v>
      </c>
      <c r="C88" s="56" t="s">
        <v>95</v>
      </c>
      <c r="D88" s="126">
        <f>TARGETS!M23</f>
        <v>0</v>
      </c>
      <c r="E88" s="122">
        <f>IFERROR(C33,0)</f>
        <v>0</v>
      </c>
      <c r="F88" s="61">
        <f t="shared" si="8"/>
        <v>0</v>
      </c>
      <c r="G88" s="126">
        <f>D88-E88</f>
        <v>0</v>
      </c>
      <c r="H88" s="126">
        <f ca="1">IFERROR(G88/C3,0)</f>
        <v>0</v>
      </c>
      <c r="I88" s="116"/>
    </row>
    <row r="89" spans="2:9" ht="16" x14ac:dyDescent="0.2">
      <c r="B89" s="50" t="s">
        <v>96</v>
      </c>
      <c r="C89" s="55" t="s">
        <v>97</v>
      </c>
      <c r="D89" s="125">
        <f>TARGETS!M24</f>
        <v>0</v>
      </c>
      <c r="E89" s="122">
        <f>M21+M7</f>
        <v>0</v>
      </c>
      <c r="F89" s="61">
        <f t="shared" si="8"/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98</v>
      </c>
      <c r="C90" s="56" t="s">
        <v>99</v>
      </c>
      <c r="D90" s="126">
        <f>TARGETS!M25</f>
        <v>0</v>
      </c>
      <c r="E90" s="122">
        <f>0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100</v>
      </c>
      <c r="C91" s="113" t="s">
        <v>101</v>
      </c>
      <c r="D91" s="125">
        <f>TARGETS!M26</f>
        <v>0</v>
      </c>
      <c r="E91" s="122">
        <f>0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7" t="s">
        <v>152</v>
      </c>
      <c r="C92" s="58"/>
      <c r="D92" s="123">
        <f>SUM(D87:D91)</f>
        <v>0</v>
      </c>
      <c r="E92" s="123">
        <f>SUM(E87:E91)</f>
        <v>0</v>
      </c>
      <c r="F92" s="43">
        <f t="shared" si="8"/>
        <v>0</v>
      </c>
      <c r="G92" s="119">
        <f>SUM(G87:G91)</f>
        <v>0</v>
      </c>
      <c r="H92" s="119">
        <f ca="1">IFERROR(G92/C3,0)</f>
        <v>0</v>
      </c>
      <c r="I92" s="116"/>
    </row>
  </sheetData>
  <mergeCells count="12">
    <mergeCell ref="B68:B69"/>
    <mergeCell ref="C68:C69"/>
    <mergeCell ref="B85:F85"/>
    <mergeCell ref="B41:D41"/>
    <mergeCell ref="B48:J48"/>
    <mergeCell ref="K48:N48"/>
    <mergeCell ref="D49:F49"/>
    <mergeCell ref="J49:J50"/>
    <mergeCell ref="N49:N50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N92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NETWORKDAYS.INTL(TODAY(),EOMONTH(TODAY(),0),11)</f>
        <v>9</v>
      </c>
      <c r="D3" s="79" t="s">
        <v>104</v>
      </c>
      <c r="E3" s="80"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/>
      <c r="D9" s="85"/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4"/>
      <c r="D10" s="154"/>
      <c r="E10" s="154"/>
      <c r="F10" s="154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4"/>
      <c r="D11" s="154"/>
      <c r="E11" s="154"/>
      <c r="F11" s="154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4"/>
      <c r="D12" s="154"/>
      <c r="E12" s="154"/>
      <c r="F12" s="154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4"/>
      <c r="D13" s="154"/>
      <c r="E13" s="154"/>
      <c r="F13" s="154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4"/>
      <c r="D14" s="154"/>
      <c r="E14" s="154"/>
      <c r="F14" s="154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4"/>
      <c r="D15" s="154"/>
      <c r="E15" s="154"/>
      <c r="F15" s="154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4"/>
      <c r="D16" s="154"/>
      <c r="E16" s="154"/>
      <c r="F16" s="154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4"/>
      <c r="D17" s="154"/>
      <c r="E17" s="154"/>
      <c r="F17" s="154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4"/>
      <c r="D18" s="154"/>
      <c r="E18" s="154"/>
      <c r="F18" s="154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4"/>
      <c r="D19" s="154"/>
      <c r="E19" s="154"/>
      <c r="F19" s="154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4"/>
      <c r="D20" s="154"/>
      <c r="E20" s="154"/>
      <c r="F20" s="154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4"/>
      <c r="D21" s="154"/>
      <c r="E21" s="154"/>
      <c r="F21" s="154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4"/>
      <c r="D22" s="154"/>
      <c r="E22" s="154"/>
      <c r="F22" s="154"/>
      <c r="H22" s="116"/>
      <c r="I22" s="116"/>
      <c r="J22" s="116"/>
    </row>
    <row r="23" spans="2:14" x14ac:dyDescent="0.2">
      <c r="B23" s="74" t="s">
        <v>176</v>
      </c>
      <c r="C23" s="154"/>
      <c r="D23" s="154"/>
      <c r="E23" s="154"/>
      <c r="F23" s="154"/>
      <c r="H23" s="116"/>
      <c r="I23" s="116"/>
      <c r="J23" s="116"/>
    </row>
    <row r="24" spans="2:14" x14ac:dyDescent="0.2">
      <c r="B24" s="74" t="s">
        <v>125</v>
      </c>
      <c r="C24" s="154"/>
      <c r="D24" s="154"/>
      <c r="E24" s="154"/>
      <c r="F24" s="154"/>
      <c r="H24" s="116"/>
      <c r="I24" s="116"/>
      <c r="J24" s="116"/>
    </row>
    <row r="25" spans="2:14" x14ac:dyDescent="0.2">
      <c r="B25" s="74" t="s">
        <v>126</v>
      </c>
      <c r="C25" s="154"/>
      <c r="D25" s="154"/>
      <c r="E25" s="154"/>
      <c r="F25" s="154"/>
      <c r="H25" s="116"/>
      <c r="I25" s="116"/>
      <c r="J25" s="116"/>
    </row>
    <row r="26" spans="2:14" x14ac:dyDescent="0.2">
      <c r="B26" s="74" t="s">
        <v>127</v>
      </c>
      <c r="C26" s="154"/>
      <c r="D26" s="154"/>
      <c r="E26" s="154"/>
      <c r="F26" s="154"/>
      <c r="H26" s="116"/>
      <c r="I26" s="116"/>
      <c r="J26" s="116"/>
    </row>
    <row r="27" spans="2:14" x14ac:dyDescent="0.2">
      <c r="B27" s="74" t="s">
        <v>128</v>
      </c>
      <c r="C27" s="154"/>
      <c r="D27" s="154"/>
      <c r="E27" s="154"/>
      <c r="F27" s="154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/>
      <c r="G32" s="116"/>
      <c r="H32" s="116"/>
      <c r="I32" s="116"/>
    </row>
    <row r="33" spans="2:14" x14ac:dyDescent="0.2">
      <c r="B33" s="84" t="s">
        <v>133</v>
      </c>
      <c r="C33" s="15"/>
      <c r="G33" s="116"/>
      <c r="H33" s="116"/>
      <c r="I33" s="116"/>
    </row>
    <row r="34" spans="2:14" x14ac:dyDescent="0.2">
      <c r="B34" s="84" t="s">
        <v>134</v>
      </c>
      <c r="C34" s="15"/>
      <c r="G34" s="116"/>
      <c r="H34" s="116"/>
      <c r="I34" s="116"/>
    </row>
    <row r="35" spans="2:14" x14ac:dyDescent="0.2">
      <c r="B35" s="84" t="s">
        <v>135</v>
      </c>
      <c r="C35" s="15"/>
      <c r="G35" s="116"/>
      <c r="H35" s="116"/>
      <c r="I35" s="116"/>
    </row>
    <row r="36" spans="2:14" x14ac:dyDescent="0.2">
      <c r="B36" s="84" t="s">
        <v>136</v>
      </c>
      <c r="C36" s="15"/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9" t="s">
        <v>182</v>
      </c>
      <c r="C41" s="160"/>
      <c r="D41" s="161"/>
      <c r="E41" s="67" t="s">
        <v>138</v>
      </c>
      <c r="F41" s="73">
        <f ca="1">DAY(TODAY())/DAY(EOMONTH(TODAY(),0))</f>
        <v>0.7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SUM(TARGETS!X5:X6,TARGETS!X8:X12,TARGETS!X14:X18)</f>
        <v>0</v>
      </c>
      <c r="E43" s="46">
        <f>M8+M9+M10+M11+M12+M13+M14+M15+M16+M17+M18+M19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72" t="s">
        <v>146</v>
      </c>
      <c r="C46" s="17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163" t="s">
        <v>147</v>
      </c>
      <c r="C48" s="164"/>
      <c r="D48" s="164"/>
      <c r="E48" s="164"/>
      <c r="F48" s="164"/>
      <c r="G48" s="164"/>
      <c r="H48" s="164"/>
      <c r="I48" s="164"/>
      <c r="J48" s="165"/>
      <c r="K48" s="175"/>
      <c r="L48" s="176"/>
      <c r="M48" s="176"/>
      <c r="N48" s="177"/>
    </row>
    <row r="49" spans="2:14" ht="17" x14ac:dyDescent="0.2">
      <c r="B49" s="174" t="s">
        <v>41</v>
      </c>
      <c r="C49" s="174" t="s">
        <v>42</v>
      </c>
      <c r="D49" s="169" t="s">
        <v>138</v>
      </c>
      <c r="E49" s="170"/>
      <c r="F49" s="171"/>
      <c r="G49" s="120" t="s">
        <v>139</v>
      </c>
      <c r="H49" s="120"/>
      <c r="I49" s="120"/>
      <c r="J49" s="174" t="s">
        <v>140</v>
      </c>
      <c r="K49" s="132" t="s">
        <v>148</v>
      </c>
      <c r="L49" s="132"/>
      <c r="M49" s="132"/>
      <c r="N49" s="162" t="s">
        <v>149</v>
      </c>
    </row>
    <row r="50" spans="2:14" ht="51" x14ac:dyDescent="0.2">
      <c r="B50" s="174"/>
      <c r="C50" s="17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4"/>
      <c r="K50" s="133" t="s">
        <v>143</v>
      </c>
      <c r="L50" s="133" t="s">
        <v>111</v>
      </c>
      <c r="M50" s="133" t="s">
        <v>146</v>
      </c>
      <c r="N50" s="162"/>
    </row>
    <row r="51" spans="2:14" ht="16" x14ac:dyDescent="0.2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50" t="s">
        <v>178</v>
      </c>
      <c r="C53" s="55" t="s">
        <v>179</v>
      </c>
      <c r="D53" s="148">
        <f>TARGETS!X7</f>
        <v>0</v>
      </c>
      <c r="E53" s="148">
        <f>TARGETS!Y7</f>
        <v>0</v>
      </c>
      <c r="F53" s="148">
        <f>D53+E53</f>
        <v>0</v>
      </c>
      <c r="G53" s="149">
        <f>C22</f>
        <v>0</v>
      </c>
      <c r="H53" s="149">
        <f>IF(D22="",0,D22)</f>
        <v>0</v>
      </c>
      <c r="I53" s="149">
        <f>G53+H53</f>
        <v>0</v>
      </c>
      <c r="J53" s="150">
        <f>IFERROR(I53/F53,0)</f>
        <v>0</v>
      </c>
      <c r="K53" s="151">
        <f>D53-G53</f>
        <v>0</v>
      </c>
      <c r="L53" s="151">
        <f>E53-H53</f>
        <v>0</v>
      </c>
      <c r="M53" s="151">
        <f>F53-I53</f>
        <v>0</v>
      </c>
      <c r="N53" s="151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 t="shared" ref="G54:H58" si="4">M10</f>
        <v>0</v>
      </c>
      <c r="H54" s="122">
        <f t="shared" si="4"/>
        <v>0</v>
      </c>
      <c r="I54" s="122">
        <f t="shared" si="1"/>
        <v>0</v>
      </c>
      <c r="J54" s="61">
        <f t="shared" si="2"/>
        <v>0</v>
      </c>
      <c r="K54" s="54">
        <f t="shared" si="3"/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 t="shared" si="4"/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1">
        <f t="shared" si="3"/>
        <v>0</v>
      </c>
      <c r="L55" s="51">
        <f t="shared" si="3"/>
        <v>0</v>
      </c>
      <c r="M55" s="51">
        <f t="shared" si="3"/>
        <v>0</v>
      </c>
      <c r="N55" s="51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 t="shared" si="4"/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 t="shared" si="4"/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 t="shared" si="4"/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50" t="s">
        <v>178</v>
      </c>
      <c r="C59" s="55" t="s">
        <v>180</v>
      </c>
      <c r="D59" s="148">
        <f>TARGETS!X13</f>
        <v>0</v>
      </c>
      <c r="E59" s="148">
        <f>TARGETS!Y13</f>
        <v>0</v>
      </c>
      <c r="F59" s="148">
        <f>D59+E59</f>
        <v>0</v>
      </c>
      <c r="G59" s="149">
        <f>C23</f>
        <v>0</v>
      </c>
      <c r="H59" s="149">
        <f>IF(D23="",0,D23)</f>
        <v>0</v>
      </c>
      <c r="I59" s="149">
        <f>G59+H59</f>
        <v>0</v>
      </c>
      <c r="J59" s="150">
        <f>IFERROR(I59/F59,0)</f>
        <v>0</v>
      </c>
      <c r="K59" s="151">
        <f>D59-G59</f>
        <v>0</v>
      </c>
      <c r="L59" s="151">
        <f>E59-H59</f>
        <v>0</v>
      </c>
      <c r="M59" s="151">
        <f>F59-I59</f>
        <v>0</v>
      </c>
      <c r="N59" s="151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 t="shared" ref="G60:H64" si="5">M15</f>
        <v>0</v>
      </c>
      <c r="H60" s="122">
        <f t="shared" si="5"/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 t="shared" si="5"/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1">
        <f t="shared" si="3"/>
        <v>0</v>
      </c>
      <c r="L61" s="51">
        <f t="shared" si="3"/>
        <v>0</v>
      </c>
      <c r="M61" s="51">
        <f t="shared" si="3"/>
        <v>0</v>
      </c>
      <c r="N61" s="51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 t="shared" si="5"/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 t="shared" si="5"/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1">
        <f t="shared" si="3"/>
        <v>0</v>
      </c>
      <c r="L63" s="51">
        <f t="shared" si="3"/>
        <v>0</v>
      </c>
      <c r="M63" s="51">
        <f t="shared" si="3"/>
        <v>0</v>
      </c>
      <c r="N63" s="51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 t="shared" si="5"/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5">
        <f t="shared" ref="D65:I65" si="6">SUM(D51:D52,D54:D58,D60:D64)</f>
        <v>0</v>
      </c>
      <c r="E65" s="155">
        <f t="shared" si="6"/>
        <v>0</v>
      </c>
      <c r="F65" s="155">
        <f t="shared" si="6"/>
        <v>0</v>
      </c>
      <c r="G65" s="156">
        <f t="shared" si="6"/>
        <v>0</v>
      </c>
      <c r="H65" s="156">
        <f t="shared" si="6"/>
        <v>0</v>
      </c>
      <c r="I65" s="156">
        <f t="shared" si="6"/>
        <v>0</v>
      </c>
      <c r="J65" s="157">
        <f>IFERROR(I65/F65,0)</f>
        <v>0</v>
      </c>
      <c r="K65" s="158">
        <f>SUM(K51:K52,K54:K58,K60:K64)</f>
        <v>0</v>
      </c>
      <c r="L65" s="158">
        <f>SUM(L51:L52,L54:L58,L60:L64)</f>
        <v>0</v>
      </c>
      <c r="M65" s="158">
        <f>SUM(M51:M52,M54:M58,M60:M64)</f>
        <v>0</v>
      </c>
      <c r="N65" s="158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4" t="s">
        <v>41</v>
      </c>
      <c r="C68" s="174" t="s">
        <v>42</v>
      </c>
      <c r="D68" s="134" t="s">
        <v>139</v>
      </c>
    </row>
    <row r="69" spans="2:14" ht="17" x14ac:dyDescent="0.2">
      <c r="B69" s="174"/>
      <c r="C69" s="174"/>
      <c r="D69" s="71" t="s">
        <v>174</v>
      </c>
    </row>
    <row r="70" spans="2:14" ht="16" x14ac:dyDescent="0.2">
      <c r="B70" s="50" t="s">
        <v>67</v>
      </c>
      <c r="C70" s="55" t="s">
        <v>68</v>
      </c>
      <c r="D70" s="152">
        <f>IF(E24="",0,E24)</f>
        <v>0</v>
      </c>
    </row>
    <row r="71" spans="2:14" ht="16" x14ac:dyDescent="0.2">
      <c r="B71" s="53" t="s">
        <v>69</v>
      </c>
      <c r="C71" s="56" t="s">
        <v>70</v>
      </c>
      <c r="D71" s="153">
        <f>IF(E12="",0,E12)+IF(E13="",0,E13)</f>
        <v>0</v>
      </c>
    </row>
    <row r="72" spans="2:14" ht="16" x14ac:dyDescent="0.2">
      <c r="B72" s="50" t="s">
        <v>71</v>
      </c>
      <c r="C72" s="55" t="s">
        <v>72</v>
      </c>
      <c r="D72" s="152">
        <f>IF(E14="",0,E14)</f>
        <v>0</v>
      </c>
    </row>
    <row r="73" spans="2:14" ht="16" x14ac:dyDescent="0.2">
      <c r="B73" s="53" t="s">
        <v>73</v>
      </c>
      <c r="C73" s="56" t="s">
        <v>74</v>
      </c>
      <c r="D73" s="153">
        <f>0</f>
        <v>0</v>
      </c>
    </row>
    <row r="74" spans="2:14" ht="16" x14ac:dyDescent="0.2">
      <c r="B74" s="50" t="s">
        <v>75</v>
      </c>
      <c r="C74" s="55" t="s">
        <v>74</v>
      </c>
      <c r="D74" s="152">
        <f>0</f>
        <v>0</v>
      </c>
    </row>
    <row r="75" spans="2:14" ht="16" x14ac:dyDescent="0.2">
      <c r="B75" s="53" t="s">
        <v>76</v>
      </c>
      <c r="C75" s="56" t="s">
        <v>77</v>
      </c>
      <c r="D75" s="153">
        <f>IF(E19="",0,E19)</f>
        <v>0</v>
      </c>
    </row>
    <row r="76" spans="2:14" ht="16" x14ac:dyDescent="0.2">
      <c r="B76" s="50" t="s">
        <v>78</v>
      </c>
      <c r="C76" s="55" t="s">
        <v>79</v>
      </c>
      <c r="D76" s="152">
        <f>IF(E25="",0,E25)</f>
        <v>0</v>
      </c>
    </row>
    <row r="77" spans="2:14" ht="16" x14ac:dyDescent="0.2">
      <c r="B77" s="53" t="s">
        <v>80</v>
      </c>
      <c r="C77" s="56" t="s">
        <v>81</v>
      </c>
      <c r="D77" s="153">
        <f>IF(E11="",0,E11)</f>
        <v>0</v>
      </c>
    </row>
    <row r="78" spans="2:14" ht="16" x14ac:dyDescent="0.2">
      <c r="B78" s="50" t="s">
        <v>82</v>
      </c>
      <c r="C78" s="55" t="s">
        <v>83</v>
      </c>
      <c r="D78" s="152">
        <f>IF(E26="",0,E26)</f>
        <v>0</v>
      </c>
    </row>
    <row r="79" spans="2:14" ht="16" x14ac:dyDescent="0.2">
      <c r="B79" s="53" t="s">
        <v>84</v>
      </c>
      <c r="C79" s="56" t="s">
        <v>85</v>
      </c>
      <c r="D79" s="153">
        <f>IF(E10="",0,E10)</f>
        <v>0</v>
      </c>
    </row>
    <row r="80" spans="2:14" ht="16" x14ac:dyDescent="0.2">
      <c r="B80" s="50" t="s">
        <v>86</v>
      </c>
      <c r="C80" s="55" t="s">
        <v>87</v>
      </c>
      <c r="D80" s="152">
        <f>0</f>
        <v>0</v>
      </c>
    </row>
    <row r="81" spans="2:9" ht="16" x14ac:dyDescent="0.2">
      <c r="B81" s="53" t="s">
        <v>88</v>
      </c>
      <c r="C81" s="56" t="s">
        <v>89</v>
      </c>
      <c r="D81" s="153">
        <f>0</f>
        <v>0</v>
      </c>
    </row>
    <row r="82" spans="2:9" ht="16" x14ac:dyDescent="0.2">
      <c r="B82" s="57" t="s">
        <v>152</v>
      </c>
      <c r="C82" s="58"/>
      <c r="D82" s="129">
        <f t="shared" ref="D82" si="7">SUM(D70:D81)</f>
        <v>0</v>
      </c>
    </row>
    <row r="83" spans="2:9" x14ac:dyDescent="0.2">
      <c r="G83" s="116"/>
      <c r="H83" s="116"/>
      <c r="I83" s="116"/>
    </row>
    <row r="84" spans="2:9" x14ac:dyDescent="0.2">
      <c r="G84" s="116"/>
      <c r="H84" s="116"/>
      <c r="I84" s="116"/>
    </row>
    <row r="85" spans="2:9" ht="19" x14ac:dyDescent="0.2">
      <c r="B85" s="166" t="s">
        <v>145</v>
      </c>
      <c r="C85" s="167"/>
      <c r="D85" s="167"/>
      <c r="E85" s="167"/>
      <c r="F85" s="168"/>
      <c r="G85" s="124"/>
      <c r="H85" s="124"/>
      <c r="I85" s="116"/>
    </row>
    <row r="86" spans="2:9" ht="17" x14ac:dyDescent="0.2">
      <c r="B86" s="75" t="s">
        <v>153</v>
      </c>
      <c r="C86" s="75" t="s">
        <v>42</v>
      </c>
      <c r="D86" s="75" t="s">
        <v>138</v>
      </c>
      <c r="E86" s="75" t="s">
        <v>139</v>
      </c>
      <c r="F86" s="75" t="s">
        <v>140</v>
      </c>
      <c r="G86" s="130" t="s">
        <v>141</v>
      </c>
      <c r="H86" s="130" t="s">
        <v>142</v>
      </c>
      <c r="I86" s="116"/>
    </row>
    <row r="87" spans="2:9" ht="16" x14ac:dyDescent="0.2">
      <c r="B87" s="50" t="s">
        <v>92</v>
      </c>
      <c r="C87" s="55" t="s">
        <v>93</v>
      </c>
      <c r="D87" s="125">
        <f>TARGETS!N22</f>
        <v>0</v>
      </c>
      <c r="E87" s="122">
        <f>IFERROR(C32,0)</f>
        <v>0</v>
      </c>
      <c r="F87" s="61">
        <f t="shared" ref="F87:F92" si="8">IFERROR(E87/D87,0)</f>
        <v>0</v>
      </c>
      <c r="G87" s="125">
        <f>D87-E87</f>
        <v>0</v>
      </c>
      <c r="H87" s="125">
        <f ca="1">IFERROR(G87/C3,0)</f>
        <v>0</v>
      </c>
      <c r="I87" s="116"/>
    </row>
    <row r="88" spans="2:9" ht="16" x14ac:dyDescent="0.2">
      <c r="B88" s="53" t="s">
        <v>94</v>
      </c>
      <c r="C88" s="56" t="s">
        <v>95</v>
      </c>
      <c r="D88" s="126">
        <f>TARGETS!N23</f>
        <v>0</v>
      </c>
      <c r="E88" s="122">
        <f>IFERROR(C33,0)</f>
        <v>0</v>
      </c>
      <c r="F88" s="61">
        <f t="shared" si="8"/>
        <v>0</v>
      </c>
      <c r="G88" s="126">
        <f>D88-E88</f>
        <v>0</v>
      </c>
      <c r="H88" s="126">
        <f ca="1">IFERROR(G88/C3,0)</f>
        <v>0</v>
      </c>
      <c r="I88" s="116"/>
    </row>
    <row r="89" spans="2:9" ht="16" x14ac:dyDescent="0.2">
      <c r="B89" s="50" t="s">
        <v>96</v>
      </c>
      <c r="C89" s="55" t="s">
        <v>97</v>
      </c>
      <c r="D89" s="125">
        <f>TARGETS!N24</f>
        <v>0</v>
      </c>
      <c r="E89" s="122">
        <f>M21+M7</f>
        <v>0</v>
      </c>
      <c r="F89" s="61">
        <f t="shared" si="8"/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98</v>
      </c>
      <c r="C90" s="56" t="s">
        <v>99</v>
      </c>
      <c r="D90" s="126">
        <f>TARGETS!N25</f>
        <v>0</v>
      </c>
      <c r="E90" s="122">
        <f>0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100</v>
      </c>
      <c r="C91" s="113" t="s">
        <v>101</v>
      </c>
      <c r="D91" s="125">
        <f>TARGETS!N26</f>
        <v>0</v>
      </c>
      <c r="E91" s="122">
        <f>0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7" t="s">
        <v>152</v>
      </c>
      <c r="C92" s="58"/>
      <c r="D92" s="123">
        <f>SUM(D87:D91)</f>
        <v>0</v>
      </c>
      <c r="E92" s="123">
        <f>SUM(E87:E91)</f>
        <v>0</v>
      </c>
      <c r="F92" s="43">
        <f t="shared" si="8"/>
        <v>0</v>
      </c>
      <c r="G92" s="119">
        <f>SUM(G87:G91)</f>
        <v>0</v>
      </c>
      <c r="H92" s="119">
        <f ca="1">IFERROR(G92/C3,0)</f>
        <v>0</v>
      </c>
      <c r="I92" s="116"/>
    </row>
  </sheetData>
  <mergeCells count="12">
    <mergeCell ref="B68:B69"/>
    <mergeCell ref="C68:C69"/>
    <mergeCell ref="B85:F85"/>
    <mergeCell ref="B41:D41"/>
    <mergeCell ref="B48:J48"/>
    <mergeCell ref="K48:N48"/>
    <mergeCell ref="D49:F49"/>
    <mergeCell ref="J49:J50"/>
    <mergeCell ref="N49:N50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N92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183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NETWORKDAYS.INTL(TODAY(),EOMONTH(TODAY(),0),11)</f>
        <v>9</v>
      </c>
      <c r="D3" s="79" t="s">
        <v>104</v>
      </c>
      <c r="E3" s="80"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174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/>
      <c r="D9" s="85"/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4"/>
      <c r="D10" s="154"/>
      <c r="E10" s="154"/>
      <c r="F10" s="154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4"/>
      <c r="D11" s="154"/>
      <c r="E11" s="154"/>
      <c r="F11" s="154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4"/>
      <c r="D12" s="154"/>
      <c r="E12" s="154"/>
      <c r="F12" s="154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4"/>
      <c r="D13" s="154"/>
      <c r="E13" s="154"/>
      <c r="F13" s="154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4"/>
      <c r="D14" s="154"/>
      <c r="E14" s="154"/>
      <c r="F14" s="154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4"/>
      <c r="D15" s="154"/>
      <c r="E15" s="154"/>
      <c r="F15" s="154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4"/>
      <c r="D16" s="154"/>
      <c r="E16" s="154"/>
      <c r="F16" s="154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4"/>
      <c r="D17" s="154"/>
      <c r="E17" s="154"/>
      <c r="F17" s="154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4"/>
      <c r="D18" s="154"/>
      <c r="E18" s="154"/>
      <c r="F18" s="154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4"/>
      <c r="D19" s="154"/>
      <c r="E19" s="154"/>
      <c r="F19" s="154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4"/>
      <c r="D20" s="154"/>
      <c r="E20" s="154"/>
      <c r="F20" s="154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4"/>
      <c r="D21" s="154"/>
      <c r="E21" s="154"/>
      <c r="F21" s="154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175</v>
      </c>
      <c r="C22" s="154"/>
      <c r="D22" s="154"/>
      <c r="E22" s="154"/>
      <c r="F22" s="154"/>
      <c r="H22" s="116"/>
      <c r="I22" s="116"/>
      <c r="J22" s="116"/>
    </row>
    <row r="23" spans="2:14" x14ac:dyDescent="0.2">
      <c r="B23" s="74" t="s">
        <v>176</v>
      </c>
      <c r="C23" s="154"/>
      <c r="D23" s="154"/>
      <c r="E23" s="154"/>
      <c r="F23" s="154"/>
      <c r="H23" s="116"/>
      <c r="I23" s="116"/>
      <c r="J23" s="116"/>
    </row>
    <row r="24" spans="2:14" x14ac:dyDescent="0.2">
      <c r="B24" s="74" t="s">
        <v>125</v>
      </c>
      <c r="C24" s="154"/>
      <c r="D24" s="154"/>
      <c r="E24" s="154"/>
      <c r="F24" s="154"/>
      <c r="H24" s="116"/>
      <c r="I24" s="116"/>
      <c r="J24" s="116"/>
    </row>
    <row r="25" spans="2:14" x14ac:dyDescent="0.2">
      <c r="B25" s="74" t="s">
        <v>126</v>
      </c>
      <c r="C25" s="154"/>
      <c r="D25" s="154"/>
      <c r="E25" s="154"/>
      <c r="F25" s="154"/>
      <c r="H25" s="116"/>
      <c r="I25" s="116"/>
      <c r="J25" s="116"/>
    </row>
    <row r="26" spans="2:14" x14ac:dyDescent="0.2">
      <c r="B26" s="74" t="s">
        <v>127</v>
      </c>
      <c r="C26" s="154"/>
      <c r="D26" s="154"/>
      <c r="E26" s="154"/>
      <c r="F26" s="154"/>
      <c r="H26" s="116"/>
      <c r="I26" s="116"/>
      <c r="J26" s="116"/>
    </row>
    <row r="27" spans="2:14" x14ac:dyDescent="0.2">
      <c r="B27" s="74" t="s">
        <v>128</v>
      </c>
      <c r="C27" s="154"/>
      <c r="D27" s="154"/>
      <c r="E27" s="154"/>
      <c r="F27" s="154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/>
      <c r="G32" s="116"/>
      <c r="H32" s="116"/>
      <c r="I32" s="116"/>
    </row>
    <row r="33" spans="2:14" x14ac:dyDescent="0.2">
      <c r="B33" s="84" t="s">
        <v>133</v>
      </c>
      <c r="C33" s="15"/>
      <c r="G33" s="116"/>
      <c r="H33" s="116"/>
      <c r="I33" s="116"/>
    </row>
    <row r="34" spans="2:14" x14ac:dyDescent="0.2">
      <c r="B34" s="84" t="s">
        <v>134</v>
      </c>
      <c r="C34" s="15"/>
      <c r="G34" s="116"/>
      <c r="H34" s="116"/>
      <c r="I34" s="116"/>
    </row>
    <row r="35" spans="2:14" x14ac:dyDescent="0.2">
      <c r="B35" s="84" t="s">
        <v>135</v>
      </c>
      <c r="C35" s="15"/>
      <c r="G35" s="116"/>
      <c r="H35" s="116"/>
      <c r="I35" s="116"/>
    </row>
    <row r="36" spans="2:14" x14ac:dyDescent="0.2">
      <c r="B36" s="84" t="s">
        <v>136</v>
      </c>
      <c r="C36" s="15"/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159" t="s">
        <v>184</v>
      </c>
      <c r="C41" s="160"/>
      <c r="D41" s="161"/>
      <c r="E41" s="67" t="s">
        <v>138</v>
      </c>
      <c r="F41" s="73">
        <f ca="1">DAY(TODAY())/DAY(EOMONTH(TODAY(),0))</f>
        <v>0.7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SUM(TARGETS!Z5:Z6,TARGETS!Z8:Z12,TARGETS!Z14:Z18)</f>
        <v>0</v>
      </c>
      <c r="E43" s="46">
        <f>M8+M9+M10+M11+M12+M13+M14+M15+M16+M17+M18+M19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SUM(TARGETS!AA5:AA6,TARGETS!AA8:AA12,TARGETS!AA14:AA18)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172" t="s">
        <v>146</v>
      </c>
      <c r="C46" s="17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163" t="s">
        <v>147</v>
      </c>
      <c r="C48" s="164"/>
      <c r="D48" s="164"/>
      <c r="E48" s="164"/>
      <c r="F48" s="164"/>
      <c r="G48" s="164"/>
      <c r="H48" s="164"/>
      <c r="I48" s="164"/>
      <c r="J48" s="165"/>
      <c r="K48" s="175"/>
      <c r="L48" s="176"/>
      <c r="M48" s="176"/>
      <c r="N48" s="177"/>
    </row>
    <row r="49" spans="2:14" ht="17" x14ac:dyDescent="0.2">
      <c r="B49" s="174" t="s">
        <v>41</v>
      </c>
      <c r="C49" s="174" t="s">
        <v>42</v>
      </c>
      <c r="D49" s="169" t="s">
        <v>138</v>
      </c>
      <c r="E49" s="170"/>
      <c r="F49" s="171"/>
      <c r="G49" s="120" t="s">
        <v>139</v>
      </c>
      <c r="H49" s="120"/>
      <c r="I49" s="120"/>
      <c r="J49" s="174" t="s">
        <v>140</v>
      </c>
      <c r="K49" s="132" t="s">
        <v>148</v>
      </c>
      <c r="L49" s="132"/>
      <c r="M49" s="132"/>
      <c r="N49" s="162" t="s">
        <v>149</v>
      </c>
    </row>
    <row r="50" spans="2:14" ht="51" x14ac:dyDescent="0.2">
      <c r="B50" s="174"/>
      <c r="C50" s="17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174"/>
      <c r="K50" s="133" t="s">
        <v>143</v>
      </c>
      <c r="L50" s="133" t="s">
        <v>111</v>
      </c>
      <c r="M50" s="133" t="s">
        <v>146</v>
      </c>
      <c r="N50" s="162"/>
    </row>
    <row r="51" spans="2:14" ht="16" x14ac:dyDescent="0.2">
      <c r="B51" s="50" t="s">
        <v>67</v>
      </c>
      <c r="C51" s="55" t="s">
        <v>68</v>
      </c>
      <c r="D51" s="127">
        <f>TARGETS!Z5</f>
        <v>0</v>
      </c>
      <c r="E51" s="127">
        <f>TARGETS!AA5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TARGETS!Z6</f>
        <v>0</v>
      </c>
      <c r="E52" s="128">
        <f>TARGETS!AA6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50" t="s">
        <v>178</v>
      </c>
      <c r="C53" s="55" t="s">
        <v>179</v>
      </c>
      <c r="D53" s="148">
        <f>TARGETS!Z7</f>
        <v>0</v>
      </c>
      <c r="E53" s="148">
        <f>TARGETS!AA7</f>
        <v>0</v>
      </c>
      <c r="F53" s="148">
        <f>D53+E53</f>
        <v>0</v>
      </c>
      <c r="G53" s="149">
        <f>C22</f>
        <v>0</v>
      </c>
      <c r="H53" s="149">
        <f>IF(D22="",0,D22)</f>
        <v>0</v>
      </c>
      <c r="I53" s="149">
        <f>G53+H53</f>
        <v>0</v>
      </c>
      <c r="J53" s="150">
        <f>IFERROR(I53/F53,0)</f>
        <v>0</v>
      </c>
      <c r="K53" s="151">
        <f>D53-G53</f>
        <v>0</v>
      </c>
      <c r="L53" s="151">
        <f>E53-H53</f>
        <v>0</v>
      </c>
      <c r="M53" s="151">
        <f>F53-I53</f>
        <v>0</v>
      </c>
      <c r="N53" s="151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TARGETS!Z8</f>
        <v>0</v>
      </c>
      <c r="E54" s="128">
        <f>TARGETS!AA8</f>
        <v>0</v>
      </c>
      <c r="F54" s="128">
        <f t="shared" si="0"/>
        <v>0</v>
      </c>
      <c r="G54" s="122">
        <f t="shared" ref="G54:H58" si="4">M10</f>
        <v>0</v>
      </c>
      <c r="H54" s="122">
        <f t="shared" si="4"/>
        <v>0</v>
      </c>
      <c r="I54" s="122">
        <f t="shared" si="1"/>
        <v>0</v>
      </c>
      <c r="J54" s="61">
        <f t="shared" si="2"/>
        <v>0</v>
      </c>
      <c r="K54" s="54">
        <f t="shared" si="3"/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TARGETS!Z9</f>
        <v>0</v>
      </c>
      <c r="E55" s="127">
        <f>TARGETS!AA9</f>
        <v>0</v>
      </c>
      <c r="F55" s="127">
        <f t="shared" si="0"/>
        <v>0</v>
      </c>
      <c r="G55" s="122">
        <f t="shared" si="4"/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1">
        <f t="shared" si="3"/>
        <v>0</v>
      </c>
      <c r="L55" s="51">
        <f t="shared" si="3"/>
        <v>0</v>
      </c>
      <c r="M55" s="51">
        <f t="shared" si="3"/>
        <v>0</v>
      </c>
      <c r="N55" s="51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TARGETS!Z10</f>
        <v>0</v>
      </c>
      <c r="E56" s="128">
        <f>TARGETS!AA10</f>
        <v>0</v>
      </c>
      <c r="F56" s="128">
        <f t="shared" si="0"/>
        <v>0</v>
      </c>
      <c r="G56" s="122">
        <f t="shared" si="4"/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TARGETS!Z11</f>
        <v>0</v>
      </c>
      <c r="E57" s="127">
        <f>TARGETS!AA11</f>
        <v>0</v>
      </c>
      <c r="F57" s="127">
        <f t="shared" si="0"/>
        <v>0</v>
      </c>
      <c r="G57" s="122">
        <f t="shared" si="4"/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TARGETS!Z12</f>
        <v>0</v>
      </c>
      <c r="E58" s="128">
        <f>TARGETS!AA12</f>
        <v>0</v>
      </c>
      <c r="F58" s="128">
        <f t="shared" si="0"/>
        <v>0</v>
      </c>
      <c r="G58" s="122">
        <f t="shared" si="4"/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50" t="s">
        <v>178</v>
      </c>
      <c r="C59" s="55" t="s">
        <v>180</v>
      </c>
      <c r="D59" s="148">
        <f>TARGETS!Z13</f>
        <v>0</v>
      </c>
      <c r="E59" s="148">
        <f>TARGETS!AA13</f>
        <v>0</v>
      </c>
      <c r="F59" s="148">
        <f>D59+E59</f>
        <v>0</v>
      </c>
      <c r="G59" s="149">
        <f>C23</f>
        <v>0</v>
      </c>
      <c r="H59" s="149">
        <f>IF(D23="",0,D23)</f>
        <v>0</v>
      </c>
      <c r="I59" s="149">
        <f>G59+H59</f>
        <v>0</v>
      </c>
      <c r="J59" s="150">
        <f>IFERROR(I59/F59,0)</f>
        <v>0</v>
      </c>
      <c r="K59" s="151">
        <f>D59-G59</f>
        <v>0</v>
      </c>
      <c r="L59" s="151">
        <f>E59-H59</f>
        <v>0</v>
      </c>
      <c r="M59" s="151">
        <f>F59-I59</f>
        <v>0</v>
      </c>
      <c r="N59" s="151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TARGETS!Z14</f>
        <v>0</v>
      </c>
      <c r="E60" s="128">
        <f>TARGETS!AA14</f>
        <v>0</v>
      </c>
      <c r="F60" s="128">
        <f t="shared" si="0"/>
        <v>0</v>
      </c>
      <c r="G60" s="122">
        <f t="shared" ref="G60:H64" si="5">M15</f>
        <v>0</v>
      </c>
      <c r="H60" s="122">
        <f t="shared" si="5"/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TARGETS!Z15</f>
        <v>0</v>
      </c>
      <c r="E61" s="127">
        <f>TARGETS!AA15</f>
        <v>0</v>
      </c>
      <c r="F61" s="127">
        <f t="shared" si="0"/>
        <v>0</v>
      </c>
      <c r="G61" s="122">
        <f t="shared" si="5"/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1">
        <f t="shared" si="3"/>
        <v>0</v>
      </c>
      <c r="L61" s="51">
        <f t="shared" si="3"/>
        <v>0</v>
      </c>
      <c r="M61" s="51">
        <f t="shared" si="3"/>
        <v>0</v>
      </c>
      <c r="N61" s="51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TARGETS!Z16</f>
        <v>0</v>
      </c>
      <c r="E62" s="128">
        <f>TARGETS!AA16</f>
        <v>0</v>
      </c>
      <c r="F62" s="128">
        <f t="shared" si="0"/>
        <v>0</v>
      </c>
      <c r="G62" s="122">
        <f t="shared" si="5"/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TARGETS!Z17</f>
        <v>0</v>
      </c>
      <c r="E63" s="127">
        <f>TARGETS!AA17</f>
        <v>0</v>
      </c>
      <c r="F63" s="127">
        <f t="shared" si="0"/>
        <v>0</v>
      </c>
      <c r="G63" s="122">
        <f t="shared" si="5"/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1">
        <f t="shared" si="3"/>
        <v>0</v>
      </c>
      <c r="L63" s="51">
        <f t="shared" si="3"/>
        <v>0</v>
      </c>
      <c r="M63" s="51">
        <f t="shared" si="3"/>
        <v>0</v>
      </c>
      <c r="N63" s="51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TARGETS!Z18</f>
        <v>0</v>
      </c>
      <c r="E64" s="128">
        <f>TARGETS!AA18</f>
        <v>0</v>
      </c>
      <c r="F64" s="128">
        <f t="shared" si="0"/>
        <v>0</v>
      </c>
      <c r="G64" s="122">
        <f t="shared" si="5"/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5">
        <f t="shared" ref="D65:I65" si="6">SUM(D51:D52,D54:D58,D60:D64)</f>
        <v>0</v>
      </c>
      <c r="E65" s="155">
        <f t="shared" si="6"/>
        <v>0</v>
      </c>
      <c r="F65" s="155">
        <f t="shared" si="6"/>
        <v>0</v>
      </c>
      <c r="G65" s="156">
        <f t="shared" si="6"/>
        <v>0</v>
      </c>
      <c r="H65" s="156">
        <f t="shared" si="6"/>
        <v>0</v>
      </c>
      <c r="I65" s="156">
        <f t="shared" si="6"/>
        <v>0</v>
      </c>
      <c r="J65" s="157">
        <f>IFERROR(I65/F65,0)</f>
        <v>0</v>
      </c>
      <c r="K65" s="158">
        <f>SUM(K51:K52,K54:K58,K60:K64)</f>
        <v>0</v>
      </c>
      <c r="L65" s="158">
        <f>SUM(L51:L52,L54:L58,L60:L64)</f>
        <v>0</v>
      </c>
      <c r="M65" s="158">
        <f>SUM(M51:M52,M54:M58,M60:M64)</f>
        <v>0</v>
      </c>
      <c r="N65" s="158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177</v>
      </c>
      <c r="C67" s="136"/>
      <c r="D67" s="137"/>
    </row>
    <row r="68" spans="2:14" ht="17" x14ac:dyDescent="0.2">
      <c r="B68" s="174" t="s">
        <v>41</v>
      </c>
      <c r="C68" s="174" t="s">
        <v>42</v>
      </c>
      <c r="D68" s="134" t="s">
        <v>139</v>
      </c>
    </row>
    <row r="69" spans="2:14" ht="17" x14ac:dyDescent="0.2">
      <c r="B69" s="174"/>
      <c r="C69" s="174"/>
      <c r="D69" s="71" t="s">
        <v>174</v>
      </c>
    </row>
    <row r="70" spans="2:14" ht="16" x14ac:dyDescent="0.2">
      <c r="B70" s="50" t="s">
        <v>67</v>
      </c>
      <c r="C70" s="55" t="s">
        <v>68</v>
      </c>
      <c r="D70" s="152">
        <f>IF(E24="",0,E24)</f>
        <v>0</v>
      </c>
    </row>
    <row r="71" spans="2:14" ht="16" x14ac:dyDescent="0.2">
      <c r="B71" s="53" t="s">
        <v>69</v>
      </c>
      <c r="C71" s="56" t="s">
        <v>70</v>
      </c>
      <c r="D71" s="153">
        <f>IF(E12="",0,E12)+IF(E13="",0,E13)</f>
        <v>0</v>
      </c>
    </row>
    <row r="72" spans="2:14" ht="16" x14ac:dyDescent="0.2">
      <c r="B72" s="50" t="s">
        <v>71</v>
      </c>
      <c r="C72" s="55" t="s">
        <v>72</v>
      </c>
      <c r="D72" s="152">
        <f>IF(E14="",0,E14)</f>
        <v>0</v>
      </c>
    </row>
    <row r="73" spans="2:14" ht="16" x14ac:dyDescent="0.2">
      <c r="B73" s="53" t="s">
        <v>73</v>
      </c>
      <c r="C73" s="56" t="s">
        <v>74</v>
      </c>
      <c r="D73" s="153">
        <f>0</f>
        <v>0</v>
      </c>
    </row>
    <row r="74" spans="2:14" ht="16" x14ac:dyDescent="0.2">
      <c r="B74" s="50" t="s">
        <v>75</v>
      </c>
      <c r="C74" s="55" t="s">
        <v>74</v>
      </c>
      <c r="D74" s="152">
        <f>0</f>
        <v>0</v>
      </c>
    </row>
    <row r="75" spans="2:14" ht="16" x14ac:dyDescent="0.2">
      <c r="B75" s="53" t="s">
        <v>76</v>
      </c>
      <c r="C75" s="56" t="s">
        <v>77</v>
      </c>
      <c r="D75" s="153">
        <f>IF(E19="",0,E19)</f>
        <v>0</v>
      </c>
    </row>
    <row r="76" spans="2:14" ht="16" x14ac:dyDescent="0.2">
      <c r="B76" s="50" t="s">
        <v>78</v>
      </c>
      <c r="C76" s="55" t="s">
        <v>79</v>
      </c>
      <c r="D76" s="152">
        <f>IF(E25="",0,E25)</f>
        <v>0</v>
      </c>
    </row>
    <row r="77" spans="2:14" ht="16" x14ac:dyDescent="0.2">
      <c r="B77" s="53" t="s">
        <v>80</v>
      </c>
      <c r="C77" s="56" t="s">
        <v>81</v>
      </c>
      <c r="D77" s="153">
        <f>IF(E11="",0,E11)</f>
        <v>0</v>
      </c>
    </row>
    <row r="78" spans="2:14" ht="16" x14ac:dyDescent="0.2">
      <c r="B78" s="50" t="s">
        <v>82</v>
      </c>
      <c r="C78" s="55" t="s">
        <v>83</v>
      </c>
      <c r="D78" s="152">
        <f>IF(E26="",0,E26)</f>
        <v>0</v>
      </c>
    </row>
    <row r="79" spans="2:14" ht="16" x14ac:dyDescent="0.2">
      <c r="B79" s="53" t="s">
        <v>84</v>
      </c>
      <c r="C79" s="56" t="s">
        <v>85</v>
      </c>
      <c r="D79" s="153">
        <f>IF(E10="",0,E10)</f>
        <v>0</v>
      </c>
    </row>
    <row r="80" spans="2:14" ht="16" x14ac:dyDescent="0.2">
      <c r="B80" s="50" t="s">
        <v>86</v>
      </c>
      <c r="C80" s="55" t="s">
        <v>87</v>
      </c>
      <c r="D80" s="152">
        <f>0</f>
        <v>0</v>
      </c>
    </row>
    <row r="81" spans="2:9" ht="16" x14ac:dyDescent="0.2">
      <c r="B81" s="53" t="s">
        <v>88</v>
      </c>
      <c r="C81" s="56" t="s">
        <v>89</v>
      </c>
      <c r="D81" s="153">
        <f>0</f>
        <v>0</v>
      </c>
    </row>
    <row r="82" spans="2:9" ht="16" x14ac:dyDescent="0.2">
      <c r="B82" s="57" t="s">
        <v>152</v>
      </c>
      <c r="C82" s="58"/>
      <c r="D82" s="129">
        <f t="shared" ref="D82" si="7">SUM(D70:D81)</f>
        <v>0</v>
      </c>
    </row>
    <row r="83" spans="2:9" x14ac:dyDescent="0.2">
      <c r="G83" s="116"/>
      <c r="H83" s="116"/>
      <c r="I83" s="116"/>
    </row>
    <row r="84" spans="2:9" x14ac:dyDescent="0.2">
      <c r="G84" s="116"/>
      <c r="H84" s="116"/>
      <c r="I84" s="116"/>
    </row>
    <row r="85" spans="2:9" ht="19" x14ac:dyDescent="0.2">
      <c r="B85" s="166" t="s">
        <v>145</v>
      </c>
      <c r="C85" s="167"/>
      <c r="D85" s="167"/>
      <c r="E85" s="167"/>
      <c r="F85" s="168"/>
      <c r="G85" s="124"/>
      <c r="H85" s="124"/>
      <c r="I85" s="116"/>
    </row>
    <row r="86" spans="2:9" ht="17" x14ac:dyDescent="0.2">
      <c r="B86" s="75" t="s">
        <v>153</v>
      </c>
      <c r="C86" s="75" t="s">
        <v>42</v>
      </c>
      <c r="D86" s="75" t="s">
        <v>138</v>
      </c>
      <c r="E86" s="75" t="s">
        <v>139</v>
      </c>
      <c r="F86" s="75" t="s">
        <v>140</v>
      </c>
      <c r="G86" s="130" t="s">
        <v>141</v>
      </c>
      <c r="H86" s="130" t="s">
        <v>142</v>
      </c>
      <c r="I86" s="116"/>
    </row>
    <row r="87" spans="2:9" ht="16" x14ac:dyDescent="0.2">
      <c r="B87" s="50" t="s">
        <v>92</v>
      </c>
      <c r="C87" s="55" t="s">
        <v>93</v>
      </c>
      <c r="D87" s="125">
        <f>TARGETS!O22</f>
        <v>0</v>
      </c>
      <c r="E87" s="122">
        <f>IFERROR(C32,0)</f>
        <v>0</v>
      </c>
      <c r="F87" s="61">
        <f t="shared" ref="F87:F92" si="8">IFERROR(E87/D87,0)</f>
        <v>0</v>
      </c>
      <c r="G87" s="125">
        <f>D87-E87</f>
        <v>0</v>
      </c>
      <c r="H87" s="125">
        <f ca="1">IFERROR(G87/C3,0)</f>
        <v>0</v>
      </c>
      <c r="I87" s="116"/>
    </row>
    <row r="88" spans="2:9" ht="16" x14ac:dyDescent="0.2">
      <c r="B88" s="53" t="s">
        <v>94</v>
      </c>
      <c r="C88" s="56" t="s">
        <v>95</v>
      </c>
      <c r="D88" s="126">
        <f>TARGETS!O23</f>
        <v>0</v>
      </c>
      <c r="E88" s="122">
        <f>IFERROR(C33,0)</f>
        <v>0</v>
      </c>
      <c r="F88" s="61">
        <f t="shared" si="8"/>
        <v>0</v>
      </c>
      <c r="G88" s="126">
        <f>D88-E88</f>
        <v>0</v>
      </c>
      <c r="H88" s="126">
        <f ca="1">IFERROR(G88/C3,0)</f>
        <v>0</v>
      </c>
      <c r="I88" s="116"/>
    </row>
    <row r="89" spans="2:9" ht="16" x14ac:dyDescent="0.2">
      <c r="B89" s="50" t="s">
        <v>96</v>
      </c>
      <c r="C89" s="55" t="s">
        <v>97</v>
      </c>
      <c r="D89" s="125">
        <f>TARGETS!O24</f>
        <v>0</v>
      </c>
      <c r="E89" s="122">
        <f>M21+M7</f>
        <v>0</v>
      </c>
      <c r="F89" s="61">
        <f t="shared" si="8"/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98</v>
      </c>
      <c r="C90" s="56" t="s">
        <v>99</v>
      </c>
      <c r="D90" s="126">
        <f>TARGETS!O25</f>
        <v>0</v>
      </c>
      <c r="E90" s="122">
        <f>0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100</v>
      </c>
      <c r="C91" s="113" t="s">
        <v>101</v>
      </c>
      <c r="D91" s="125">
        <f>TARGETS!O26</f>
        <v>0</v>
      </c>
      <c r="E91" s="122">
        <f>0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7" t="s">
        <v>152</v>
      </c>
      <c r="C92" s="58"/>
      <c r="D92" s="123">
        <f>SUM(D87:D91)</f>
        <v>0</v>
      </c>
      <c r="E92" s="123">
        <f>SUM(E87:E91)</f>
        <v>0</v>
      </c>
      <c r="F92" s="43">
        <f t="shared" si="8"/>
        <v>0</v>
      </c>
      <c r="G92" s="119">
        <f>SUM(G87:G91)</f>
        <v>0</v>
      </c>
      <c r="H92" s="119">
        <f ca="1">IFERROR(G92/C3,0)</f>
        <v>0</v>
      </c>
      <c r="I92" s="116"/>
    </row>
  </sheetData>
  <mergeCells count="12">
    <mergeCell ref="B68:B69"/>
    <mergeCell ref="C68:C69"/>
    <mergeCell ref="B85:F85"/>
    <mergeCell ref="B41:D41"/>
    <mergeCell ref="B48:J48"/>
    <mergeCell ref="K48:N48"/>
    <mergeCell ref="D49:F49"/>
    <mergeCell ref="J49:J50"/>
    <mergeCell ref="N49:N50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Randy Thurion</cp:lastModifiedBy>
  <cp:revision>0</cp:revision>
  <dcterms:created xsi:type="dcterms:W3CDTF">2026-03-24T08:59:20Z</dcterms:created>
  <dcterms:modified xsi:type="dcterms:W3CDTF">2026-04-21T11:54:37Z</dcterms:modified>
  <dc:language>en-US</dc:language>
</cp:coreProperties>
</file>