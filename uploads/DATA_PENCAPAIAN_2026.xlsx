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20490" windowHeight="7755" tabRatio="500" activeTab="6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2" i="7" l="1"/>
  <c r="D83" i="7"/>
  <c r="D75" i="7"/>
  <c r="D81" i="7"/>
  <c r="D80" i="7"/>
  <c r="D79" i="7"/>
  <c r="D78" i="7"/>
  <c r="D77" i="7"/>
  <c r="D76" i="7"/>
  <c r="D74" i="7"/>
  <c r="D73" i="7"/>
  <c r="D72" i="7"/>
  <c r="D71" i="7"/>
  <c r="D70" i="7"/>
  <c r="D70" i="6"/>
  <c r="D7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D93" i="14" l="1"/>
  <c r="D92" i="14"/>
  <c r="D91" i="14"/>
  <c r="D90" i="14"/>
  <c r="D89" i="14"/>
  <c r="D45" i="14"/>
  <c r="D43" i="14"/>
  <c r="D64" i="14"/>
  <c r="D63" i="14"/>
  <c r="D62" i="14"/>
  <c r="D61" i="14"/>
  <c r="D60" i="14"/>
  <c r="D59" i="14"/>
  <c r="D58" i="14"/>
  <c r="F58" i="14" s="1"/>
  <c r="D57" i="14"/>
  <c r="D56" i="14"/>
  <c r="D55" i="14"/>
  <c r="D54" i="14"/>
  <c r="D53" i="14"/>
  <c r="D52" i="14"/>
  <c r="D51" i="14"/>
  <c r="F41" i="14"/>
  <c r="D93" i="13"/>
  <c r="D92" i="13"/>
  <c r="D91" i="13"/>
  <c r="D90" i="13"/>
  <c r="D89" i="13"/>
  <c r="D45" i="13"/>
  <c r="D44" i="13"/>
  <c r="D43" i="13"/>
  <c r="D46" i="13" s="1"/>
  <c r="E64" i="13"/>
  <c r="E63" i="13"/>
  <c r="E62" i="13"/>
  <c r="E61" i="13"/>
  <c r="E60" i="13"/>
  <c r="E59" i="13"/>
  <c r="E58" i="13"/>
  <c r="E57" i="13"/>
  <c r="E65" i="13" s="1"/>
  <c r="E56" i="13"/>
  <c r="E55" i="13"/>
  <c r="E54" i="13"/>
  <c r="E53" i="13"/>
  <c r="E52" i="13"/>
  <c r="E51" i="13"/>
  <c r="D64" i="13"/>
  <c r="D63" i="13"/>
  <c r="F63" i="13" s="1"/>
  <c r="D62" i="13"/>
  <c r="D61" i="13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93" i="12"/>
  <c r="D92" i="12"/>
  <c r="D91" i="12"/>
  <c r="D90" i="12"/>
  <c r="D89" i="12"/>
  <c r="D45" i="12"/>
  <c r="D44" i="12"/>
  <c r="D43" i="12"/>
  <c r="E64" i="12"/>
  <c r="E63" i="12"/>
  <c r="E62" i="12"/>
  <c r="E61" i="12"/>
  <c r="E60" i="12"/>
  <c r="E59" i="12"/>
  <c r="E58" i="12"/>
  <c r="E57" i="12"/>
  <c r="E56" i="12"/>
  <c r="E55" i="12"/>
  <c r="E54" i="12"/>
  <c r="E65" i="12" s="1"/>
  <c r="E53" i="12"/>
  <c r="E52" i="12"/>
  <c r="E51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65" i="12" s="1"/>
  <c r="D51" i="12"/>
  <c r="F41" i="12"/>
  <c r="D93" i="11"/>
  <c r="D92" i="11"/>
  <c r="D91" i="11"/>
  <c r="D90" i="11"/>
  <c r="D89" i="11"/>
  <c r="D45" i="11"/>
  <c r="D44" i="11"/>
  <c r="D43" i="11"/>
  <c r="D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F51" i="11" s="1"/>
  <c r="D64" i="11"/>
  <c r="D63" i="11"/>
  <c r="D62" i="11"/>
  <c r="D61" i="11"/>
  <c r="D60" i="11"/>
  <c r="D59" i="11"/>
  <c r="D58" i="11"/>
  <c r="D57" i="11"/>
  <c r="F57" i="11" s="1"/>
  <c r="D56" i="11"/>
  <c r="D55" i="11"/>
  <c r="F55" i="11" s="1"/>
  <c r="D54" i="11"/>
  <c r="D53" i="11"/>
  <c r="D52" i="11"/>
  <c r="D51" i="11"/>
  <c r="F41" i="11"/>
  <c r="D93" i="10"/>
  <c r="D92" i="10"/>
  <c r="D91" i="10"/>
  <c r="D90" i="10"/>
  <c r="D89" i="10"/>
  <c r="D45" i="10"/>
  <c r="D44" i="10"/>
  <c r="D43" i="10"/>
  <c r="E64" i="10"/>
  <c r="F64" i="10" s="1"/>
  <c r="E63" i="10"/>
  <c r="E62" i="10"/>
  <c r="E61" i="10"/>
  <c r="E60" i="10"/>
  <c r="E59" i="10"/>
  <c r="E58" i="10"/>
  <c r="E57" i="10"/>
  <c r="F57" i="10" s="1"/>
  <c r="E56" i="10"/>
  <c r="F56" i="10" s="1"/>
  <c r="E55" i="10"/>
  <c r="E54" i="10"/>
  <c r="E65" i="10" s="1"/>
  <c r="E53" i="10"/>
  <c r="E52" i="10"/>
  <c r="E51" i="10"/>
  <c r="D64" i="10"/>
  <c r="D63" i="10"/>
  <c r="F63" i="10" s="1"/>
  <c r="D62" i="10"/>
  <c r="F62" i="10" s="1"/>
  <c r="D61" i="10"/>
  <c r="D60" i="10"/>
  <c r="D59" i="10"/>
  <c r="D58" i="10"/>
  <c r="D57" i="10"/>
  <c r="D56" i="10"/>
  <c r="D55" i="10"/>
  <c r="D54" i="10"/>
  <c r="D53" i="10"/>
  <c r="D52" i="10"/>
  <c r="D65" i="10" s="1"/>
  <c r="D51" i="10"/>
  <c r="F41" i="10"/>
  <c r="D93" i="9"/>
  <c r="D92" i="9"/>
  <c r="D91" i="9"/>
  <c r="D90" i="9"/>
  <c r="D94" i="9" s="1"/>
  <c r="D89" i="9"/>
  <c r="D45" i="9"/>
  <c r="D46" i="9" s="1"/>
  <c r="D44" i="9"/>
  <c r="D43" i="9"/>
  <c r="E64" i="9"/>
  <c r="E63" i="9"/>
  <c r="E62" i="9"/>
  <c r="F62" i="9" s="1"/>
  <c r="E61" i="9"/>
  <c r="F61" i="9" s="1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F60" i="9" s="1"/>
  <c r="D59" i="9"/>
  <c r="D58" i="9"/>
  <c r="D57" i="9"/>
  <c r="F57" i="9" s="1"/>
  <c r="D56" i="9"/>
  <c r="D55" i="9"/>
  <c r="D54" i="9"/>
  <c r="D53" i="9"/>
  <c r="D52" i="9"/>
  <c r="D51" i="9"/>
  <c r="F51" i="9" s="1"/>
  <c r="F41" i="9"/>
  <c r="D93" i="8"/>
  <c r="F93" i="8" s="1"/>
  <c r="D92" i="8"/>
  <c r="D91" i="8"/>
  <c r="D90" i="8"/>
  <c r="D89" i="8"/>
  <c r="D45" i="8"/>
  <c r="D44" i="8"/>
  <c r="D43" i="8"/>
  <c r="E64" i="8"/>
  <c r="E63" i="8"/>
  <c r="E62" i="8"/>
  <c r="E61" i="8"/>
  <c r="E60" i="8"/>
  <c r="E59" i="8"/>
  <c r="E58" i="8"/>
  <c r="E57" i="8"/>
  <c r="F57" i="8" s="1"/>
  <c r="E56" i="8"/>
  <c r="E65" i="8" s="1"/>
  <c r="E55" i="8"/>
  <c r="E54" i="8"/>
  <c r="E53" i="8"/>
  <c r="E52" i="8"/>
  <c r="E51" i="8"/>
  <c r="D64" i="8"/>
  <c r="D63" i="8"/>
  <c r="D62" i="8"/>
  <c r="F62" i="8" s="1"/>
  <c r="D61" i="8"/>
  <c r="D60" i="8"/>
  <c r="D59" i="8"/>
  <c r="D58" i="8"/>
  <c r="D57" i="8"/>
  <c r="D56" i="8"/>
  <c r="F56" i="8" s="1"/>
  <c r="D55" i="8"/>
  <c r="F55" i="8" s="1"/>
  <c r="D54" i="8"/>
  <c r="F54" i="8" s="1"/>
  <c r="D53" i="8"/>
  <c r="D52" i="8"/>
  <c r="D51" i="8"/>
  <c r="F41" i="8"/>
  <c r="D93" i="7"/>
  <c r="D92" i="7"/>
  <c r="D91" i="7"/>
  <c r="D90" i="7"/>
  <c r="D89" i="7"/>
  <c r="D45" i="7"/>
  <c r="D44" i="7"/>
  <c r="D43" i="7"/>
  <c r="E64" i="7"/>
  <c r="E63" i="7"/>
  <c r="F63" i="7" s="1"/>
  <c r="E62" i="7"/>
  <c r="E61" i="7"/>
  <c r="E60" i="7"/>
  <c r="E59" i="7"/>
  <c r="E58" i="7"/>
  <c r="E57" i="7"/>
  <c r="E56" i="7"/>
  <c r="E55" i="7"/>
  <c r="F55" i="7" s="1"/>
  <c r="E54" i="7"/>
  <c r="E53" i="7"/>
  <c r="E52" i="7"/>
  <c r="E51" i="7"/>
  <c r="D64" i="7"/>
  <c r="D63" i="7"/>
  <c r="D62" i="7"/>
  <c r="D61" i="7"/>
  <c r="F61" i="7" s="1"/>
  <c r="D60" i="7"/>
  <c r="F60" i="7" s="1"/>
  <c r="D59" i="7"/>
  <c r="D58" i="7"/>
  <c r="D57" i="7"/>
  <c r="D56" i="7"/>
  <c r="D55" i="7"/>
  <c r="D54" i="7"/>
  <c r="D53" i="7"/>
  <c r="F53" i="7" s="1"/>
  <c r="D52" i="7"/>
  <c r="F52" i="7" s="1"/>
  <c r="D51" i="7"/>
  <c r="F41" i="7"/>
  <c r="D94" i="14"/>
  <c r="E93" i="14"/>
  <c r="F93" i="14" s="1"/>
  <c r="E92" i="14"/>
  <c r="F92" i="14" s="1"/>
  <c r="G90" i="14"/>
  <c r="F90" i="14"/>
  <c r="E90" i="14"/>
  <c r="E89" i="14"/>
  <c r="F89" i="14" s="1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E65" i="14"/>
  <c r="D65" i="14"/>
  <c r="F64" i="14"/>
  <c r="F63" i="14"/>
  <c r="F62" i="14"/>
  <c r="F61" i="14"/>
  <c r="F60" i="14"/>
  <c r="H59" i="14"/>
  <c r="L59" i="14" s="1"/>
  <c r="G59" i="14"/>
  <c r="K59" i="14" s="1"/>
  <c r="F59" i="14"/>
  <c r="F57" i="14"/>
  <c r="F56" i="14"/>
  <c r="F55" i="14"/>
  <c r="F54" i="14"/>
  <c r="H53" i="14"/>
  <c r="L53" i="14" s="1"/>
  <c r="G53" i="14"/>
  <c r="K53" i="14" s="1"/>
  <c r="F53" i="14"/>
  <c r="F52" i="14"/>
  <c r="F51" i="14"/>
  <c r="D46" i="14"/>
  <c r="M20" i="14"/>
  <c r="M21" i="14" s="1"/>
  <c r="N19" i="14"/>
  <c r="H64" i="14" s="1"/>
  <c r="L64" i="14" s="1"/>
  <c r="M19" i="14"/>
  <c r="G64" i="14" s="1"/>
  <c r="N18" i="14"/>
  <c r="H63" i="14" s="1"/>
  <c r="L63" i="14" s="1"/>
  <c r="M18" i="14"/>
  <c r="G63" i="14" s="1"/>
  <c r="K63" i="14" s="1"/>
  <c r="N17" i="14"/>
  <c r="H62" i="14" s="1"/>
  <c r="L62" i="14" s="1"/>
  <c r="M17" i="14"/>
  <c r="G62" i="14" s="1"/>
  <c r="N16" i="14"/>
  <c r="H61" i="14" s="1"/>
  <c r="L61" i="14" s="1"/>
  <c r="M16" i="14"/>
  <c r="G61" i="14" s="1"/>
  <c r="N15" i="14"/>
  <c r="H60" i="14" s="1"/>
  <c r="L60" i="14" s="1"/>
  <c r="M15" i="14"/>
  <c r="G60" i="14" s="1"/>
  <c r="N14" i="14"/>
  <c r="H58" i="14" s="1"/>
  <c r="L58" i="14" s="1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H55" i="14" s="1"/>
  <c r="L55" i="14" s="1"/>
  <c r="M11" i="14"/>
  <c r="G55" i="14" s="1"/>
  <c r="K55" i="14" s="1"/>
  <c r="N10" i="14"/>
  <c r="H54" i="14" s="1"/>
  <c r="L54" i="14" s="1"/>
  <c r="M10" i="14"/>
  <c r="G54" i="14" s="1"/>
  <c r="N9" i="14"/>
  <c r="H52" i="14" s="1"/>
  <c r="L52" i="14" s="1"/>
  <c r="M9" i="14"/>
  <c r="G52" i="14" s="1"/>
  <c r="N8" i="14"/>
  <c r="M8" i="14"/>
  <c r="G51" i="14" s="1"/>
  <c r="N7" i="14"/>
  <c r="M7" i="14"/>
  <c r="D94" i="13"/>
  <c r="E93" i="13"/>
  <c r="G93" i="13" s="1"/>
  <c r="E92" i="13"/>
  <c r="E90" i="13"/>
  <c r="E89" i="13"/>
  <c r="F89" i="13" s="1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5" i="13"/>
  <c r="F64" i="13"/>
  <c r="F62" i="13"/>
  <c r="F61" i="13"/>
  <c r="F60" i="13"/>
  <c r="H59" i="13"/>
  <c r="L59" i="13" s="1"/>
  <c r="G59" i="13"/>
  <c r="F59" i="13"/>
  <c r="F58" i="13"/>
  <c r="F57" i="13"/>
  <c r="F56" i="13"/>
  <c r="F54" i="13"/>
  <c r="H53" i="13"/>
  <c r="L53" i="13" s="1"/>
  <c r="G53" i="13"/>
  <c r="F53" i="13"/>
  <c r="F52" i="13"/>
  <c r="F51" i="13"/>
  <c r="M20" i="13"/>
  <c r="M21" i="13" s="1"/>
  <c r="E45" i="13" s="1"/>
  <c r="N19" i="13"/>
  <c r="H64" i="13" s="1"/>
  <c r="L64" i="13" s="1"/>
  <c r="M19" i="13"/>
  <c r="G64" i="13" s="1"/>
  <c r="N18" i="13"/>
  <c r="H63" i="13" s="1"/>
  <c r="L63" i="13" s="1"/>
  <c r="M18" i="13"/>
  <c r="G63" i="13" s="1"/>
  <c r="N17" i="13"/>
  <c r="H62" i="13" s="1"/>
  <c r="L62" i="13" s="1"/>
  <c r="M17" i="13"/>
  <c r="G62" i="13" s="1"/>
  <c r="N16" i="13"/>
  <c r="H61" i="13" s="1"/>
  <c r="L61" i="13" s="1"/>
  <c r="M16" i="13"/>
  <c r="G61" i="13" s="1"/>
  <c r="N15" i="13"/>
  <c r="H60" i="13" s="1"/>
  <c r="M15" i="13"/>
  <c r="G60" i="13" s="1"/>
  <c r="K60" i="13" s="1"/>
  <c r="N14" i="13"/>
  <c r="H58" i="13" s="1"/>
  <c r="L58" i="13" s="1"/>
  <c r="M14" i="13"/>
  <c r="G58" i="13" s="1"/>
  <c r="N13" i="13"/>
  <c r="H57" i="13" s="1"/>
  <c r="L57" i="13" s="1"/>
  <c r="M13" i="13"/>
  <c r="G57" i="13" s="1"/>
  <c r="N12" i="13"/>
  <c r="H56" i="13" s="1"/>
  <c r="L56" i="13" s="1"/>
  <c r="M12" i="13"/>
  <c r="G56" i="13" s="1"/>
  <c r="N11" i="13"/>
  <c r="H55" i="13" s="1"/>
  <c r="L55" i="13" s="1"/>
  <c r="M11" i="13"/>
  <c r="G55" i="13" s="1"/>
  <c r="N10" i="13"/>
  <c r="H54" i="13" s="1"/>
  <c r="L54" i="13" s="1"/>
  <c r="M10" i="13"/>
  <c r="G54" i="13" s="1"/>
  <c r="N9" i="13"/>
  <c r="H52" i="13" s="1"/>
  <c r="L52" i="13" s="1"/>
  <c r="M9" i="13"/>
  <c r="G52" i="13" s="1"/>
  <c r="N8" i="13"/>
  <c r="H51" i="13" s="1"/>
  <c r="M8" i="13"/>
  <c r="G51" i="13" s="1"/>
  <c r="N7" i="13"/>
  <c r="M7" i="13"/>
  <c r="D94" i="12"/>
  <c r="E93" i="12"/>
  <c r="F93" i="12" s="1"/>
  <c r="E92" i="12"/>
  <c r="G92" i="12" s="1"/>
  <c r="E90" i="12"/>
  <c r="G90" i="12" s="1"/>
  <c r="E89" i="12"/>
  <c r="F89" i="12" s="1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F64" i="12"/>
  <c r="F63" i="12"/>
  <c r="F62" i="12"/>
  <c r="F61" i="12"/>
  <c r="F60" i="12"/>
  <c r="H59" i="12"/>
  <c r="L59" i="12" s="1"/>
  <c r="G59" i="12"/>
  <c r="F59" i="12"/>
  <c r="F58" i="12"/>
  <c r="F57" i="12"/>
  <c r="F56" i="12"/>
  <c r="F55" i="12"/>
  <c r="F54" i="12"/>
  <c r="H53" i="12"/>
  <c r="L53" i="12" s="1"/>
  <c r="G53" i="12"/>
  <c r="K53" i="12" s="1"/>
  <c r="F53" i="12"/>
  <c r="F51" i="12"/>
  <c r="D46" i="12"/>
  <c r="M20" i="12"/>
  <c r="M21" i="12" s="1"/>
  <c r="N19" i="12"/>
  <c r="H64" i="12" s="1"/>
  <c r="L64" i="12" s="1"/>
  <c r="M19" i="12"/>
  <c r="G64" i="12" s="1"/>
  <c r="K64" i="12" s="1"/>
  <c r="N18" i="12"/>
  <c r="H63" i="12" s="1"/>
  <c r="L63" i="12" s="1"/>
  <c r="M18" i="12"/>
  <c r="G63" i="12" s="1"/>
  <c r="N17" i="12"/>
  <c r="H62" i="12" s="1"/>
  <c r="M17" i="12"/>
  <c r="G62" i="12" s="1"/>
  <c r="N16" i="12"/>
  <c r="H61" i="12" s="1"/>
  <c r="L61" i="12" s="1"/>
  <c r="M16" i="12"/>
  <c r="G61" i="12" s="1"/>
  <c r="K61" i="12" s="1"/>
  <c r="N15" i="12"/>
  <c r="H60" i="12" s="1"/>
  <c r="L60" i="12" s="1"/>
  <c r="M15" i="12"/>
  <c r="G60" i="12" s="1"/>
  <c r="N14" i="12"/>
  <c r="H58" i="12" s="1"/>
  <c r="M14" i="12"/>
  <c r="G58" i="12" s="1"/>
  <c r="K58" i="12" s="1"/>
  <c r="N13" i="12"/>
  <c r="H57" i="12" s="1"/>
  <c r="L57" i="12" s="1"/>
  <c r="M13" i="12"/>
  <c r="G57" i="12" s="1"/>
  <c r="N12" i="12"/>
  <c r="H56" i="12" s="1"/>
  <c r="L56" i="12" s="1"/>
  <c r="M12" i="12"/>
  <c r="G56" i="12" s="1"/>
  <c r="K56" i="12" s="1"/>
  <c r="N11" i="12"/>
  <c r="H55" i="12" s="1"/>
  <c r="L55" i="12" s="1"/>
  <c r="M11" i="12"/>
  <c r="G55" i="12" s="1"/>
  <c r="K55" i="12" s="1"/>
  <c r="N10" i="12"/>
  <c r="M10" i="12"/>
  <c r="G54" i="12" s="1"/>
  <c r="N9" i="12"/>
  <c r="H52" i="12" s="1"/>
  <c r="L52" i="12" s="1"/>
  <c r="M9" i="12"/>
  <c r="G52" i="12" s="1"/>
  <c r="N8" i="12"/>
  <c r="H51" i="12" s="1"/>
  <c r="L51" i="12" s="1"/>
  <c r="M8" i="12"/>
  <c r="G51" i="12" s="1"/>
  <c r="N7" i="12"/>
  <c r="M7" i="12"/>
  <c r="D94" i="11"/>
  <c r="E93" i="11"/>
  <c r="E92" i="11"/>
  <c r="G92" i="11" s="1"/>
  <c r="E90" i="11"/>
  <c r="F90" i="11" s="1"/>
  <c r="E89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E65" i="11"/>
  <c r="D65" i="11"/>
  <c r="F64" i="11"/>
  <c r="F63" i="11"/>
  <c r="F62" i="11"/>
  <c r="F61" i="11"/>
  <c r="F60" i="11"/>
  <c r="H59" i="11"/>
  <c r="G59" i="11"/>
  <c r="K59" i="11" s="1"/>
  <c r="F59" i="11"/>
  <c r="F58" i="11"/>
  <c r="F56" i="11"/>
  <c r="F54" i="11"/>
  <c r="H53" i="11"/>
  <c r="L53" i="11" s="1"/>
  <c r="G53" i="11"/>
  <c r="F53" i="11"/>
  <c r="F52" i="11"/>
  <c r="M20" i="11"/>
  <c r="M21" i="11" s="1"/>
  <c r="N19" i="11"/>
  <c r="H64" i="11" s="1"/>
  <c r="L64" i="11" s="1"/>
  <c r="M19" i="11"/>
  <c r="G64" i="11" s="1"/>
  <c r="N18" i="11"/>
  <c r="H63" i="11" s="1"/>
  <c r="L63" i="11" s="1"/>
  <c r="M18" i="11"/>
  <c r="G63" i="11" s="1"/>
  <c r="K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H60" i="11" s="1"/>
  <c r="L60" i="11" s="1"/>
  <c r="M15" i="11"/>
  <c r="G60" i="11" s="1"/>
  <c r="N14" i="11"/>
  <c r="H58" i="11" s="1"/>
  <c r="L58" i="11" s="1"/>
  <c r="M14" i="11"/>
  <c r="G58" i="11" s="1"/>
  <c r="K58" i="11" s="1"/>
  <c r="N13" i="11"/>
  <c r="H57" i="11" s="1"/>
  <c r="L57" i="11" s="1"/>
  <c r="M13" i="11"/>
  <c r="G57" i="11" s="1"/>
  <c r="N12" i="11"/>
  <c r="H56" i="11" s="1"/>
  <c r="L56" i="11" s="1"/>
  <c r="M12" i="11"/>
  <c r="G56" i="11" s="1"/>
  <c r="N11" i="11"/>
  <c r="H55" i="11" s="1"/>
  <c r="L55" i="11" s="1"/>
  <c r="M11" i="11"/>
  <c r="G55" i="11" s="1"/>
  <c r="N10" i="11"/>
  <c r="H54" i="11" s="1"/>
  <c r="L54" i="11" s="1"/>
  <c r="M10" i="11"/>
  <c r="G54" i="11" s="1"/>
  <c r="K54" i="11" s="1"/>
  <c r="N9" i="11"/>
  <c r="H52" i="11" s="1"/>
  <c r="L52" i="11" s="1"/>
  <c r="M9" i="11"/>
  <c r="G52" i="11" s="1"/>
  <c r="N8" i="11"/>
  <c r="M8" i="11"/>
  <c r="G51" i="11" s="1"/>
  <c r="N7" i="11"/>
  <c r="M7" i="11"/>
  <c r="D94" i="10"/>
  <c r="E93" i="10"/>
  <c r="G93" i="10" s="1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F61" i="10"/>
  <c r="F60" i="10"/>
  <c r="H59" i="10"/>
  <c r="L59" i="10" s="1"/>
  <c r="G59" i="10"/>
  <c r="F59" i="10"/>
  <c r="F58" i="10"/>
  <c r="F55" i="10"/>
  <c r="F54" i="10"/>
  <c r="H53" i="10"/>
  <c r="L53" i="10" s="1"/>
  <c r="G53" i="10"/>
  <c r="K53" i="10" s="1"/>
  <c r="F53" i="10"/>
  <c r="F51" i="10"/>
  <c r="D46" i="10"/>
  <c r="M20" i="10"/>
  <c r="M21" i="10" s="1"/>
  <c r="E45" i="10" s="1"/>
  <c r="F45" i="10" s="1"/>
  <c r="N19" i="10"/>
  <c r="H64" i="10" s="1"/>
  <c r="L64" i="10" s="1"/>
  <c r="M19" i="10"/>
  <c r="G64" i="10" s="1"/>
  <c r="K64" i="10" s="1"/>
  <c r="N18" i="10"/>
  <c r="H63" i="10" s="1"/>
  <c r="L63" i="10" s="1"/>
  <c r="M18" i="10"/>
  <c r="G63" i="10" s="1"/>
  <c r="N17" i="10"/>
  <c r="H62" i="10" s="1"/>
  <c r="M17" i="10"/>
  <c r="G62" i="10" s="1"/>
  <c r="N16" i="10"/>
  <c r="H61" i="10" s="1"/>
  <c r="L61" i="10" s="1"/>
  <c r="M16" i="10"/>
  <c r="G61" i="10" s="1"/>
  <c r="N15" i="10"/>
  <c r="H60" i="10" s="1"/>
  <c r="L60" i="10" s="1"/>
  <c r="M15" i="10"/>
  <c r="G60" i="10" s="1"/>
  <c r="N14" i="10"/>
  <c r="H58" i="10" s="1"/>
  <c r="L58" i="10" s="1"/>
  <c r="M14" i="10"/>
  <c r="G58" i="10" s="1"/>
  <c r="N13" i="10"/>
  <c r="H57" i="10" s="1"/>
  <c r="M13" i="10"/>
  <c r="G57" i="10" s="1"/>
  <c r="N12" i="10"/>
  <c r="H56" i="10" s="1"/>
  <c r="L56" i="10" s="1"/>
  <c r="M12" i="10"/>
  <c r="G56" i="10" s="1"/>
  <c r="N11" i="10"/>
  <c r="H55" i="10" s="1"/>
  <c r="L55" i="10" s="1"/>
  <c r="M11" i="10"/>
  <c r="G55" i="10" s="1"/>
  <c r="N10" i="10"/>
  <c r="H54" i="10" s="1"/>
  <c r="M10" i="10"/>
  <c r="G54" i="10" s="1"/>
  <c r="N9" i="10"/>
  <c r="H52" i="10" s="1"/>
  <c r="L52" i="10" s="1"/>
  <c r="M9" i="10"/>
  <c r="G52" i="10" s="1"/>
  <c r="N8" i="10"/>
  <c r="M8" i="10"/>
  <c r="G51" i="10" s="1"/>
  <c r="N7" i="10"/>
  <c r="M7" i="10"/>
  <c r="E93" i="9"/>
  <c r="G93" i="9" s="1"/>
  <c r="E92" i="9"/>
  <c r="G92" i="9" s="1"/>
  <c r="E90" i="9"/>
  <c r="G90" i="9" s="1"/>
  <c r="E89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E65" i="9"/>
  <c r="D65" i="9"/>
  <c r="F64" i="9"/>
  <c r="F63" i="9"/>
  <c r="H59" i="9"/>
  <c r="G59" i="9"/>
  <c r="K59" i="9" s="1"/>
  <c r="F59" i="9"/>
  <c r="F58" i="9"/>
  <c r="F56" i="9"/>
  <c r="F55" i="9"/>
  <c r="F54" i="9"/>
  <c r="H53" i="9"/>
  <c r="L53" i="9" s="1"/>
  <c r="G53" i="9"/>
  <c r="F53" i="9"/>
  <c r="F52" i="9"/>
  <c r="M20" i="9"/>
  <c r="M21" i="9" s="1"/>
  <c r="E45" i="9" s="1"/>
  <c r="N19" i="9"/>
  <c r="H64" i="9" s="1"/>
  <c r="L64" i="9" s="1"/>
  <c r="M19" i="9"/>
  <c r="G64" i="9" s="1"/>
  <c r="K64" i="9" s="1"/>
  <c r="N18" i="9"/>
  <c r="H63" i="9" s="1"/>
  <c r="L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L60" i="9" s="1"/>
  <c r="M15" i="9"/>
  <c r="G60" i="9" s="1"/>
  <c r="N14" i="9"/>
  <c r="H58" i="9" s="1"/>
  <c r="L58" i="9" s="1"/>
  <c r="M14" i="9"/>
  <c r="G58" i="9" s="1"/>
  <c r="K58" i="9" s="1"/>
  <c r="N13" i="9"/>
  <c r="H57" i="9" s="1"/>
  <c r="L57" i="9" s="1"/>
  <c r="M13" i="9"/>
  <c r="G57" i="9" s="1"/>
  <c r="N12" i="9"/>
  <c r="H56" i="9" s="1"/>
  <c r="L56" i="9" s="1"/>
  <c r="M12" i="9"/>
  <c r="G56" i="9" s="1"/>
  <c r="N11" i="9"/>
  <c r="H55" i="9" s="1"/>
  <c r="L55" i="9" s="1"/>
  <c r="M11" i="9"/>
  <c r="G55" i="9" s="1"/>
  <c r="K55" i="9" s="1"/>
  <c r="N10" i="9"/>
  <c r="H54" i="9" s="1"/>
  <c r="L54" i="9" s="1"/>
  <c r="M10" i="9"/>
  <c r="G54" i="9" s="1"/>
  <c r="N9" i="9"/>
  <c r="M9" i="9"/>
  <c r="G52" i="9" s="1"/>
  <c r="N8" i="9"/>
  <c r="H51" i="9" s="1"/>
  <c r="L51" i="9" s="1"/>
  <c r="M8" i="9"/>
  <c r="G51" i="9" s="1"/>
  <c r="N7" i="9"/>
  <c r="M7" i="9"/>
  <c r="D94" i="8"/>
  <c r="E93" i="8"/>
  <c r="E92" i="8"/>
  <c r="G92" i="8" s="1"/>
  <c r="E90" i="8"/>
  <c r="G90" i="8" s="1"/>
  <c r="E89" i="8"/>
  <c r="G89" i="8" s="1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F64" i="8"/>
  <c r="F63" i="8"/>
  <c r="F61" i="8"/>
  <c r="F60" i="8"/>
  <c r="H59" i="8"/>
  <c r="G59" i="8"/>
  <c r="K59" i="8" s="1"/>
  <c r="F59" i="8"/>
  <c r="F58" i="8"/>
  <c r="K57" i="8"/>
  <c r="H53" i="8"/>
  <c r="L53" i="8" s="1"/>
  <c r="G53" i="8"/>
  <c r="F53" i="8"/>
  <c r="F52" i="8"/>
  <c r="F51" i="8"/>
  <c r="M20" i="8"/>
  <c r="M21" i="8" s="1"/>
  <c r="E45" i="8" s="1"/>
  <c r="F45" i="8" s="1"/>
  <c r="N19" i="8"/>
  <c r="H64" i="8" s="1"/>
  <c r="M19" i="8"/>
  <c r="G64" i="8" s="1"/>
  <c r="N18" i="8"/>
  <c r="H63" i="8" s="1"/>
  <c r="L63" i="8" s="1"/>
  <c r="M18" i="8"/>
  <c r="G63" i="8" s="1"/>
  <c r="N17" i="8"/>
  <c r="H62" i="8" s="1"/>
  <c r="L62" i="8" s="1"/>
  <c r="M17" i="8"/>
  <c r="G62" i="8" s="1"/>
  <c r="K62" i="8" s="1"/>
  <c r="N16" i="8"/>
  <c r="H61" i="8" s="1"/>
  <c r="L61" i="8" s="1"/>
  <c r="M16" i="8"/>
  <c r="G61" i="8" s="1"/>
  <c r="K61" i="8" s="1"/>
  <c r="N15" i="8"/>
  <c r="H60" i="8" s="1"/>
  <c r="L60" i="8" s="1"/>
  <c r="M15" i="8"/>
  <c r="G60" i="8" s="1"/>
  <c r="N14" i="8"/>
  <c r="H58" i="8" s="1"/>
  <c r="M14" i="8"/>
  <c r="G58" i="8" s="1"/>
  <c r="K58" i="8" s="1"/>
  <c r="N13" i="8"/>
  <c r="H57" i="8" s="1"/>
  <c r="M13" i="8"/>
  <c r="G57" i="8" s="1"/>
  <c r="N12" i="8"/>
  <c r="H56" i="8" s="1"/>
  <c r="L56" i="8" s="1"/>
  <c r="M12" i="8"/>
  <c r="G56" i="8" s="1"/>
  <c r="N11" i="8"/>
  <c r="H55" i="8" s="1"/>
  <c r="L55" i="8" s="1"/>
  <c r="M11" i="8"/>
  <c r="G55" i="8" s="1"/>
  <c r="N10" i="8"/>
  <c r="H54" i="8" s="1"/>
  <c r="L54" i="8" s="1"/>
  <c r="M10" i="8"/>
  <c r="G54" i="8" s="1"/>
  <c r="N9" i="8"/>
  <c r="M9" i="8"/>
  <c r="G52" i="8" s="1"/>
  <c r="N8" i="8"/>
  <c r="H51" i="8" s="1"/>
  <c r="M8" i="8"/>
  <c r="G51" i="8" s="1"/>
  <c r="N7" i="8"/>
  <c r="M7" i="8"/>
  <c r="E93" i="7"/>
  <c r="G92" i="7"/>
  <c r="E92" i="7"/>
  <c r="F92" i="7" s="1"/>
  <c r="E90" i="7"/>
  <c r="F90" i="7" s="1"/>
  <c r="E89" i="7"/>
  <c r="H59" i="7"/>
  <c r="G59" i="7"/>
  <c r="F59" i="7"/>
  <c r="F58" i="7"/>
  <c r="H53" i="7"/>
  <c r="G53" i="7"/>
  <c r="K53" i="7" s="1"/>
  <c r="M20" i="7"/>
  <c r="M21" i="7" s="1"/>
  <c r="E45" i="7" s="1"/>
  <c r="H64" i="7"/>
  <c r="M19" i="7"/>
  <c r="G64" i="7" s="1"/>
  <c r="N18" i="7"/>
  <c r="H63" i="7" s="1"/>
  <c r="M18" i="7"/>
  <c r="G63" i="7" s="1"/>
  <c r="K63" i="7" s="1"/>
  <c r="N17" i="7"/>
  <c r="H62" i="7" s="1"/>
  <c r="L62" i="7" s="1"/>
  <c r="M17" i="7"/>
  <c r="G62" i="7" s="1"/>
  <c r="K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M10" i="7"/>
  <c r="G54" i="7" s="1"/>
  <c r="N9" i="7"/>
  <c r="H52" i="7" s="1"/>
  <c r="L52" i="7" s="1"/>
  <c r="M9" i="7"/>
  <c r="G52" i="7" s="1"/>
  <c r="N8" i="7"/>
  <c r="H51" i="7" s="1"/>
  <c r="M8" i="7"/>
  <c r="G51" i="7" s="1"/>
  <c r="N7" i="7"/>
  <c r="M7" i="7"/>
  <c r="G59" i="6"/>
  <c r="G53" i="6"/>
  <c r="D78" i="6"/>
  <c r="D72" i="6"/>
  <c r="H59" i="6"/>
  <c r="H53" i="6"/>
  <c r="D59" i="6"/>
  <c r="D53" i="6"/>
  <c r="D43" i="6"/>
  <c r="D44" i="6"/>
  <c r="D83" i="6"/>
  <c r="D82" i="6"/>
  <c r="D81" i="6"/>
  <c r="D80" i="6"/>
  <c r="D77" i="6"/>
  <c r="D76" i="6"/>
  <c r="D74" i="6"/>
  <c r="D73" i="6"/>
  <c r="D7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G65" i="3" s="1"/>
  <c r="G57" i="3"/>
  <c r="P20" i="3"/>
  <c r="P21" i="3" s="1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L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D46" i="8" l="1"/>
  <c r="D65" i="8"/>
  <c r="K63" i="8"/>
  <c r="L59" i="9"/>
  <c r="K62" i="10"/>
  <c r="G90" i="11"/>
  <c r="K55" i="13"/>
  <c r="G89" i="13"/>
  <c r="F62" i="7"/>
  <c r="L59" i="8"/>
  <c r="L61" i="9"/>
  <c r="L57" i="10"/>
  <c r="F52" i="12"/>
  <c r="G92" i="14"/>
  <c r="H92" i="14" s="1"/>
  <c r="G65" i="7"/>
  <c r="E43" i="7" s="1"/>
  <c r="G43" i="7" s="1"/>
  <c r="H43" i="7" s="1"/>
  <c r="K64" i="8"/>
  <c r="F93" i="9"/>
  <c r="K54" i="8"/>
  <c r="F89" i="8"/>
  <c r="K52" i="10"/>
  <c r="L59" i="11"/>
  <c r="F54" i="7"/>
  <c r="L52" i="3"/>
  <c r="G93" i="7"/>
  <c r="L58" i="8"/>
  <c r="L62" i="10"/>
  <c r="F52" i="10"/>
  <c r="L62" i="12"/>
  <c r="K58" i="3"/>
  <c r="F54" i="3"/>
  <c r="L61" i="7"/>
  <c r="L64" i="8"/>
  <c r="G93" i="8"/>
  <c r="L62" i="9"/>
  <c r="L54" i="10"/>
  <c r="G89" i="12"/>
  <c r="F57" i="7"/>
  <c r="K56" i="8"/>
  <c r="I54" i="9"/>
  <c r="J54" i="9" s="1"/>
  <c r="I63" i="9"/>
  <c r="J63" i="9" s="1"/>
  <c r="I55" i="10"/>
  <c r="J55" i="10" s="1"/>
  <c r="I60" i="10"/>
  <c r="J60" i="10" s="1"/>
  <c r="L53" i="7"/>
  <c r="G93" i="12"/>
  <c r="H93" i="12" s="1"/>
  <c r="F68" i="3"/>
  <c r="F60" i="3"/>
  <c r="L54" i="7"/>
  <c r="L63" i="7"/>
  <c r="G66" i="3"/>
  <c r="H66" i="3" s="1"/>
  <c r="K60" i="7"/>
  <c r="K59" i="6"/>
  <c r="L60" i="7"/>
  <c r="L64" i="7"/>
  <c r="I62" i="9"/>
  <c r="M62" i="9" s="1"/>
  <c r="K60" i="10"/>
  <c r="F65" i="14"/>
  <c r="E65" i="7"/>
  <c r="I51" i="13"/>
  <c r="I61" i="13"/>
  <c r="D94" i="7"/>
  <c r="I55" i="8"/>
  <c r="M55" i="8" s="1"/>
  <c r="F92" i="12"/>
  <c r="F65" i="13"/>
  <c r="K63" i="9"/>
  <c r="F90" i="8"/>
  <c r="I56" i="9"/>
  <c r="F92" i="11"/>
  <c r="I59" i="14"/>
  <c r="M59" i="14" s="1"/>
  <c r="N59" i="14" s="1"/>
  <c r="E44" i="10"/>
  <c r="G44" i="10" s="1"/>
  <c r="H44" i="10" s="1"/>
  <c r="E44" i="14"/>
  <c r="G44" i="14" s="1"/>
  <c r="H44" i="14" s="1"/>
  <c r="F56" i="7"/>
  <c r="F64" i="7"/>
  <c r="D84" i="7"/>
  <c r="H55" i="7"/>
  <c r="L55" i="7" s="1"/>
  <c r="E44" i="7"/>
  <c r="I54" i="7"/>
  <c r="J54" i="7" s="1"/>
  <c r="I52" i="7"/>
  <c r="M52" i="7" s="1"/>
  <c r="N52" i="7" s="1"/>
  <c r="I61" i="7"/>
  <c r="J61" i="7" s="1"/>
  <c r="G90" i="7"/>
  <c r="H90" i="7" s="1"/>
  <c r="L59" i="7"/>
  <c r="F89" i="7"/>
  <c r="D46" i="7"/>
  <c r="D65" i="7"/>
  <c r="K56" i="7"/>
  <c r="F51" i="7"/>
  <c r="L58" i="7"/>
  <c r="K64" i="7"/>
  <c r="K57" i="7"/>
  <c r="H90" i="12"/>
  <c r="L60" i="13"/>
  <c r="I60" i="13"/>
  <c r="J60" i="13" s="1"/>
  <c r="I55" i="11"/>
  <c r="K55" i="11"/>
  <c r="K51" i="9"/>
  <c r="I51" i="9"/>
  <c r="G45" i="9"/>
  <c r="H45" i="9" s="1"/>
  <c r="F45" i="9"/>
  <c r="I53" i="7"/>
  <c r="J53" i="7" s="1"/>
  <c r="K54" i="7"/>
  <c r="D84" i="8"/>
  <c r="H51" i="10"/>
  <c r="L51" i="10" s="1"/>
  <c r="L65" i="10" s="1"/>
  <c r="E44" i="13"/>
  <c r="G44" i="13" s="1"/>
  <c r="H44" i="13" s="1"/>
  <c r="K50" i="3"/>
  <c r="K49" i="3"/>
  <c r="I62" i="7"/>
  <c r="J62" i="7" s="1"/>
  <c r="E44" i="8"/>
  <c r="G44" i="8" s="1"/>
  <c r="H44" i="8" s="1"/>
  <c r="E91" i="9"/>
  <c r="F91" i="9" s="1"/>
  <c r="I55" i="9"/>
  <c r="J55" i="9" s="1"/>
  <c r="I64" i="9"/>
  <c r="M64" i="9" s="1"/>
  <c r="N64" i="9" s="1"/>
  <c r="F65" i="10"/>
  <c r="F93" i="10"/>
  <c r="I59" i="11"/>
  <c r="J59" i="11" s="1"/>
  <c r="I63" i="11"/>
  <c r="I53" i="14"/>
  <c r="M53" i="14" s="1"/>
  <c r="N53" i="14" s="1"/>
  <c r="H93" i="13"/>
  <c r="F66" i="3"/>
  <c r="K57" i="3"/>
  <c r="I56" i="10"/>
  <c r="J56" i="10" s="1"/>
  <c r="I59" i="12"/>
  <c r="J59" i="12" s="1"/>
  <c r="K53" i="3"/>
  <c r="I64" i="11"/>
  <c r="J64" i="11" s="1"/>
  <c r="D84" i="14"/>
  <c r="H92" i="11"/>
  <c r="F92" i="8"/>
  <c r="I59" i="9"/>
  <c r="J59" i="9" s="1"/>
  <c r="I57" i="10"/>
  <c r="J57" i="10" s="1"/>
  <c r="G45" i="10"/>
  <c r="I58" i="11"/>
  <c r="M58" i="11" s="1"/>
  <c r="N58" i="11" s="1"/>
  <c r="D84" i="11"/>
  <c r="I53" i="12"/>
  <c r="M53" i="12" s="1"/>
  <c r="N53" i="12" s="1"/>
  <c r="F93" i="13"/>
  <c r="H93" i="10"/>
  <c r="I63" i="7"/>
  <c r="M63" i="7" s="1"/>
  <c r="N63" i="7" s="1"/>
  <c r="K54" i="9"/>
  <c r="F90" i="12"/>
  <c r="H90" i="9"/>
  <c r="I56" i="8"/>
  <c r="J56" i="8" s="1"/>
  <c r="H52" i="8"/>
  <c r="L52" i="8" s="1"/>
  <c r="E44" i="12"/>
  <c r="D84" i="13"/>
  <c r="H92" i="8"/>
  <c r="I53" i="6"/>
  <c r="G45" i="8"/>
  <c r="I53" i="10"/>
  <c r="K56" i="10"/>
  <c r="D84" i="10"/>
  <c r="H54" i="12"/>
  <c r="L54" i="12" s="1"/>
  <c r="D84" i="12"/>
  <c r="H93" i="7"/>
  <c r="H93" i="9"/>
  <c r="L53" i="6"/>
  <c r="L59" i="6"/>
  <c r="H89" i="13"/>
  <c r="D84" i="6"/>
  <c r="H92" i="7"/>
  <c r="N62" i="9"/>
  <c r="H92" i="9"/>
  <c r="H90" i="11"/>
  <c r="N55" i="8"/>
  <c r="H89" i="8"/>
  <c r="H93" i="8"/>
  <c r="H45" i="8"/>
  <c r="H90" i="8"/>
  <c r="H45" i="10"/>
  <c r="H90" i="10"/>
  <c r="H89" i="12"/>
  <c r="H92" i="12"/>
  <c r="H90" i="14"/>
  <c r="L57" i="8"/>
  <c r="I57" i="8"/>
  <c r="L56" i="7"/>
  <c r="I56" i="7"/>
  <c r="J56" i="7" s="1"/>
  <c r="G45" i="7"/>
  <c r="H45" i="7" s="1"/>
  <c r="F45" i="7"/>
  <c r="F44" i="8"/>
  <c r="K60" i="8"/>
  <c r="I60" i="8"/>
  <c r="J60" i="8" s="1"/>
  <c r="K57" i="9"/>
  <c r="I57" i="9"/>
  <c r="J57" i="9" s="1"/>
  <c r="K52" i="7"/>
  <c r="I57" i="7"/>
  <c r="J57" i="7" s="1"/>
  <c r="I59" i="7"/>
  <c r="J59" i="7" s="1"/>
  <c r="K59" i="7"/>
  <c r="I61" i="9"/>
  <c r="J61" i="9" s="1"/>
  <c r="K61" i="9"/>
  <c r="I52" i="12"/>
  <c r="J52" i="12" s="1"/>
  <c r="K52" i="12"/>
  <c r="G65" i="12"/>
  <c r="E43" i="12" s="1"/>
  <c r="L51" i="8"/>
  <c r="I62" i="8"/>
  <c r="I58" i="9"/>
  <c r="J58" i="9" s="1"/>
  <c r="K61" i="10"/>
  <c r="I61" i="10"/>
  <c r="M57" i="10"/>
  <c r="N57" i="10" s="1"/>
  <c r="E44" i="11"/>
  <c r="H51" i="11"/>
  <c r="E45" i="11"/>
  <c r="E91" i="11"/>
  <c r="E94" i="11" s="1"/>
  <c r="F94" i="11" s="1"/>
  <c r="M51" i="13"/>
  <c r="J51" i="13"/>
  <c r="I52" i="11"/>
  <c r="K52" i="11"/>
  <c r="G65" i="14"/>
  <c r="E43" i="14" s="1"/>
  <c r="K51" i="14"/>
  <c r="I56" i="14"/>
  <c r="J56" i="14" s="1"/>
  <c r="K56" i="14"/>
  <c r="K61" i="14"/>
  <c r="I61" i="14"/>
  <c r="E91" i="14"/>
  <c r="E45" i="14"/>
  <c r="I64" i="8"/>
  <c r="J64" i="8" s="1"/>
  <c r="I51" i="7"/>
  <c r="K52" i="8"/>
  <c r="I52" i="8"/>
  <c r="J52" i="8" s="1"/>
  <c r="I61" i="8"/>
  <c r="J61" i="8" s="1"/>
  <c r="K60" i="9"/>
  <c r="I60" i="9"/>
  <c r="J60" i="9" s="1"/>
  <c r="M61" i="9"/>
  <c r="N61" i="9" s="1"/>
  <c r="F44" i="10"/>
  <c r="G89" i="9"/>
  <c r="K57" i="12"/>
  <c r="I57" i="12"/>
  <c r="F93" i="7"/>
  <c r="F65" i="8"/>
  <c r="I58" i="8"/>
  <c r="J58" i="8" s="1"/>
  <c r="M56" i="9"/>
  <c r="N56" i="9" s="1"/>
  <c r="J56" i="9"/>
  <c r="K54" i="10"/>
  <c r="I54" i="10"/>
  <c r="J54" i="10" s="1"/>
  <c r="K58" i="10"/>
  <c r="I58" i="10"/>
  <c r="K63" i="10"/>
  <c r="I63" i="10"/>
  <c r="J63" i="10" s="1"/>
  <c r="I52" i="10"/>
  <c r="J52" i="10" s="1"/>
  <c r="I64" i="10"/>
  <c r="J64" i="10" s="1"/>
  <c r="K57" i="13"/>
  <c r="I57" i="13"/>
  <c r="I62" i="13"/>
  <c r="J62" i="13" s="1"/>
  <c r="K62" i="13"/>
  <c r="I57" i="11"/>
  <c r="J57" i="11" s="1"/>
  <c r="K57" i="11"/>
  <c r="F89" i="9"/>
  <c r="K55" i="8"/>
  <c r="F65" i="9"/>
  <c r="K59" i="10"/>
  <c r="I59" i="10"/>
  <c r="J59" i="10" s="1"/>
  <c r="K62" i="12"/>
  <c r="I62" i="12"/>
  <c r="E91" i="7"/>
  <c r="E94" i="7" s="1"/>
  <c r="F94" i="7" s="1"/>
  <c r="G65" i="8"/>
  <c r="E43" i="8" s="1"/>
  <c r="K51" i="8"/>
  <c r="I63" i="8"/>
  <c r="J63" i="8" s="1"/>
  <c r="I53" i="9"/>
  <c r="J53" i="9" s="1"/>
  <c r="K53" i="9"/>
  <c r="M59" i="9"/>
  <c r="N59" i="9" s="1"/>
  <c r="J62" i="9"/>
  <c r="M55" i="10"/>
  <c r="N55" i="10" s="1"/>
  <c r="M63" i="11"/>
  <c r="N63" i="11" s="1"/>
  <c r="J63" i="11"/>
  <c r="D84" i="9"/>
  <c r="K51" i="7"/>
  <c r="K58" i="7"/>
  <c r="I58" i="7"/>
  <c r="M56" i="8"/>
  <c r="N56" i="8" s="1"/>
  <c r="E91" i="8"/>
  <c r="E94" i="8" s="1"/>
  <c r="F94" i="8" s="1"/>
  <c r="K52" i="9"/>
  <c r="K62" i="9"/>
  <c r="G91" i="9"/>
  <c r="H91" i="9" s="1"/>
  <c r="G89" i="10"/>
  <c r="F89" i="10"/>
  <c r="I60" i="7"/>
  <c r="K61" i="7"/>
  <c r="I64" i="7"/>
  <c r="G89" i="7"/>
  <c r="I54" i="8"/>
  <c r="J54" i="8" s="1"/>
  <c r="I51" i="8"/>
  <c r="M51" i="8" s="1"/>
  <c r="I53" i="8"/>
  <c r="K53" i="8"/>
  <c r="I59" i="8"/>
  <c r="J59" i="8" s="1"/>
  <c r="E44" i="9"/>
  <c r="H52" i="9"/>
  <c r="G65" i="10"/>
  <c r="E43" i="10" s="1"/>
  <c r="K51" i="10"/>
  <c r="K55" i="10"/>
  <c r="I62" i="10"/>
  <c r="J62" i="10" s="1"/>
  <c r="K61" i="11"/>
  <c r="I61" i="11"/>
  <c r="J61" i="11" s="1"/>
  <c r="K56" i="9"/>
  <c r="K57" i="10"/>
  <c r="M64" i="10"/>
  <c r="N64" i="10" s="1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L58" i="12"/>
  <c r="I58" i="12"/>
  <c r="J58" i="12" s="1"/>
  <c r="G65" i="11"/>
  <c r="E43" i="11" s="1"/>
  <c r="K51" i="11"/>
  <c r="I51" i="11"/>
  <c r="K53" i="11"/>
  <c r="I53" i="11"/>
  <c r="J53" i="11" s="1"/>
  <c r="I60" i="11"/>
  <c r="K60" i="11"/>
  <c r="K63" i="12"/>
  <c r="I63" i="12"/>
  <c r="K52" i="13"/>
  <c r="I52" i="13"/>
  <c r="J52" i="13" s="1"/>
  <c r="I54" i="13"/>
  <c r="J54" i="13" s="1"/>
  <c r="K54" i="13"/>
  <c r="M63" i="13"/>
  <c r="N63" i="13" s="1"/>
  <c r="K52" i="14"/>
  <c r="I52" i="14"/>
  <c r="J52" i="14" s="1"/>
  <c r="I57" i="14"/>
  <c r="K57" i="14"/>
  <c r="K62" i="14"/>
  <c r="I62" i="14"/>
  <c r="J62" i="14" s="1"/>
  <c r="I62" i="11"/>
  <c r="G65" i="9"/>
  <c r="E43" i="9" s="1"/>
  <c r="E91" i="10"/>
  <c r="E94" i="10" s="1"/>
  <c r="F94" i="10" s="1"/>
  <c r="M59" i="11"/>
  <c r="N59" i="11" s="1"/>
  <c r="I58" i="13"/>
  <c r="J58" i="13" s="1"/>
  <c r="K58" i="13"/>
  <c r="K63" i="13"/>
  <c r="I63" i="13"/>
  <c r="J63" i="13" s="1"/>
  <c r="F45" i="13"/>
  <c r="G45" i="13"/>
  <c r="H45" i="13" s="1"/>
  <c r="K59" i="13"/>
  <c r="I59" i="13"/>
  <c r="M57" i="11"/>
  <c r="N57" i="11" s="1"/>
  <c r="K59" i="12"/>
  <c r="I61" i="12"/>
  <c r="J61" i="12" s="1"/>
  <c r="M60" i="10"/>
  <c r="N60" i="10" s="1"/>
  <c r="K64" i="11"/>
  <c r="F89" i="11"/>
  <c r="G89" i="11"/>
  <c r="I51" i="12"/>
  <c r="K51" i="12"/>
  <c r="I56" i="12"/>
  <c r="J56" i="12" s="1"/>
  <c r="E91" i="12"/>
  <c r="E45" i="12"/>
  <c r="M59" i="12"/>
  <c r="N59" i="12" s="1"/>
  <c r="M64" i="11"/>
  <c r="N64" i="11" s="1"/>
  <c r="F65" i="12"/>
  <c r="K64" i="13"/>
  <c r="I64" i="13"/>
  <c r="J61" i="13"/>
  <c r="M61" i="13"/>
  <c r="N61" i="13" s="1"/>
  <c r="F90" i="10"/>
  <c r="I54" i="11"/>
  <c r="K54" i="12"/>
  <c r="I55" i="12"/>
  <c r="I60" i="12"/>
  <c r="J60" i="12" s="1"/>
  <c r="K60" i="12"/>
  <c r="G90" i="13"/>
  <c r="F90" i="13"/>
  <c r="K54" i="14"/>
  <c r="I54" i="14"/>
  <c r="J54" i="14" s="1"/>
  <c r="K58" i="14"/>
  <c r="I58" i="14"/>
  <c r="E94" i="14"/>
  <c r="F94" i="14" s="1"/>
  <c r="F90" i="9"/>
  <c r="F92" i="9"/>
  <c r="K56" i="13"/>
  <c r="I56" i="13"/>
  <c r="E91" i="13"/>
  <c r="I55" i="13"/>
  <c r="K61" i="13"/>
  <c r="M62" i="14"/>
  <c r="N62" i="14" s="1"/>
  <c r="I64" i="12"/>
  <c r="J64" i="12" s="1"/>
  <c r="L51" i="13"/>
  <c r="L65" i="13" s="1"/>
  <c r="H65" i="13"/>
  <c r="M60" i="13"/>
  <c r="N60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F53" i="6"/>
  <c r="M53" i="6" s="1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M58" i="3" s="1"/>
  <c r="N58" i="3" s="1"/>
  <c r="K59" i="3"/>
  <c r="D70" i="3"/>
  <c r="I53" i="3"/>
  <c r="E42" i="3"/>
  <c r="F42" i="3" s="1"/>
  <c r="F49" i="3"/>
  <c r="L55" i="3"/>
  <c r="J52" i="7" l="1"/>
  <c r="G42" i="3"/>
  <c r="H42" i="3" s="1"/>
  <c r="M52" i="10"/>
  <c r="N52" i="10" s="1"/>
  <c r="M52" i="13"/>
  <c r="N52" i="13" s="1"/>
  <c r="M60" i="14"/>
  <c r="N60" i="14" s="1"/>
  <c r="M59" i="10"/>
  <c r="N59" i="10" s="1"/>
  <c r="L65" i="12"/>
  <c r="F65" i="7"/>
  <c r="M63" i="9"/>
  <c r="N63" i="9" s="1"/>
  <c r="M64" i="8"/>
  <c r="N64" i="8" s="1"/>
  <c r="I51" i="10"/>
  <c r="M51" i="10" s="1"/>
  <c r="H65" i="10"/>
  <c r="M54" i="9"/>
  <c r="N54" i="9" s="1"/>
  <c r="M53" i="3"/>
  <c r="N53" i="3" s="1"/>
  <c r="M60" i="8"/>
  <c r="N60" i="8" s="1"/>
  <c r="J55" i="8"/>
  <c r="J53" i="12"/>
  <c r="H65" i="8"/>
  <c r="M51" i="3"/>
  <c r="N51" i="3" s="1"/>
  <c r="F44" i="14"/>
  <c r="M59" i="3"/>
  <c r="N59" i="3" s="1"/>
  <c r="F44" i="13"/>
  <c r="I54" i="12"/>
  <c r="M54" i="12" s="1"/>
  <c r="N54" i="12" s="1"/>
  <c r="M52" i="12"/>
  <c r="N52" i="12" s="1"/>
  <c r="J64" i="9"/>
  <c r="K65" i="9"/>
  <c r="H65" i="12"/>
  <c r="M63" i="8"/>
  <c r="N63" i="8" s="1"/>
  <c r="M55" i="9"/>
  <c r="N55" i="9" s="1"/>
  <c r="M62" i="13"/>
  <c r="N62" i="13" s="1"/>
  <c r="E70" i="3"/>
  <c r="J53" i="3"/>
  <c r="J64" i="7"/>
  <c r="M61" i="7"/>
  <c r="N61" i="7" s="1"/>
  <c r="L65" i="8"/>
  <c r="I55" i="7"/>
  <c r="J55" i="7" s="1"/>
  <c r="M54" i="7"/>
  <c r="N54" i="7" s="1"/>
  <c r="F43" i="7"/>
  <c r="M59" i="7"/>
  <c r="N59" i="7" s="1"/>
  <c r="J63" i="7"/>
  <c r="H65" i="7"/>
  <c r="M53" i="7"/>
  <c r="N53" i="7" s="1"/>
  <c r="J51" i="9"/>
  <c r="M51" i="9"/>
  <c r="N51" i="9" s="1"/>
  <c r="J58" i="1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J55" i="1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J53" i="10"/>
  <c r="M53" i="10"/>
  <c r="N53" i="10" s="1"/>
  <c r="M63" i="10"/>
  <c r="N63" i="10" s="1"/>
  <c r="E94" i="9"/>
  <c r="F94" i="9" s="1"/>
  <c r="M59" i="6"/>
  <c r="N51" i="8"/>
  <c r="M51" i="14"/>
  <c r="J51" i="14"/>
  <c r="I65" i="14"/>
  <c r="J65" i="14" s="1"/>
  <c r="M58" i="14"/>
  <c r="N58" i="14" s="1"/>
  <c r="J58" i="14"/>
  <c r="E46" i="9"/>
  <c r="F46" i="9" s="1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I65" i="12"/>
  <c r="J65" i="12" s="1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65" i="9"/>
  <c r="L52" i="9"/>
  <c r="L65" i="9" s="1"/>
  <c r="J51" i="7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H90" i="13"/>
  <c r="G94" i="11"/>
  <c r="H94" i="11" s="1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F70" i="3"/>
  <c r="K61" i="3"/>
  <c r="G70" i="3"/>
  <c r="H70" i="3" s="1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G46" i="7" l="1"/>
  <c r="H46" i="7" s="1"/>
  <c r="J54" i="12"/>
  <c r="M55" i="7"/>
  <c r="N55" i="7" s="1"/>
  <c r="G94" i="13"/>
  <c r="H94" i="13" s="1"/>
  <c r="I65" i="7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M65" i="7"/>
  <c r="N65" i="7" s="1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N52" i="9" l="1"/>
  <c r="M65" i="9"/>
  <c r="N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E67" i="5" l="1"/>
  <c r="E67" i="4"/>
  <c r="F67" i="4" s="1"/>
  <c r="E43" i="5"/>
  <c r="E41" i="4"/>
  <c r="F41" i="4" s="1"/>
  <c r="G66" i="4"/>
  <c r="H66" i="4" s="1"/>
  <c r="E70" i="5"/>
  <c r="M54" i="4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G41" i="5" s="1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N54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L61" i="4" s="1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G61" i="4" l="1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<sst xmlns="http://schemas.openxmlformats.org/spreadsheetml/2006/main" count="1872" uniqueCount="185">
  <si>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</si>
  <si>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</si>
  <si>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</si>
  <si>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</si>
  <si>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</si>
  <si>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</si>
  <si>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</si>
  <si>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</si>
  <si>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</si>
  <si>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</si>
  <si>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</si>
  <si>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</si>
  <si>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</si>
  <si>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</si>
  <si>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</si>
  <si>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</si>
  <si>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</si>
  <si>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</si>
  <si>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</si>
  <si>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</si>
  <si>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</si>
  <si>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</si>
  <si>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</si>
  <si>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</si>
  <si>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</si>
  <si>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</si>
  <si>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</si>
  <si>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</si>
  <si>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</si>
  <si>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</si>
  <si>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</si>
  <si>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</si>
  <si>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</si>
  <si>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</si>
  <si>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</si>
  <si>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</si>
  <si>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</si>
  <si>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</si>
  <si>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</si>
  <si>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</si>
  <si>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</si>
  <si>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</si>
  <si>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</si>
  <si>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</si>
  <si>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</si>
  <si>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</si>
  <si>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</si>
  <si>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</si>
  <si>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</si>
  <si>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</si>
  <si>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</si>
  <si>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</si>
  <si>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</si>
  <si>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</si>
  <si>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</si>
  <si>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</si>
  <si>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</si>
  <si>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</si>
  <si>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</si>
  <si>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</si>
  <si>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</si>
  <si>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</si>
  <si>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</si>
  <si>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</si>
  <si>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</si>
  <si>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</si>
  <si>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</si>
  <si>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</si>
  <si>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</si>
  <si>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</si>
  <si>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</si>
  <si>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</si>
  <si>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</si>
  <si>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</si>
  <si>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</si>
  <si>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</si>
  <si>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</si>
  <si>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</si>
  <si>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</si>
  <si>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</si>
  <si>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</si>
  <si>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</si>
  <si>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</si>
  <si>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</si>
  <si>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</si>
  <si>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</si>
  <si>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</si>
  <si>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</si>
  <si>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</si>
  <si>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</si>
  <si>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</si>
  <si>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</si>
  <si>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</si>
  <si>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</si>
  <si>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</si>
  <si>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</si>
  <si>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</si>
  <si>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</si>
  <si>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</si>
  <si>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</si>
  <si>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</si>
  <si>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</si>
  <si>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</si>
  <si>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</si>
  <si>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</si>
  <si>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</si>
  <si>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</si>
  <si>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</si>
  <si>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</si>
  <si>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</si>
  <si>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</si>
  <si>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</si>
  <si>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</si>
  <si>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</si>
  <si>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</si>
  <si>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</si>
  <si>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</si>
  <si>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</si>
  <si>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</si>
  <si>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</si>
  <si>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</si>
  <si>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</si>
  <si>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</si>
  <si>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</si>
  <si>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</si>
  <si>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</si>
  <si>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</si>
  <si>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</si>
  <si>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</si>
  <si>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</si>
  <si>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</si>
  <si>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</si>
  <si>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</si>
  <si>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</si>
  <si>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</si>
  <si>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</si>
  <si>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</si>
  <si>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</si>
  <si>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</si>
  <si>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</si>
  <si>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</si>
  <si>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</si>
  <si>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</si>
  <si>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</si>
  <si>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</si>
  <si>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</si>
  <si>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</si>
  <si>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</si>
  <si>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</si>
  <si>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</si>
  <si>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</si>
  <si>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</si>
  <si>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</si>
  <si>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</si>
  <si>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</si>
  <si>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</si>
  <si>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</si>
  <si>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</si>
  <si>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</si>
  <si>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</si>
  <si>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GLOBAL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</si>
  <si>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</si>
  <si>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</si>
  <si>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</si>
  <si>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</si>
  <si>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</si>
  <si>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</si>
  <si>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</si>
  <si>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</si>
  <si>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</si>
  <si>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</si>
  <si>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</si>
  <si>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</si>
  <si>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</si>
  <si>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</si>
  <si>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</si>
  <si>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</si>
  <si>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</si>
  <si>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</si>
  <si>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JULI 2026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</si>
  <si>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</si>
  <si>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</si>
  <si>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</si>
  <si>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</si>
  <si>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19 MEI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</si>
</sst>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48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41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topLeftCell="A4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06" t="s">
        <v>0</v>
      </c>
      <c r="C1" s="206"/>
    </row>
    <row r="3" spans="2:3" x14ac:dyDescent="0.25">
      <c r="B3" s="207" t="s">
        <v>1</v>
      </c>
      <c r="C3" s="207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08" t="s">
        <v>14</v>
      </c>
      <c r="C11" s="208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topLeftCell="E4" zoomScale="165" zoomScaleNormal="100" workbookViewId="0">
      <selection activeCell="L19" sqref="L19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6" width="12.7109375" bestFit="1" customWidth="1"/>
    <col min="7" max="7" width="12.85546875" bestFit="1" customWidth="1"/>
    <col min="8" max="8" width="12.7109375" bestFit="1" customWidth="1"/>
    <col min="9" max="9" width="11.140625" bestFit="1" customWidth="1"/>
    <col min="10" max="11" width="11.28515625" bestFit="1" customWidth="1"/>
    <col min="12" max="13" width="11.140625" bestFit="1" customWidth="1"/>
    <col min="14" max="14" width="9.85546875" bestFit="1" customWidth="1"/>
    <col min="15" max="15" width="8.42578125" bestFit="1" customWidth="1"/>
    <col min="16" max="16" width="9.7109375" bestFit="1" customWidth="1"/>
    <col min="17" max="17" width="8.2851562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7" t="s">
        <v>28</v>
      </c>
      <c r="C3" s="207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176</v>
      </c>
      <c r="C7" s="146" t="s">
        <v>177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176</v>
      </c>
      <c r="C13" s="146" t="s">
        <v>178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0</v>
      </c>
      <c r="O16" s="7">
        <v>0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0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09" t="s">
        <v>102</v>
      </c>
      <c r="C29" s="209"/>
      <c r="D29" s="209"/>
      <c r="E29" s="209"/>
      <c r="F29" s="209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171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11" t="s">
        <v>146</v>
      </c>
      <c r="C44" s="212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3" t="s">
        <v>41</v>
      </c>
      <c r="C47" s="213" t="s">
        <v>42</v>
      </c>
      <c r="D47" s="214" t="s">
        <v>138</v>
      </c>
      <c r="E47" s="215"/>
      <c r="F47" s="216"/>
      <c r="G47" s="101" t="s">
        <v>139</v>
      </c>
      <c r="H47" s="101"/>
      <c r="I47" s="101"/>
      <c r="J47" s="213" t="s">
        <v>140</v>
      </c>
      <c r="K47" s="102" t="s">
        <v>148</v>
      </c>
      <c r="L47" s="102"/>
      <c r="M47" s="102"/>
      <c r="N47" s="210" t="s">
        <v>149</v>
      </c>
    </row>
    <row r="48" spans="2:14" ht="15.75" x14ac:dyDescent="0.25">
      <c r="B48" s="213"/>
      <c r="C48" s="213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3"/>
      <c r="K48" s="104" t="s">
        <v>143</v>
      </c>
      <c r="L48" s="104" t="s">
        <v>111</v>
      </c>
      <c r="M48" s="104" t="s">
        <v>146</v>
      </c>
      <c r="N48" s="210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171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11" t="s">
        <v>146</v>
      </c>
      <c r="C44" s="212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3" t="s">
        <v>41</v>
      </c>
      <c r="C47" s="213" t="s">
        <v>42</v>
      </c>
      <c r="D47" s="214" t="s">
        <v>138</v>
      </c>
      <c r="E47" s="215"/>
      <c r="F47" s="216"/>
      <c r="G47" s="101" t="s">
        <v>139</v>
      </c>
      <c r="H47" s="101"/>
      <c r="I47" s="101"/>
      <c r="J47" s="213" t="s">
        <v>140</v>
      </c>
      <c r="K47" s="102" t="s">
        <v>148</v>
      </c>
      <c r="L47" s="102"/>
      <c r="M47" s="102"/>
      <c r="N47" s="210" t="s">
        <v>149</v>
      </c>
    </row>
    <row r="48" spans="2:14" ht="15.75" x14ac:dyDescent="0.25">
      <c r="B48" s="213"/>
      <c r="C48" s="213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3"/>
      <c r="K48" s="104" t="s">
        <v>143</v>
      </c>
      <c r="L48" s="104" t="s">
        <v>111</v>
      </c>
      <c r="M48" s="104" t="s">
        <v>146</v>
      </c>
      <c r="N48" s="210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170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169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169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21" t="s">
        <v>146</v>
      </c>
      <c r="C44" s="222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23" t="s">
        <v>41</v>
      </c>
      <c r="C47" s="223" t="s">
        <v>42</v>
      </c>
      <c r="D47" s="218" t="s">
        <v>138</v>
      </c>
      <c r="E47" s="219"/>
      <c r="F47" s="220"/>
      <c r="G47" s="70" t="s">
        <v>139</v>
      </c>
      <c r="H47" s="70"/>
      <c r="I47" s="70"/>
      <c r="J47" s="223" t="s">
        <v>140</v>
      </c>
      <c r="K47" s="35" t="s">
        <v>148</v>
      </c>
      <c r="L47" s="35"/>
      <c r="M47" s="35"/>
      <c r="N47" s="217" t="s">
        <v>149</v>
      </c>
    </row>
    <row r="48" spans="2:17" ht="15.75" x14ac:dyDescent="0.25">
      <c r="B48" s="223"/>
      <c r="C48" s="223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23"/>
      <c r="K48" s="34" t="s">
        <v>143</v>
      </c>
      <c r="L48" s="34" t="s">
        <v>111</v>
      </c>
      <c r="M48" s="34" t="s">
        <v>146</v>
      </c>
      <c r="N48" s="217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94"/>
  <sheetViews>
    <sheetView showGridLines="0" topLeftCell="A65" zoomScaleNormal="100" workbookViewId="0">
      <selection activeCell="D70" sqref="D70:D83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50"/>
      <c r="D15" s="150" t="s">
        <v>169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169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169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169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173</v>
      </c>
      <c r="C22" s="15">
        <v>38884328.600000001</v>
      </c>
      <c r="D22" s="15" t="s">
        <v>169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174</v>
      </c>
      <c r="C23" s="15">
        <v>120550492.72</v>
      </c>
      <c r="D23" s="15" t="s">
        <v>169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169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4" x14ac:dyDescent="0.25">
      <c r="B33" s="84" t="s">
        <v>133</v>
      </c>
      <c r="C33" s="15">
        <v>449933743.924721</v>
      </c>
    </row>
    <row r="34" spans="2:14" x14ac:dyDescent="0.25">
      <c r="B34" s="84" t="s">
        <v>134</v>
      </c>
      <c r="C34" s="15">
        <v>318278585.086043</v>
      </c>
    </row>
    <row r="35" spans="2:14" x14ac:dyDescent="0.25">
      <c r="B35" s="84" t="s">
        <v>135</v>
      </c>
      <c r="C35" s="15">
        <v>267561093.287265</v>
      </c>
    </row>
    <row r="36" spans="2:14" x14ac:dyDescent="0.25">
      <c r="B36" s="84" t="s">
        <v>136</v>
      </c>
      <c r="C36" s="15">
        <v>311290805.19997603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24" t="s">
        <v>183</v>
      </c>
      <c r="C41" s="225"/>
      <c r="D41" s="226"/>
      <c r="E41" s="67" t="s">
        <v>138</v>
      </c>
      <c r="F41" s="73">
        <v>1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0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0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0</v>
      </c>
    </row>
    <row r="46" spans="2:14" ht="20.100000000000001" customHeight="1" x14ac:dyDescent="0.25">
      <c r="B46" s="221" t="s">
        <v>146</v>
      </c>
      <c r="C46" s="222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0</v>
      </c>
    </row>
    <row r="48" spans="2:14" s="158" customFormat="1" ht="20.100000000000001" customHeight="1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35"/>
      <c r="L48" s="236"/>
      <c r="M48" s="236"/>
      <c r="N48" s="237"/>
    </row>
    <row r="49" spans="2:14" s="158" customFormat="1" ht="20.100000000000001" customHeight="1" x14ac:dyDescent="0.25">
      <c r="B49" s="234" t="s">
        <v>41</v>
      </c>
      <c r="C49" s="234" t="s">
        <v>42</v>
      </c>
      <c r="D49" s="231" t="s">
        <v>138</v>
      </c>
      <c r="E49" s="232"/>
      <c r="F49" s="233"/>
      <c r="G49" s="159" t="s">
        <v>139</v>
      </c>
      <c r="H49" s="159"/>
      <c r="I49" s="159"/>
      <c r="J49" s="234" t="s">
        <v>140</v>
      </c>
      <c r="K49" s="160" t="s">
        <v>148</v>
      </c>
      <c r="L49" s="160"/>
      <c r="M49" s="160"/>
      <c r="N49" s="227" t="s">
        <v>149</v>
      </c>
    </row>
    <row r="50" spans="2:14" s="158" customFormat="1" ht="20.100000000000001" customHeight="1" x14ac:dyDescent="0.25">
      <c r="B50" s="234"/>
      <c r="C50" s="234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34"/>
      <c r="K50" s="163" t="s">
        <v>143</v>
      </c>
      <c r="L50" s="163" t="s">
        <v>111</v>
      </c>
      <c r="M50" s="163" t="s">
        <v>146</v>
      </c>
      <c r="N50" s="227"/>
    </row>
    <row r="51" spans="2:14" s="158" customFormat="1" ht="20.100000000000001" customHeight="1" x14ac:dyDescent="0.25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0</v>
      </c>
    </row>
    <row r="52" spans="2:14" s="158" customFormat="1" ht="20.100000000000001" customHeight="1" x14ac:dyDescent="0.25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0</v>
      </c>
    </row>
    <row r="53" spans="2:14" s="158" customFormat="1" ht="20.100000000000001" customHeight="1" x14ac:dyDescent="0.25">
      <c r="B53" s="187" t="s">
        <v>176</v>
      </c>
      <c r="C53" s="188" t="s">
        <v>177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0</v>
      </c>
    </row>
    <row r="54" spans="2:14" s="158" customFormat="1" ht="20.100000000000001" customHeight="1" x14ac:dyDescent="0.25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0</v>
      </c>
    </row>
    <row r="55" spans="2:14" s="158" customFormat="1" ht="20.100000000000001" customHeight="1" x14ac:dyDescent="0.25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0</v>
      </c>
    </row>
    <row r="56" spans="2:14" s="158" customFormat="1" ht="20.100000000000001" customHeight="1" x14ac:dyDescent="0.25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0</v>
      </c>
    </row>
    <row r="57" spans="2:14" s="158" customFormat="1" ht="20.100000000000001" customHeight="1" x14ac:dyDescent="0.25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0</v>
      </c>
    </row>
    <row r="58" spans="2:14" s="158" customFormat="1" ht="20.100000000000001" customHeight="1" x14ac:dyDescent="0.25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0</v>
      </c>
    </row>
    <row r="59" spans="2:14" s="158" customFormat="1" ht="20.100000000000001" customHeight="1" x14ac:dyDescent="0.25">
      <c r="B59" s="187" t="s">
        <v>176</v>
      </c>
      <c r="C59" s="188" t="s">
        <v>178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0</v>
      </c>
    </row>
    <row r="60" spans="2:14" s="158" customFormat="1" ht="20.100000000000001" customHeight="1" x14ac:dyDescent="0.25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0</v>
      </c>
    </row>
    <row r="61" spans="2:14" s="158" customFormat="1" ht="20.100000000000001" customHeight="1" x14ac:dyDescent="0.25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0</v>
      </c>
    </row>
    <row r="62" spans="2:14" s="158" customFormat="1" ht="20.100000000000001" customHeight="1" x14ac:dyDescent="0.25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0</v>
      </c>
    </row>
    <row r="63" spans="2:14" s="158" customFormat="1" ht="20.100000000000001" customHeight="1" x14ac:dyDescent="0.25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0</v>
      </c>
    </row>
    <row r="64" spans="2:14" s="158" customFormat="1" ht="20.100000000000001" customHeight="1" x14ac:dyDescent="0.25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0</v>
      </c>
    </row>
    <row r="65" spans="2:14" s="158" customFormat="1" ht="20.100000000000001" customHeight="1" x14ac:dyDescent="0.25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0</v>
      </c>
    </row>
    <row r="67" spans="2:14" ht="20.100000000000001" customHeight="1" x14ac:dyDescent="0.25">
      <c r="B67" s="135" t="s">
        <v>175</v>
      </c>
      <c r="C67" s="136"/>
      <c r="D67" s="137"/>
      <c r="G67"/>
      <c r="H67"/>
      <c r="I67"/>
    </row>
    <row r="68" spans="2:14" ht="20.100000000000001" customHeight="1" x14ac:dyDescent="0.25">
      <c r="B68" s="223" t="s">
        <v>41</v>
      </c>
      <c r="C68" s="223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23"/>
      <c r="C69" s="223"/>
      <c r="D69" s="71" t="s">
        <v>172</v>
      </c>
      <c r="G69"/>
      <c r="H69"/>
      <c r="I69"/>
    </row>
    <row r="70" spans="2:14" s="158" customFormat="1" ht="20.100000000000001" customHeight="1" x14ac:dyDescent="0.25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.100000000000001" customHeight="1" x14ac:dyDescent="0.25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.100000000000001" customHeight="1" x14ac:dyDescent="0.25">
      <c r="B72" s="185" t="s">
        <v>176</v>
      </c>
      <c r="C72" s="186" t="s">
        <v>177</v>
      </c>
      <c r="D72" s="192">
        <f>IF(E22="",0,E22)</f>
        <v>12315315.119999999</v>
      </c>
    </row>
    <row r="73" spans="2:14" s="158" customFormat="1" ht="20.100000000000001" customHeight="1" x14ac:dyDescent="0.25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.100000000000001" customHeight="1" x14ac:dyDescent="0.25">
      <c r="B74" s="185" t="s">
        <v>73</v>
      </c>
      <c r="C74" s="186" t="s">
        <v>74</v>
      </c>
      <c r="D74" s="192">
        <f>0</f>
        <v>0</v>
      </c>
    </row>
    <row r="75" spans="2:14" s="158" customFormat="1" ht="20.100000000000001" customHeight="1" x14ac:dyDescent="0.25">
      <c r="B75" s="183" t="s">
        <v>75</v>
      </c>
      <c r="C75" s="184" t="s">
        <v>74</v>
      </c>
      <c r="D75" s="191">
        <v>2883783.76</v>
      </c>
    </row>
    <row r="76" spans="2:14" s="158" customFormat="1" ht="20.100000000000001" customHeight="1" x14ac:dyDescent="0.25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.100000000000001" customHeight="1" x14ac:dyDescent="0.25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.100000000000001" customHeight="1" x14ac:dyDescent="0.25">
      <c r="B78" s="185" t="s">
        <v>176</v>
      </c>
      <c r="C78" s="186" t="s">
        <v>178</v>
      </c>
      <c r="D78" s="192">
        <f>IF(E23="",0,E23)</f>
        <v>17151621.32</v>
      </c>
    </row>
    <row r="79" spans="2:14" s="158" customFormat="1" ht="20.100000000000001" customHeight="1" x14ac:dyDescent="0.25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.100000000000001" customHeight="1" x14ac:dyDescent="0.25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.100000000000001" customHeight="1" x14ac:dyDescent="0.25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.100000000000001" customHeight="1" x14ac:dyDescent="0.25">
      <c r="B82" s="183" t="s">
        <v>86</v>
      </c>
      <c r="C82" s="184" t="s">
        <v>87</v>
      </c>
      <c r="D82" s="191">
        <f>0</f>
        <v>0</v>
      </c>
    </row>
    <row r="83" spans="2:9" s="158" customFormat="1" ht="20.100000000000001" customHeight="1" x14ac:dyDescent="0.25">
      <c r="B83" s="185" t="s">
        <v>88</v>
      </c>
      <c r="C83" s="186" t="s">
        <v>89</v>
      </c>
      <c r="D83" s="192">
        <f>0</f>
        <v>0</v>
      </c>
    </row>
    <row r="84" spans="2:9" s="158" customFormat="1" ht="20.100000000000001" customHeight="1" x14ac:dyDescent="0.25">
      <c r="B84" s="189" t="s">
        <v>152</v>
      </c>
      <c r="C84" s="190"/>
      <c r="D84" s="193">
        <f>SUM(D70:D83)</f>
        <v>726140776.47983217</v>
      </c>
    </row>
    <row r="87" spans="2:9" s="158" customFormat="1" ht="20.100000000000001" customHeight="1" x14ac:dyDescent="0.25">
      <c r="B87" s="228" t="s">
        <v>145</v>
      </c>
      <c r="C87" s="229"/>
      <c r="D87" s="229"/>
      <c r="E87" s="229"/>
      <c r="F87" s="230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0</v>
      </c>
      <c r="I89" s="168"/>
    </row>
    <row r="90" spans="2:9" s="158" customFormat="1" ht="20.100000000000001" customHeight="1" x14ac:dyDescent="0.25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0</v>
      </c>
      <c r="I90" s="168"/>
    </row>
    <row r="91" spans="2:9" s="158" customFormat="1" ht="20.100000000000001" customHeight="1" x14ac:dyDescent="0.25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0</v>
      </c>
      <c r="I91" s="168"/>
    </row>
    <row r="92" spans="2:9" s="158" customFormat="1" ht="20.100000000000001" hidden="1" customHeight="1" x14ac:dyDescent="0.25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0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abSelected="1" topLeftCell="A76" zoomScaleNormal="100" workbookViewId="0">
      <selection activeCell="B87" sqref="B87:F94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7" width="16" customWidth="1"/>
    <col min="8" max="8" width="14.42578125" customWidth="1"/>
    <col min="9" max="9" width="15.42578125" customWidth="1"/>
    <col min="10" max="10" width="10" customWidth="1"/>
    <col min="11" max="12" width="12.710937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11</v>
      </c>
      <c r="D3" s="79" t="s">
        <v>104</v>
      </c>
      <c r="E3" s="80">
        <f ca="1">DAY(EOMONTH(TODAY(),0))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164522529.84539101</v>
      </c>
      <c r="N8" s="11">
        <f>D24</f>
        <v>27797935.018475998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310308359.103576</v>
      </c>
      <c r="N9" s="11">
        <f>D12+D13</f>
        <v>50679002.341656998</v>
      </c>
    </row>
    <row r="10" spans="2:14" x14ac:dyDescent="0.25">
      <c r="B10" s="74" t="s">
        <v>113</v>
      </c>
      <c r="C10" s="205">
        <v>167891886.64259699</v>
      </c>
      <c r="D10" s="205">
        <v>18220691.719342001</v>
      </c>
      <c r="E10" s="205">
        <v>106865997.11999901</v>
      </c>
      <c r="F10" s="205">
        <v>292978575.481938</v>
      </c>
      <c r="H10" s="116"/>
      <c r="I10" s="116"/>
      <c r="J10" s="116"/>
      <c r="M10" s="11">
        <f>C14</f>
        <v>378518447.39824998</v>
      </c>
      <c r="N10" s="11">
        <f>D14</f>
        <v>17578358.803927001</v>
      </c>
    </row>
    <row r="11" spans="2:14" x14ac:dyDescent="0.25">
      <c r="B11" s="74" t="s">
        <v>114</v>
      </c>
      <c r="C11" s="205">
        <v>217517790.41167599</v>
      </c>
      <c r="D11" s="205">
        <v>59306658.328172997</v>
      </c>
      <c r="E11" s="205">
        <v>26756757</v>
      </c>
      <c r="F11" s="205">
        <v>303581205.73984897</v>
      </c>
      <c r="H11" s="116"/>
      <c r="I11" s="116"/>
      <c r="J11" s="116"/>
      <c r="M11" s="11">
        <f>C17</f>
        <v>196332681.28</v>
      </c>
      <c r="N11" s="11">
        <f>D17</f>
        <v>18496237.719999999</v>
      </c>
    </row>
    <row r="12" spans="2:14" x14ac:dyDescent="0.25">
      <c r="B12" s="74" t="s">
        <v>70</v>
      </c>
      <c r="C12" s="205">
        <v>163226531.427937</v>
      </c>
      <c r="D12" s="205">
        <v>34433128.751772001</v>
      </c>
      <c r="E12" s="205">
        <v>33191800.960000001</v>
      </c>
      <c r="F12" s="205">
        <v>230851461.139709</v>
      </c>
      <c r="H12" s="116"/>
      <c r="I12" s="116"/>
      <c r="J12" s="116"/>
      <c r="M12" s="11">
        <f>C16</f>
        <v>260603268.55607399</v>
      </c>
      <c r="N12" s="11">
        <f>D16</f>
        <v>50186238.982330002</v>
      </c>
    </row>
    <row r="13" spans="2:14" x14ac:dyDescent="0.25">
      <c r="B13" s="74" t="s">
        <v>115</v>
      </c>
      <c r="C13" s="205">
        <v>147081827.675639</v>
      </c>
      <c r="D13" s="205">
        <v>16245873.589885</v>
      </c>
      <c r="E13" s="205">
        <v>25132432.16</v>
      </c>
      <c r="F13" s="205">
        <v>188460133.425524</v>
      </c>
      <c r="H13" s="116"/>
      <c r="I13" s="116"/>
      <c r="J13" s="116"/>
      <c r="M13" s="11">
        <f>C19</f>
        <v>541621049.35159302</v>
      </c>
      <c r="N13" s="11">
        <f>D19</f>
        <v>45173673.849916004</v>
      </c>
    </row>
    <row r="14" spans="2:14" x14ac:dyDescent="0.25">
      <c r="B14" s="74" t="s">
        <v>116</v>
      </c>
      <c r="C14" s="205">
        <v>378518447.39824998</v>
      </c>
      <c r="D14" s="205">
        <v>17578358.803927001</v>
      </c>
      <c r="E14" s="205">
        <v>119438737.64</v>
      </c>
      <c r="F14" s="205">
        <v>515535543.84217697</v>
      </c>
      <c r="H14" s="116"/>
      <c r="I14" s="116"/>
      <c r="J14" s="116"/>
      <c r="M14" s="11">
        <f>C25</f>
        <v>257242893.13640299</v>
      </c>
      <c r="N14" s="11">
        <f>D25</f>
        <v>39570034.279858999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217517790.41167599</v>
      </c>
      <c r="N15" s="11">
        <f>D11</f>
        <v>59306658.328172997</v>
      </c>
    </row>
    <row r="16" spans="2:14" x14ac:dyDescent="0.25">
      <c r="B16" s="74" t="s">
        <v>74</v>
      </c>
      <c r="C16" s="205">
        <v>260603268.55607399</v>
      </c>
      <c r="D16" s="205">
        <v>50186238.982330002</v>
      </c>
      <c r="E16" s="205">
        <v>10797297.199999999</v>
      </c>
      <c r="F16" s="205">
        <v>321586804.73840398</v>
      </c>
      <c r="H16" s="116"/>
      <c r="I16" s="116"/>
      <c r="J16" s="116"/>
      <c r="M16" s="11">
        <f>C26</f>
        <v>265420081.68098801</v>
      </c>
      <c r="N16" s="11">
        <f>D26</f>
        <v>34985887.389971003</v>
      </c>
    </row>
    <row r="17" spans="2:14" x14ac:dyDescent="0.25">
      <c r="B17" s="74" t="s">
        <v>118</v>
      </c>
      <c r="C17" s="205">
        <v>196332681.28</v>
      </c>
      <c r="D17" s="205">
        <v>18496237.719999999</v>
      </c>
      <c r="E17" s="205" t="s">
        <v>169</v>
      </c>
      <c r="F17" s="205">
        <v>214828919</v>
      </c>
      <c r="H17" s="116"/>
      <c r="I17" s="116"/>
      <c r="J17" s="116"/>
      <c r="M17" s="11">
        <f>C10</f>
        <v>167891886.64259699</v>
      </c>
      <c r="N17" s="11">
        <f>D10</f>
        <v>18220691.719342001</v>
      </c>
    </row>
    <row r="18" spans="2:14" x14ac:dyDescent="0.25">
      <c r="B18" s="74" t="s">
        <v>119</v>
      </c>
      <c r="C18" s="205">
        <v>591550323.03389704</v>
      </c>
      <c r="D18" s="205">
        <v>7419438.6219769996</v>
      </c>
      <c r="E18" s="205">
        <v>8112162.0800000001</v>
      </c>
      <c r="F18" s="205">
        <v>607081923.73587406</v>
      </c>
      <c r="H18" s="116"/>
      <c r="I18" s="116"/>
      <c r="J18" s="116"/>
      <c r="M18" s="11">
        <f>C27</f>
        <v>464426328.464688</v>
      </c>
      <c r="N18" s="11">
        <f>D27</f>
        <v>138053124.35753101</v>
      </c>
    </row>
    <row r="19" spans="2:14" x14ac:dyDescent="0.25">
      <c r="B19" s="74" t="s">
        <v>121</v>
      </c>
      <c r="C19" s="205">
        <v>541621049.35159302</v>
      </c>
      <c r="D19" s="205">
        <v>45173673.849916004</v>
      </c>
      <c r="E19" s="205">
        <v>495204525.35992301</v>
      </c>
      <c r="F19" s="205">
        <v>1081999248.5614319</v>
      </c>
      <c r="H19" s="116"/>
      <c r="I19" s="116"/>
      <c r="J19" s="116"/>
      <c r="M19" s="11">
        <f>C20+C21</f>
        <v>169736891.572678</v>
      </c>
      <c r="N19" s="11">
        <f>D20+D21</f>
        <v>87020409.452937007</v>
      </c>
    </row>
    <row r="20" spans="2:14" x14ac:dyDescent="0.25">
      <c r="B20" s="74" t="s">
        <v>123</v>
      </c>
      <c r="C20" s="205">
        <v>132866667.572678</v>
      </c>
      <c r="D20" s="205">
        <v>20733574.809856001</v>
      </c>
      <c r="E20" s="205">
        <v>1027027.04</v>
      </c>
      <c r="F20" s="205">
        <v>154627269.42253399</v>
      </c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205">
        <v>36870224</v>
      </c>
      <c r="D21" s="205">
        <v>66286834.643081002</v>
      </c>
      <c r="E21" s="205">
        <v>34962162.840000004</v>
      </c>
      <c r="F21" s="205">
        <v>138119221.48308101</v>
      </c>
      <c r="H21" s="116"/>
      <c r="I21" s="116"/>
      <c r="J21" s="116"/>
      <c r="M21" s="14">
        <f>IFERROR(C34,0)+IFERROR(C35,0)+M20</f>
        <v>462642272.44591904</v>
      </c>
      <c r="N21" s="10" t="s">
        <v>122</v>
      </c>
    </row>
    <row r="22" spans="2:14" x14ac:dyDescent="0.25">
      <c r="B22" s="74" t="s">
        <v>173</v>
      </c>
      <c r="C22" s="205">
        <v>84693979.200000003</v>
      </c>
      <c r="D22" s="205" t="s">
        <v>169</v>
      </c>
      <c r="E22" s="205">
        <v>6054053.8799999999</v>
      </c>
      <c r="F22" s="205">
        <v>90748033.079999998</v>
      </c>
      <c r="H22" s="116"/>
      <c r="I22" s="116"/>
      <c r="J22" s="116"/>
    </row>
    <row r="23" spans="2:14" x14ac:dyDescent="0.25">
      <c r="B23" s="74" t="s">
        <v>174</v>
      </c>
      <c r="C23" s="205">
        <v>156605928.149975</v>
      </c>
      <c r="D23" s="205" t="s">
        <v>169</v>
      </c>
      <c r="E23" s="205">
        <v>7297297.0999999996</v>
      </c>
      <c r="F23" s="205">
        <v>163903225.249975</v>
      </c>
      <c r="H23" s="116"/>
      <c r="I23" s="116"/>
      <c r="J23" s="116"/>
    </row>
    <row r="24" spans="2:14" x14ac:dyDescent="0.25">
      <c r="B24" s="74" t="s">
        <v>125</v>
      </c>
      <c r="C24" s="205">
        <v>164522529.84539101</v>
      </c>
      <c r="D24" s="205">
        <v>27797935.018475998</v>
      </c>
      <c r="E24" s="205">
        <v>76512070.980000004</v>
      </c>
      <c r="F24" s="205">
        <v>268832535.843867</v>
      </c>
      <c r="H24" s="116"/>
      <c r="I24" s="116"/>
      <c r="J24" s="116"/>
    </row>
    <row r="25" spans="2:14" x14ac:dyDescent="0.25">
      <c r="B25" s="74" t="s">
        <v>126</v>
      </c>
      <c r="C25" s="205">
        <v>257242893.13640299</v>
      </c>
      <c r="D25" s="205">
        <v>39570034.279858999</v>
      </c>
      <c r="E25" s="205">
        <v>101030629.5</v>
      </c>
      <c r="F25" s="205">
        <v>397843556.91626197</v>
      </c>
      <c r="H25" s="116"/>
      <c r="I25" s="116"/>
      <c r="J25" s="116"/>
    </row>
    <row r="26" spans="2:14" x14ac:dyDescent="0.25">
      <c r="B26" s="74" t="s">
        <v>127</v>
      </c>
      <c r="C26" s="205">
        <v>265420081.68098801</v>
      </c>
      <c r="D26" s="205">
        <v>34985887.389971003</v>
      </c>
      <c r="E26" s="205">
        <v>253741979.629951</v>
      </c>
      <c r="F26" s="205">
        <v>554147948.70090997</v>
      </c>
      <c r="H26" s="116"/>
      <c r="I26" s="116"/>
      <c r="J26" s="116"/>
    </row>
    <row r="27" spans="2:14" x14ac:dyDescent="0.25">
      <c r="B27" s="74" t="s">
        <v>128</v>
      </c>
      <c r="C27" s="205">
        <v>464426328.464688</v>
      </c>
      <c r="D27" s="205">
        <v>138053124.35753101</v>
      </c>
      <c r="E27" s="205">
        <v>12199459.539999999</v>
      </c>
      <c r="F27" s="205">
        <v>614678912.36221898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5">
        <v>175619708.38512</v>
      </c>
      <c r="G32" s="116"/>
      <c r="H32" s="116"/>
      <c r="I32" s="116"/>
    </row>
    <row r="33" spans="2:14" x14ac:dyDescent="0.25">
      <c r="B33" s="84" t="s">
        <v>133</v>
      </c>
      <c r="C33" s="205">
        <v>221038560.34797901</v>
      </c>
      <c r="G33" s="116"/>
      <c r="H33" s="116"/>
      <c r="I33" s="116"/>
    </row>
    <row r="34" spans="2:14" x14ac:dyDescent="0.25">
      <c r="B34" s="84" t="s">
        <v>134</v>
      </c>
      <c r="C34" s="205">
        <v>207064992.308716</v>
      </c>
      <c r="G34" s="116"/>
      <c r="H34" s="116"/>
      <c r="I34" s="116"/>
    </row>
    <row r="35" spans="2:14" x14ac:dyDescent="0.25">
      <c r="B35" s="84" t="s">
        <v>135</v>
      </c>
      <c r="C35" s="205">
        <v>255577280.13720301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38" t="s">
        <v>184</v>
      </c>
      <c r="C41" s="239"/>
      <c r="D41" s="240"/>
      <c r="E41" s="67" t="s">
        <v>138</v>
      </c>
      <c r="F41" s="73">
        <f ca="1">IF(MONTH(TODAY())=5,DAY(TODAY())/DAY(EOMONTH(TODAY(),0)),IF(MONTH(TODAY())&gt;5,1,0))</f>
        <v>0.61290322580645162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3635442114.7938886</v>
      </c>
      <c r="F43" s="44">
        <f>IFERROR(E43/D43,0)</f>
        <v>0.53155339010415614</v>
      </c>
      <c r="G43" s="118">
        <f>D43-E43</f>
        <v>3203837217.2061114</v>
      </c>
      <c r="H43" s="118">
        <f ca="1">IFERROR(G43/C3,0)</f>
        <v>291257928.83691925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587068252.24411905</v>
      </c>
      <c r="F44" s="44">
        <f>IFERROR(E44/D44,0)</f>
        <v>0.39794092735476766</v>
      </c>
      <c r="G44" s="118">
        <f>D44-E44</f>
        <v>888196571.97624266</v>
      </c>
      <c r="H44" s="118">
        <f ca="1">IFERROR(G44/C3,0)</f>
        <v>80745142.906931147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859300541.17901802</v>
      </c>
      <c r="F45" s="44">
        <f>IFERROR(E45/D45,0)</f>
        <v>0.48194660424121522</v>
      </c>
      <c r="G45" s="118">
        <f>D45-E45</f>
        <v>923678182.22523785</v>
      </c>
      <c r="H45" s="118">
        <f ca="1">IFERROR(G45/C3,0)</f>
        <v>83970743.83865799</v>
      </c>
      <c r="I45" s="116"/>
    </row>
    <row r="46" spans="2:14" ht="18.75" customHeight="1" x14ac:dyDescent="0.25">
      <c r="B46" s="221" t="s">
        <v>146</v>
      </c>
      <c r="C46" s="222"/>
      <c r="D46" s="47">
        <f>D43+D44+D45</f>
        <v>10097522879.624619</v>
      </c>
      <c r="E46" s="47">
        <f>E43+E44+E45</f>
        <v>5081810908.2170258</v>
      </c>
      <c r="F46" s="43">
        <f>IFERROR(E46/D46,0)</f>
        <v>0.50327302733538792</v>
      </c>
      <c r="G46" s="119">
        <f>G43+G44+G45</f>
        <v>5015711971.4075918</v>
      </c>
      <c r="H46" s="119">
        <f ca="1">IFERROR(G46/C3,0)</f>
        <v>455973815.58250833</v>
      </c>
      <c r="I46" s="116"/>
    </row>
    <row r="47" spans="2:14" x14ac:dyDescent="0.25">
      <c r="G47" s="116"/>
      <c r="H47" s="116"/>
      <c r="I47" s="116"/>
    </row>
    <row r="48" spans="2:14" ht="25.5" customHeight="1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4"/>
      <c r="L48" s="245"/>
      <c r="M48" s="245"/>
      <c r="N48" s="246"/>
    </row>
    <row r="49" spans="2:14" ht="20.100000000000001" customHeight="1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7" t="s">
        <v>149</v>
      </c>
    </row>
    <row r="50" spans="2:14" ht="22.5" customHeight="1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7"/>
    </row>
    <row r="51" spans="2:14" ht="20.100000000000001" customHeight="1" x14ac:dyDescent="0.25">
      <c r="B51" s="201" t="s">
        <v>67</v>
      </c>
      <c r="C51" s="202" t="s">
        <v>68</v>
      </c>
      <c r="D51" s="204">
        <f>TARGETS!L5</f>
        <v>416683478</v>
      </c>
      <c r="E51" s="204">
        <f>TARGETS!M5</f>
        <v>68270401.220654309</v>
      </c>
      <c r="F51" s="204">
        <f t="shared" ref="F51:F64" si="0">D51+E51</f>
        <v>484953879.22065431</v>
      </c>
      <c r="G51" s="122">
        <f>M8</f>
        <v>164522529.84539101</v>
      </c>
      <c r="H51" s="122">
        <f>N8</f>
        <v>27797935.018475998</v>
      </c>
      <c r="I51" s="122">
        <f t="shared" ref="I51:I64" si="1">G51+H51</f>
        <v>192320464.86386701</v>
      </c>
      <c r="J51" s="61">
        <f t="shared" ref="J51:J64" si="2">IFERROR(I51/F51,0)</f>
        <v>0.39657475299081191</v>
      </c>
      <c r="K51" s="51">
        <f t="shared" ref="K51:M64" si="3">D51-G51</f>
        <v>252160948.15460899</v>
      </c>
      <c r="L51" s="51">
        <f t="shared" si="3"/>
        <v>40472466.202178314</v>
      </c>
      <c r="M51" s="51">
        <f t="shared" si="3"/>
        <v>292633414.35678732</v>
      </c>
      <c r="N51" s="51">
        <f ca="1">IFERROR(M51/C3,0)</f>
        <v>26603037.668798849</v>
      </c>
    </row>
    <row r="52" spans="2:14" ht="20.100000000000001" customHeight="1" x14ac:dyDescent="0.25">
      <c r="B52" s="201" t="s">
        <v>69</v>
      </c>
      <c r="C52" s="202" t="s">
        <v>70</v>
      </c>
      <c r="D52" s="204">
        <f>TARGETS!L6</f>
        <v>555182371</v>
      </c>
      <c r="E52" s="204">
        <f>TARGETS!M6</f>
        <v>191546784</v>
      </c>
      <c r="F52" s="204">
        <f t="shared" si="0"/>
        <v>746729155</v>
      </c>
      <c r="G52" s="122">
        <f>M9</f>
        <v>310308359.103576</v>
      </c>
      <c r="H52" s="122">
        <f>N9</f>
        <v>50679002.341656998</v>
      </c>
      <c r="I52" s="122">
        <f t="shared" si="1"/>
        <v>360987361.44523299</v>
      </c>
      <c r="J52" s="61">
        <f t="shared" si="2"/>
        <v>0.48342475853274136</v>
      </c>
      <c r="K52" s="54">
        <f t="shared" si="3"/>
        <v>244874011.896424</v>
      </c>
      <c r="L52" s="54">
        <f t="shared" si="3"/>
        <v>140867781.65834302</v>
      </c>
      <c r="M52" s="54">
        <f t="shared" si="3"/>
        <v>385741793.55476701</v>
      </c>
      <c r="N52" s="54">
        <f ca="1">IFERROR(M52/C3,0)</f>
        <v>35067435.777706094</v>
      </c>
    </row>
    <row r="53" spans="2:14" ht="20.100000000000001" customHeight="1" x14ac:dyDescent="0.25">
      <c r="B53" s="155" t="s">
        <v>176</v>
      </c>
      <c r="C53" s="156" t="s">
        <v>177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84693979.200000003</v>
      </c>
      <c r="H53" s="122">
        <f>IF(D22="",0,D22)</f>
        <v>0</v>
      </c>
      <c r="I53" s="122">
        <f>G53+H53</f>
        <v>84693979.200000003</v>
      </c>
      <c r="J53" s="61">
        <f>IFERROR(I53/F53,0)</f>
        <v>0.35073853061035309</v>
      </c>
      <c r="K53" s="54">
        <f>D53-G53</f>
        <v>156779288.80000001</v>
      </c>
      <c r="L53" s="54">
        <f>E53-H53</f>
        <v>0</v>
      </c>
      <c r="M53" s="54">
        <f>F53-I53</f>
        <v>156779288.80000001</v>
      </c>
      <c r="N53" s="54">
        <f ca="1">IFERROR(M53/C3,0)</f>
        <v>14252662.618181819</v>
      </c>
    </row>
    <row r="54" spans="2:14" ht="20.100000000000001" customHeight="1" x14ac:dyDescent="0.25">
      <c r="B54" s="201" t="s">
        <v>71</v>
      </c>
      <c r="C54" s="202" t="s">
        <v>72</v>
      </c>
      <c r="D54" s="204">
        <f>TARGETS!L8</f>
        <v>610712472</v>
      </c>
      <c r="E54" s="204">
        <f>TARGETS!M8</f>
        <v>46881826.81733489</v>
      </c>
      <c r="F54" s="204">
        <f t="shared" si="0"/>
        <v>657594298.81733489</v>
      </c>
      <c r="G54" s="122">
        <f>M10</f>
        <v>378518447.39824998</v>
      </c>
      <c r="H54" s="122">
        <f t="shared" ref="H54:H58" si="4">N10</f>
        <v>17578358.803927001</v>
      </c>
      <c r="I54" s="122">
        <f t="shared" si="1"/>
        <v>396096806.20217699</v>
      </c>
      <c r="J54" s="61">
        <f t="shared" si="2"/>
        <v>0.60234221451515946</v>
      </c>
      <c r="K54" s="54">
        <f>D54-G54</f>
        <v>232194024.60175002</v>
      </c>
      <c r="L54" s="54">
        <f t="shared" si="3"/>
        <v>29303468.01340789</v>
      </c>
      <c r="M54" s="54">
        <f t="shared" si="3"/>
        <v>261497492.6151579</v>
      </c>
      <c r="N54" s="54">
        <f ca="1">IFERROR(M54/C3,0)</f>
        <v>23772499.328650717</v>
      </c>
    </row>
    <row r="55" spans="2:14" ht="20.100000000000001" customHeight="1" x14ac:dyDescent="0.25">
      <c r="B55" s="201" t="s">
        <v>73</v>
      </c>
      <c r="C55" s="202" t="s">
        <v>74</v>
      </c>
      <c r="D55" s="204">
        <f>TARGETS!L9</f>
        <v>405063284</v>
      </c>
      <c r="E55" s="204">
        <f>TARGETS!M9</f>
        <v>82869315.191524148</v>
      </c>
      <c r="F55" s="204">
        <f t="shared" si="0"/>
        <v>487932599.19152415</v>
      </c>
      <c r="G55" s="122">
        <f>M11</f>
        <v>196332681.28</v>
      </c>
      <c r="H55" s="122">
        <f t="shared" si="4"/>
        <v>18496237.719999999</v>
      </c>
      <c r="I55" s="122">
        <f t="shared" si="1"/>
        <v>214828919</v>
      </c>
      <c r="J55" s="61">
        <f t="shared" si="2"/>
        <v>0.44028400511865573</v>
      </c>
      <c r="K55" s="54">
        <f t="shared" si="3"/>
        <v>208730602.72</v>
      </c>
      <c r="L55" s="54">
        <f t="shared" si="3"/>
        <v>64373077.471524149</v>
      </c>
      <c r="M55" s="54">
        <f t="shared" si="3"/>
        <v>273103680.19152415</v>
      </c>
      <c r="N55" s="54">
        <f ca="1">IFERROR(M55/C3,0)</f>
        <v>24827607.290138558</v>
      </c>
    </row>
    <row r="56" spans="2:14" ht="20.100000000000001" customHeight="1" x14ac:dyDescent="0.25">
      <c r="B56" s="201" t="s">
        <v>75</v>
      </c>
      <c r="C56" s="202" t="s">
        <v>74</v>
      </c>
      <c r="D56" s="204">
        <f>TARGETS!L10</f>
        <v>473918832</v>
      </c>
      <c r="E56" s="204">
        <f>TARGETS!M10</f>
        <v>81239394.122653604</v>
      </c>
      <c r="F56" s="204">
        <f t="shared" si="0"/>
        <v>555158226.1226536</v>
      </c>
      <c r="G56" s="122">
        <f>M12</f>
        <v>260603268.55607399</v>
      </c>
      <c r="H56" s="122">
        <f t="shared" si="4"/>
        <v>50186238.982330002</v>
      </c>
      <c r="I56" s="122">
        <f t="shared" si="1"/>
        <v>310789507.53840399</v>
      </c>
      <c r="J56" s="61">
        <f t="shared" si="2"/>
        <v>0.55982149397123382</v>
      </c>
      <c r="K56" s="54">
        <f t="shared" si="3"/>
        <v>213315563.44392601</v>
      </c>
      <c r="L56" s="54">
        <f t="shared" si="3"/>
        <v>31053155.140323602</v>
      </c>
      <c r="M56" s="54">
        <f t="shared" si="3"/>
        <v>244368718.58424962</v>
      </c>
      <c r="N56" s="54">
        <f ca="1">IFERROR(M56/C3,0)</f>
        <v>22215338.053113602</v>
      </c>
    </row>
    <row r="57" spans="2:14" ht="20.100000000000001" customHeight="1" x14ac:dyDescent="0.25">
      <c r="B57" s="201" t="s">
        <v>76</v>
      </c>
      <c r="C57" s="202" t="s">
        <v>77</v>
      </c>
      <c r="D57" s="204">
        <f>TARGETS!L11</f>
        <v>961758345</v>
      </c>
      <c r="E57" s="204">
        <f>TARGETS!M11</f>
        <v>91928576.339156389</v>
      </c>
      <c r="F57" s="204">
        <f t="shared" si="0"/>
        <v>1053686921.3391564</v>
      </c>
      <c r="G57" s="122">
        <f>M13</f>
        <v>541621049.35159302</v>
      </c>
      <c r="H57" s="122">
        <f t="shared" si="4"/>
        <v>45173673.849916004</v>
      </c>
      <c r="I57" s="122">
        <f t="shared" si="1"/>
        <v>586794723.201509</v>
      </c>
      <c r="J57" s="61">
        <f t="shared" si="2"/>
        <v>0.55689665622473261</v>
      </c>
      <c r="K57" s="54">
        <f t="shared" si="3"/>
        <v>420137295.64840698</v>
      </c>
      <c r="L57" s="54">
        <f t="shared" si="3"/>
        <v>46754902.489240386</v>
      </c>
      <c r="M57" s="54">
        <f t="shared" si="3"/>
        <v>466892198.13764739</v>
      </c>
      <c r="N57" s="54">
        <f ca="1">IFERROR(M57/C3,0)</f>
        <v>42444745.285240673</v>
      </c>
    </row>
    <row r="58" spans="2:14" ht="20.100000000000001" customHeight="1" x14ac:dyDescent="0.25">
      <c r="B58" s="201" t="s">
        <v>78</v>
      </c>
      <c r="C58" s="202" t="s">
        <v>79</v>
      </c>
      <c r="D58" s="204">
        <f>TARGETS!L12</f>
        <v>505287059</v>
      </c>
      <c r="E58" s="204">
        <f>TARGETS!M12</f>
        <v>63781404</v>
      </c>
      <c r="F58" s="204">
        <f t="shared" si="0"/>
        <v>569068463</v>
      </c>
      <c r="G58" s="122">
        <f>M14</f>
        <v>257242893.13640299</v>
      </c>
      <c r="H58" s="122">
        <f t="shared" si="4"/>
        <v>39570034.279858999</v>
      </c>
      <c r="I58" s="122">
        <f>G58+H58</f>
        <v>296812927.41626197</v>
      </c>
      <c r="J58" s="61">
        <f>IFERROR(I58/F58,0)</f>
        <v>0.52157683427321111</v>
      </c>
      <c r="K58" s="54">
        <f t="shared" si="3"/>
        <v>248044165.86359701</v>
      </c>
      <c r="L58" s="54">
        <f t="shared" si="3"/>
        <v>24211369.720141001</v>
      </c>
      <c r="M58" s="54">
        <f t="shared" si="3"/>
        <v>272255535.58373803</v>
      </c>
      <c r="N58" s="54">
        <f ca="1">IFERROR(M58/C3,0)</f>
        <v>24750503.234885275</v>
      </c>
    </row>
    <row r="59" spans="2:14" ht="20.100000000000001" customHeight="1" x14ac:dyDescent="0.25">
      <c r="B59" s="155" t="s">
        <v>176</v>
      </c>
      <c r="C59" s="156" t="s">
        <v>178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156605928.149975</v>
      </c>
      <c r="H59" s="122">
        <f>IF(D23="",0,D23)</f>
        <v>0</v>
      </c>
      <c r="I59" s="122">
        <f>G59+H59</f>
        <v>156605928.149975</v>
      </c>
      <c r="J59" s="61">
        <f>IFERROR(I59/F59,0)</f>
        <v>0.38751022768045129</v>
      </c>
      <c r="K59" s="54">
        <f>D59-G59</f>
        <v>247527735.850025</v>
      </c>
      <c r="L59" s="54">
        <f>E59-H59</f>
        <v>0</v>
      </c>
      <c r="M59" s="54">
        <f>F59-I59</f>
        <v>247527735.850025</v>
      </c>
      <c r="N59" s="54">
        <f ca="1">IFERROR(M59/C3,0)</f>
        <v>22502521.440911364</v>
      </c>
    </row>
    <row r="60" spans="2:14" ht="20.100000000000001" customHeight="1" x14ac:dyDescent="0.25">
      <c r="B60" s="201" t="s">
        <v>80</v>
      </c>
      <c r="C60" s="202" t="s">
        <v>81</v>
      </c>
      <c r="D60" s="204">
        <f>TARGETS!L14</f>
        <v>404017309</v>
      </c>
      <c r="E60" s="204">
        <f>TARGETS!M14</f>
        <v>138464390.21799541</v>
      </c>
      <c r="F60" s="204">
        <f t="shared" si="0"/>
        <v>542481699.21799541</v>
      </c>
      <c r="G60" s="122">
        <f>M15</f>
        <v>217517790.41167599</v>
      </c>
      <c r="H60" s="122">
        <f t="shared" ref="H60:H64" si="5">N15</f>
        <v>59306658.328172997</v>
      </c>
      <c r="I60" s="122">
        <f t="shared" si="1"/>
        <v>276824448.73984897</v>
      </c>
      <c r="J60" s="61">
        <f t="shared" si="2"/>
        <v>0.51029269584374959</v>
      </c>
      <c r="K60" s="54">
        <f t="shared" si="3"/>
        <v>186499518.58832401</v>
      </c>
      <c r="L60" s="54">
        <f t="shared" si="3"/>
        <v>79157731.889822409</v>
      </c>
      <c r="M60" s="54">
        <f t="shared" si="3"/>
        <v>265657250.47814643</v>
      </c>
      <c r="N60" s="54">
        <f ca="1">IFERROR(M60/C3,0)</f>
        <v>24150659.134376947</v>
      </c>
    </row>
    <row r="61" spans="2:14" ht="20.100000000000001" customHeight="1" x14ac:dyDescent="0.25">
      <c r="B61" s="201" t="s">
        <v>82</v>
      </c>
      <c r="C61" s="202" t="s">
        <v>83</v>
      </c>
      <c r="D61" s="204">
        <f>TARGETS!L15</f>
        <v>631629596</v>
      </c>
      <c r="E61" s="204">
        <f>TARGETS!M15</f>
        <v>58741600.610625267</v>
      </c>
      <c r="F61" s="204">
        <f t="shared" si="0"/>
        <v>690371196.61062527</v>
      </c>
      <c r="G61" s="122">
        <f>M16</f>
        <v>265420081.68098801</v>
      </c>
      <c r="H61" s="122">
        <f t="shared" si="5"/>
        <v>34985887.389971003</v>
      </c>
      <c r="I61" s="122">
        <f t="shared" si="1"/>
        <v>300405969.07095903</v>
      </c>
      <c r="J61" s="61">
        <f t="shared" si="2"/>
        <v>0.43513688077631424</v>
      </c>
      <c r="K61" s="54">
        <f t="shared" si="3"/>
        <v>366209514.31901199</v>
      </c>
      <c r="L61" s="54">
        <f t="shared" si="3"/>
        <v>23755713.220654264</v>
      </c>
      <c r="M61" s="54">
        <f t="shared" si="3"/>
        <v>389965227.53966624</v>
      </c>
      <c r="N61" s="54">
        <f ca="1">IFERROR(M61/C3,0)</f>
        <v>35451384.321787842</v>
      </c>
    </row>
    <row r="62" spans="2:14" ht="20.100000000000001" customHeight="1" x14ac:dyDescent="0.25">
      <c r="B62" s="201" t="s">
        <v>84</v>
      </c>
      <c r="C62" s="202" t="s">
        <v>85</v>
      </c>
      <c r="D62" s="204">
        <f>TARGETS!L16</f>
        <v>386543023</v>
      </c>
      <c r="E62" s="204">
        <f>TARGETS!M16</f>
        <v>63764154.799813807</v>
      </c>
      <c r="F62" s="204">
        <f t="shared" si="0"/>
        <v>450307177.79981381</v>
      </c>
      <c r="G62" s="122">
        <f>M17</f>
        <v>167891886.64259699</v>
      </c>
      <c r="H62" s="122">
        <f t="shared" si="5"/>
        <v>18220691.719342001</v>
      </c>
      <c r="I62" s="122">
        <f t="shared" si="1"/>
        <v>186112578.36193898</v>
      </c>
      <c r="J62" s="61">
        <f t="shared" si="2"/>
        <v>0.41330138078473228</v>
      </c>
      <c r="K62" s="54">
        <f t="shared" si="3"/>
        <v>218651136.35740301</v>
      </c>
      <c r="L62" s="54">
        <f t="shared" si="3"/>
        <v>45543463.080471806</v>
      </c>
      <c r="M62" s="54">
        <f t="shared" si="3"/>
        <v>264194599.43787482</v>
      </c>
      <c r="N62" s="54">
        <f ca="1">IFERROR(M62/C3,0)</f>
        <v>24017690.857988622</v>
      </c>
    </row>
    <row r="63" spans="2:14" ht="20.100000000000001" customHeight="1" x14ac:dyDescent="0.25">
      <c r="B63" s="201" t="s">
        <v>86</v>
      </c>
      <c r="C63" s="202" t="s">
        <v>87</v>
      </c>
      <c r="D63" s="204">
        <f>TARGETS!L17</f>
        <v>583350942</v>
      </c>
      <c r="E63" s="204">
        <f>TARGETS!M17</f>
        <v>329806944.99271739</v>
      </c>
      <c r="F63" s="204">
        <f t="shared" si="0"/>
        <v>913157886.99271739</v>
      </c>
      <c r="G63" s="122">
        <f>M18</f>
        <v>464426328.464688</v>
      </c>
      <c r="H63" s="122">
        <f t="shared" si="5"/>
        <v>138053124.35753101</v>
      </c>
      <c r="I63" s="122">
        <f t="shared" si="1"/>
        <v>602479452.82221901</v>
      </c>
      <c r="J63" s="61">
        <f t="shared" si="2"/>
        <v>0.65977577525651254</v>
      </c>
      <c r="K63" s="54">
        <f t="shared" si="3"/>
        <v>118924613.535312</v>
      </c>
      <c r="L63" s="54">
        <f t="shared" si="3"/>
        <v>191753820.63518637</v>
      </c>
      <c r="M63" s="54">
        <f t="shared" si="3"/>
        <v>310678434.17049837</v>
      </c>
      <c r="N63" s="54">
        <f ca="1">IFERROR(M63/C3,0)</f>
        <v>28243494.015499853</v>
      </c>
    </row>
    <row r="64" spans="2:14" ht="20.100000000000001" customHeight="1" x14ac:dyDescent="0.25">
      <c r="B64" s="201" t="s">
        <v>88</v>
      </c>
      <c r="C64" s="202" t="s">
        <v>89</v>
      </c>
      <c r="D64" s="204">
        <f>TARGETS!L18</f>
        <v>259525689</v>
      </c>
      <c r="E64" s="204">
        <f>TARGETS!M18</f>
        <v>257970031.90788639</v>
      </c>
      <c r="F64" s="204">
        <f t="shared" si="0"/>
        <v>517495720.90788639</v>
      </c>
      <c r="G64" s="122">
        <f>M19</f>
        <v>169736891.572678</v>
      </c>
      <c r="H64" s="122">
        <f t="shared" si="5"/>
        <v>87020409.452937007</v>
      </c>
      <c r="I64" s="122">
        <f t="shared" si="1"/>
        <v>256757301.02561501</v>
      </c>
      <c r="J64" s="61">
        <f t="shared" si="2"/>
        <v>0.49615347654501185</v>
      </c>
      <c r="K64" s="54">
        <f t="shared" si="3"/>
        <v>89788797.427322</v>
      </c>
      <c r="L64" s="54">
        <f t="shared" si="3"/>
        <v>170949622.45494938</v>
      </c>
      <c r="M64" s="54">
        <f t="shared" si="3"/>
        <v>260738419.88227138</v>
      </c>
      <c r="N64" s="54">
        <f ca="1">IFERROR(M64/C3,0)</f>
        <v>23703492.716570124</v>
      </c>
    </row>
    <row r="65" spans="2:14" ht="20.100000000000001" customHeight="1" x14ac:dyDescent="0.25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3635442114.7938886</v>
      </c>
      <c r="H65" s="152">
        <f>SUM(H51:H64)</f>
        <v>587068252.24411905</v>
      </c>
      <c r="I65" s="152">
        <f>SUM(I51:I64)</f>
        <v>4222510367.0380082</v>
      </c>
      <c r="J65" s="153">
        <f>IFERROR(I65/F65,0)</f>
        <v>0.50784628570154622</v>
      </c>
      <c r="K65" s="154">
        <f>SUM(K51:K64)</f>
        <v>3203837217.206111</v>
      </c>
      <c r="L65" s="154">
        <f>SUM(L51:L64)</f>
        <v>888196571.97624254</v>
      </c>
      <c r="M65" s="154">
        <f>SUM(M51:M64)</f>
        <v>4092033789.1823535</v>
      </c>
      <c r="N65" s="154">
        <f ca="1">IFERROR(M65/C3,0)</f>
        <v>372003071.74385029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8.75" customHeight="1" x14ac:dyDescent="0.25">
      <c r="B68" s="223" t="s">
        <v>41</v>
      </c>
      <c r="C68" s="223" t="s">
        <v>42</v>
      </c>
      <c r="D68" s="134" t="s">
        <v>139</v>
      </c>
    </row>
    <row r="69" spans="2:14" ht="18" customHeight="1" x14ac:dyDescent="0.25">
      <c r="B69" s="223"/>
      <c r="C69" s="223"/>
      <c r="D69" s="71" t="s">
        <v>172</v>
      </c>
    </row>
    <row r="70" spans="2:14" ht="20.100000000000001" customHeight="1" x14ac:dyDescent="0.25">
      <c r="B70" s="201" t="s">
        <v>67</v>
      </c>
      <c r="C70" s="202" t="s">
        <v>68</v>
      </c>
      <c r="D70" s="191">
        <f>IF(E24="",0,E24)</f>
        <v>76512070.980000004</v>
      </c>
    </row>
    <row r="71" spans="2:14" ht="20.100000000000001" customHeight="1" x14ac:dyDescent="0.25">
      <c r="B71" s="201" t="s">
        <v>69</v>
      </c>
      <c r="C71" s="202" t="s">
        <v>70</v>
      </c>
      <c r="D71" s="192">
        <f>IF(E12="",0,E12)+IF(E13="",0,E13)</f>
        <v>58324233.120000005</v>
      </c>
    </row>
    <row r="72" spans="2:14" ht="20.100000000000001" customHeight="1" x14ac:dyDescent="0.25">
      <c r="B72" s="201" t="s">
        <v>176</v>
      </c>
      <c r="C72" s="202" t="s">
        <v>177</v>
      </c>
      <c r="D72" s="192">
        <f>IF(E22="",0,E22)</f>
        <v>6054053.8799999999</v>
      </c>
    </row>
    <row r="73" spans="2:14" ht="20.100000000000001" customHeight="1" x14ac:dyDescent="0.25">
      <c r="B73" s="201" t="s">
        <v>71</v>
      </c>
      <c r="C73" s="202" t="s">
        <v>72</v>
      </c>
      <c r="D73" s="191">
        <f>IF(E14="",0,E14)</f>
        <v>119438737.64</v>
      </c>
    </row>
    <row r="74" spans="2:14" ht="20.100000000000001" customHeight="1" x14ac:dyDescent="0.25">
      <c r="B74" s="201" t="s">
        <v>73</v>
      </c>
      <c r="C74" s="202" t="s">
        <v>74</v>
      </c>
      <c r="D74" s="192">
        <f>0</f>
        <v>0</v>
      </c>
    </row>
    <row r="75" spans="2:14" ht="20.100000000000001" customHeight="1" x14ac:dyDescent="0.25">
      <c r="B75" s="201" t="s">
        <v>75</v>
      </c>
      <c r="C75" s="202" t="s">
        <v>74</v>
      </c>
      <c r="D75" s="192">
        <f>IF(E16="",0,E16)</f>
        <v>10797297.199999999</v>
      </c>
    </row>
    <row r="76" spans="2:14" ht="20.100000000000001" customHeight="1" x14ac:dyDescent="0.25">
      <c r="B76" s="201" t="s">
        <v>76</v>
      </c>
      <c r="C76" s="202" t="s">
        <v>77</v>
      </c>
      <c r="D76" s="192">
        <f>IF(E19="",0,E19)</f>
        <v>495204525.35992301</v>
      </c>
    </row>
    <row r="77" spans="2:14" ht="20.100000000000001" customHeight="1" x14ac:dyDescent="0.25">
      <c r="B77" s="201" t="s">
        <v>78</v>
      </c>
      <c r="C77" s="202" t="s">
        <v>79</v>
      </c>
      <c r="D77" s="191">
        <f>IF(E25="",0,E25)</f>
        <v>101030629.5</v>
      </c>
    </row>
    <row r="78" spans="2:14" ht="20.100000000000001" customHeight="1" x14ac:dyDescent="0.25">
      <c r="B78" s="201" t="s">
        <v>176</v>
      </c>
      <c r="C78" s="202" t="s">
        <v>178</v>
      </c>
      <c r="D78" s="192">
        <f>IF(E23="",0,E23)</f>
        <v>7297297.0999999996</v>
      </c>
    </row>
    <row r="79" spans="2:14" ht="20.100000000000001" customHeight="1" x14ac:dyDescent="0.25">
      <c r="B79" s="201" t="s">
        <v>80</v>
      </c>
      <c r="C79" s="202" t="s">
        <v>81</v>
      </c>
      <c r="D79" s="192">
        <f>IF(E11="",0,E11)</f>
        <v>26756757</v>
      </c>
    </row>
    <row r="80" spans="2:14" ht="20.100000000000001" customHeight="1" x14ac:dyDescent="0.25">
      <c r="B80" s="201" t="s">
        <v>82</v>
      </c>
      <c r="C80" s="202" t="s">
        <v>83</v>
      </c>
      <c r="D80" s="191">
        <f>IF(E26="",0,E26)</f>
        <v>253741979.629951</v>
      </c>
    </row>
    <row r="81" spans="2:9" ht="20.100000000000001" customHeight="1" x14ac:dyDescent="0.25">
      <c r="B81" s="201" t="s">
        <v>84</v>
      </c>
      <c r="C81" s="202" t="s">
        <v>85</v>
      </c>
      <c r="D81" s="192">
        <f>IF(E10="",0,E10)</f>
        <v>106865997.11999901</v>
      </c>
    </row>
    <row r="82" spans="2:9" ht="20.100000000000001" customHeight="1" x14ac:dyDescent="0.25">
      <c r="B82" s="201" t="s">
        <v>86</v>
      </c>
      <c r="C82" s="202" t="s">
        <v>87</v>
      </c>
      <c r="D82" s="192">
        <f>IF(E27="",0,E27)</f>
        <v>12199459.539999999</v>
      </c>
    </row>
    <row r="83" spans="2:9" ht="20.100000000000001" customHeight="1" x14ac:dyDescent="0.25">
      <c r="B83" s="201" t="s">
        <v>88</v>
      </c>
      <c r="C83" s="202" t="s">
        <v>89</v>
      </c>
      <c r="D83" s="192">
        <f>IF(E20="",0,E20)+IF(E21="",0,E21)</f>
        <v>35989189.880000003</v>
      </c>
    </row>
    <row r="84" spans="2:9" ht="20.100000000000001" customHeight="1" x14ac:dyDescent="0.25">
      <c r="B84" s="57" t="s">
        <v>152</v>
      </c>
      <c r="C84" s="58"/>
      <c r="D84" s="129">
        <f>SUM(D70:D83)</f>
        <v>1310212227.949873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1" t="s">
        <v>145</v>
      </c>
      <c r="C87" s="242"/>
      <c r="D87" s="242"/>
      <c r="E87" s="242"/>
      <c r="F87" s="243"/>
      <c r="G87" s="124"/>
      <c r="H87" s="124"/>
      <c r="I87" s="116"/>
    </row>
    <row r="88" spans="2:9" ht="18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175619708.38512</v>
      </c>
      <c r="F89" s="61">
        <f t="shared" ref="F89:F94" si="7">IFERROR(E89/D89,0)</f>
        <v>0.63157876650678091</v>
      </c>
      <c r="G89" s="125">
        <f>D89-E89</f>
        <v>102444909.51908955</v>
      </c>
      <c r="H89" s="125">
        <f ca="1">IFERROR(G89/C3,0)</f>
        <v>9313173.5926445052</v>
      </c>
      <c r="I89" s="116"/>
    </row>
    <row r="90" spans="2:9" ht="20.100000000000001" customHeight="1" x14ac:dyDescent="0.25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221038560.34797901</v>
      </c>
      <c r="F90" s="61">
        <f t="shared" si="7"/>
        <v>0.52928338231480876</v>
      </c>
      <c r="G90" s="126">
        <f>D90-E90</f>
        <v>196579992.83854258</v>
      </c>
      <c r="H90" s="126">
        <f ca="1">IFERROR(G90/C3,0)</f>
        <v>17870908.439867508</v>
      </c>
      <c r="I90" s="116"/>
    </row>
    <row r="91" spans="2:9" ht="20.100000000000001" customHeight="1" x14ac:dyDescent="0.25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462642272.44591904</v>
      </c>
      <c r="F91" s="61">
        <f t="shared" si="7"/>
        <v>0.42549817431104037</v>
      </c>
      <c r="G91" s="125">
        <f>D91-E91</f>
        <v>624653279.86760569</v>
      </c>
      <c r="H91" s="125">
        <f ca="1">IFERROR(G91/C3,0)</f>
        <v>56786661.806145974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1782978723.4042559</v>
      </c>
      <c r="E94" s="123">
        <f>SUM(E89:E93)</f>
        <v>859300541.17901802</v>
      </c>
      <c r="F94" s="43">
        <f t="shared" si="7"/>
        <v>0.48194660424121522</v>
      </c>
      <c r="G94" s="119">
        <f>SUM(G89:G93)</f>
        <v>923678182.22523785</v>
      </c>
      <c r="H94" s="119">
        <f ca="1">IFERROR(G94/C3,0)</f>
        <v>83970743.83865799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50" zoomScaleNormal="100" workbookViewId="0">
      <selection activeCell="D70" sqref="D70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26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160</v>
      </c>
      <c r="C41" s="225"/>
      <c r="D41" s="226"/>
      <c r="E41" s="67" t="s">
        <v>138</v>
      </c>
      <c r="F41" s="73">
        <f ca="1">IF(MONTH(TODAY())=6,DAY(TODAY())/DAY(EOMONTH(TODAY(),0)),IF(MONTH(TODAY())&gt;6,1,0))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SUM(TARGETS!N5:N7,TARGETS!N8:N13,TARGETS!N14:N18)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SUM(TARGETS!O5:O6,TARGETS!O8:O12,TARGETS!O14:O18)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SUM(TARGETS!I22:I26)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4"/>
      <c r="L48" s="245"/>
      <c r="M48" s="245"/>
      <c r="N48" s="246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7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7"/>
    </row>
    <row r="51" spans="2:14" x14ac:dyDescent="0.25">
      <c r="B51" s="50" t="s">
        <v>67</v>
      </c>
      <c r="C51" s="55" t="s">
        <v>68</v>
      </c>
      <c r="D51" s="127">
        <f>TARGETS!N5</f>
        <v>0</v>
      </c>
      <c r="E51" s="127">
        <f>TARGETS!O5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TARGETS!N6</f>
        <v>0</v>
      </c>
      <c r="E52" s="128">
        <f>TARGETS!O6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TARGETS!N7</f>
        <v>0</v>
      </c>
      <c r="E53" s="157">
        <f>TARGETS!O7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TARGETS!N8</f>
        <v>0</v>
      </c>
      <c r="E54" s="128">
        <f>TARGETS!O8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TARGETS!N9</f>
        <v>0</v>
      </c>
      <c r="E55" s="127">
        <f>TARGETS!O9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TARGETS!N10</f>
        <v>0</v>
      </c>
      <c r="E56" s="128">
        <f>TARGETS!O10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TARGETS!N11</f>
        <v>0</v>
      </c>
      <c r="E57" s="127">
        <f>TARGETS!O11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TARGETS!N12</f>
        <v>0</v>
      </c>
      <c r="E58" s="128">
        <f>TARGETS!O12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TARGETS!N13</f>
        <v>0</v>
      </c>
      <c r="E59" s="157">
        <f>TARGETS!O13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TARGETS!N14</f>
        <v>0</v>
      </c>
      <c r="E60" s="128">
        <f>TARGETS!O14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TARGETS!N15</f>
        <v>0</v>
      </c>
      <c r="E61" s="127">
        <f>TARGETS!O15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TARGETS!N16</f>
        <v>0</v>
      </c>
      <c r="E62" s="128">
        <f>TARGETS!O16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TARGETS!N17</f>
        <v>0</v>
      </c>
      <c r="E63" s="127">
        <f>TARGETS!O17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TARGETS!N18</f>
        <v>0</v>
      </c>
      <c r="E64" s="128">
        <f>TARGETS!O18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1" t="s">
        <v>145</v>
      </c>
      <c r="C87" s="242"/>
      <c r="D87" s="242"/>
      <c r="E87" s="242"/>
      <c r="F87" s="24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TARGETS!I22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TARGETS!I23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TARGETS!I24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27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179</v>
      </c>
      <c r="C41" s="225"/>
      <c r="D41" s="226"/>
      <c r="E41" s="67" t="s">
        <v>138</v>
      </c>
      <c r="F41" s="73">
        <f ca="1">IF(MONTH(TODAY())=7,DAY(TODAY())/DAY(EOMONTH(TODAY(),0)),IF(MONTH(TODAY())&gt;7,1,0))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SUM(TARGETS!P5:P7,TARGETS!P8:P13,TARGETS!P14:P18)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SUM(TARGETS!Q5:Q6,TARGETS!Q8:Q12,TARGETS!Q14:Q18)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SUM(TARGETS!J22:J26)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4"/>
      <c r="L48" s="245"/>
      <c r="M48" s="245"/>
      <c r="N48" s="246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7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7"/>
    </row>
    <row r="51" spans="2:14" x14ac:dyDescent="0.25">
      <c r="B51" s="50" t="s">
        <v>67</v>
      </c>
      <c r="C51" s="55" t="s">
        <v>68</v>
      </c>
      <c r="D51" s="127">
        <f>TARGETS!P5</f>
        <v>0</v>
      </c>
      <c r="E51" s="127">
        <f>TARGETS!Q5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TARGETS!P6</f>
        <v>0</v>
      </c>
      <c r="E52" s="128">
        <f>TARGETS!Q6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TARGETS!P7</f>
        <v>0</v>
      </c>
      <c r="E53" s="157">
        <f>TARGETS!Q7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TARGETS!P8</f>
        <v>0</v>
      </c>
      <c r="E54" s="128">
        <f>TARGETS!Q8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TARGETS!P9</f>
        <v>0</v>
      </c>
      <c r="E55" s="127">
        <f>TARGETS!Q9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TARGETS!P10</f>
        <v>0</v>
      </c>
      <c r="E56" s="128">
        <f>TARGETS!Q10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TARGETS!P11</f>
        <v>0</v>
      </c>
      <c r="E57" s="127">
        <f>TARGETS!Q11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TARGETS!P12</f>
        <v>0</v>
      </c>
      <c r="E58" s="128">
        <f>TARGETS!Q12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TARGETS!P13</f>
        <v>0</v>
      </c>
      <c r="E59" s="157">
        <f>TARGETS!Q13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TARGETS!P14</f>
        <v>0</v>
      </c>
      <c r="E60" s="128">
        <f>TARGETS!Q14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TARGETS!P15</f>
        <v>0</v>
      </c>
      <c r="E61" s="127">
        <f>TARGETS!Q15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TARGETS!P16</f>
        <v>0</v>
      </c>
      <c r="E62" s="128">
        <f>TARGETS!Q16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TARGETS!P17</f>
        <v>0</v>
      </c>
      <c r="E63" s="127">
        <f>TARGETS!Q17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TARGETS!P18</f>
        <v>0</v>
      </c>
      <c r="E64" s="128">
        <f>TARGETS!Q18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1" t="s">
        <v>145</v>
      </c>
      <c r="C87" s="242"/>
      <c r="D87" s="242"/>
      <c r="E87" s="242"/>
      <c r="F87" s="24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TARGETS!J22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TARGETS!J23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TARGETS!J24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162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163</v>
      </c>
      <c r="C41" s="225"/>
      <c r="D41" s="226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4"/>
      <c r="L48" s="245"/>
      <c r="M48" s="245"/>
      <c r="N48" s="246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7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7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1" t="s">
        <v>145</v>
      </c>
      <c r="C87" s="242"/>
      <c r="D87" s="242"/>
      <c r="E87" s="242"/>
      <c r="F87" s="24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164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165</v>
      </c>
      <c r="C41" s="225"/>
      <c r="D41" s="226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4"/>
      <c r="L48" s="245"/>
      <c r="M48" s="245"/>
      <c r="N48" s="246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7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7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1" t="s">
        <v>145</v>
      </c>
      <c r="C87" s="242"/>
      <c r="D87" s="242"/>
      <c r="E87" s="242"/>
      <c r="F87" s="24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167</v>
      </c>
      <c r="C41" s="225"/>
      <c r="D41" s="226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4"/>
      <c r="L48" s="245"/>
      <c r="M48" s="245"/>
      <c r="N48" s="246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7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7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1" t="s">
        <v>145</v>
      </c>
      <c r="C87" s="242"/>
      <c r="D87" s="242"/>
      <c r="E87" s="242"/>
      <c r="F87" s="24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180</v>
      </c>
      <c r="C41" s="225"/>
      <c r="D41" s="226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4"/>
      <c r="L48" s="245"/>
      <c r="M48" s="245"/>
      <c r="N48" s="246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7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7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1" t="s">
        <v>145</v>
      </c>
      <c r="C87" s="242"/>
      <c r="D87" s="242"/>
      <c r="E87" s="242"/>
      <c r="F87" s="24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181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182</v>
      </c>
      <c r="C41" s="225"/>
      <c r="D41" s="226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4"/>
      <c r="L48" s="245"/>
      <c r="M48" s="245"/>
      <c r="N48" s="246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7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7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1" t="s">
        <v>145</v>
      </c>
      <c r="C87" s="242"/>
      <c r="D87" s="242"/>
      <c r="E87" s="242"/>
      <c r="F87" s="24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dcterms:created xsi:type="dcterms:W3CDTF">2026-03-24T08:59:20Z</dcterms:created>
  <dcterms:modified xsi:type="dcterms:W3CDTF">2026-05-19T00:57:08Z</dcterms:modified>
  <dc:language>en-US</dc:language>
</cp:coreProperties>
</file>