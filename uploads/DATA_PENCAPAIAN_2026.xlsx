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F57" i="8" s="1"/>
  <c r="E56" i="8"/>
  <c r="E65" i="8" s="1"/>
  <c r="E55" i="8"/>
  <c r="E54" i="8"/>
  <c r="E53" i="8"/>
  <c r="E52" i="8"/>
  <c r="E51" i="8"/>
  <c r="D64" i="8"/>
  <c r="D63" i="8"/>
  <c r="D62" i="8"/>
  <c r="F62" i="8" s="1"/>
  <c r="D61" i="8"/>
  <c r="D60" i="8"/>
  <c r="D59" i="8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1" i="8"/>
  <c r="F60" i="8"/>
  <c r="H59" i="8"/>
  <c r="G59" i="8"/>
  <c r="K59" i="8" s="1"/>
  <c r="F59" i="8"/>
  <c r="F58" i="8"/>
  <c r="K57" i="8"/>
  <c r="H53" i="8"/>
  <c r="L53" i="8" s="1"/>
  <c r="G53" i="8"/>
  <c r="F53" i="8"/>
  <c r="F52" i="8"/>
  <c r="F51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46" i="8" l="1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<sst xmlns="http://schemas.openxmlformats.org/spreadsheetml/2006/main" count="1872" uniqueCount="185">
  <si>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</si>
  <si>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</si>
  <si>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</si>
  <si>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</si>
  <si>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</si>
  <si>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</si>
  <si>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</si>
  <si>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</si>
  <si>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</si>
  <si>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</si>
  <si>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</si>
  <si>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</si>
  <si>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</si>
  <si>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</si>
  <si>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</si>
  <si>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</si>
  <si>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</si>
  <si>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</si>
  <si>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</si>
  <si>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</si>
  <si>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</si>
  <si>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</si>
  <si>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</si>
  <si>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</si>
  <si>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</si>
  <si>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</si>
  <si>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</si>
  <si>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</si>
  <si>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</si>
  <si>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</si>
  <si>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</si>
  <si>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</si>
  <si>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</si>
  <si>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</si>
  <si>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</si>
  <si>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</si>
  <si>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</si>
  <si>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</si>
  <si>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</si>
  <si>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</si>
  <si>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</si>
  <si>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</si>
  <si>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</si>
  <si>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</si>
  <si>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</si>
  <si>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</si>
  <si>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</si>
  <si>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</si>
  <si>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</si>
  <si>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</si>
  <si>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</si>
  <si>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</si>
  <si>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</si>
  <si>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</si>
  <si>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</si>
  <si>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</si>
  <si>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</si>
  <si>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</si>
  <si>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</si>
  <si>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</si>
  <si>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</si>
  <si>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</si>
  <si>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</si>
  <si>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</si>
  <si>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</si>
  <si>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</si>
  <si>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</si>
  <si>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</si>
  <si>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</si>
  <si>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</si>
  <si>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</si>
  <si>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</si>
  <si>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</si>
  <si>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</si>
  <si>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</si>
  <si>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</si>
  <si>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</si>
  <si>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</si>
  <si>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</si>
  <si>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</si>
  <si>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</si>
  <si>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</si>
  <si>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</si>
  <si>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</si>
  <si>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</si>
  <si>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</si>
  <si>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</si>
  <si>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</si>
  <si>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</si>
  <si>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</si>
  <si>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</si>
  <si>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</si>
  <si>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</si>
  <si>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</si>
  <si>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</si>
  <si>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</si>
  <si>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</si>
  <si>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</si>
  <si>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</si>
  <si>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</si>
  <si>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</si>
  <si>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</si>
  <si>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</si>
  <si>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</si>
  <si>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</si>
  <si>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</si>
  <si>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</si>
  <si>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</si>
  <si>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</si>
  <si>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</si>
  <si>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</si>
  <si>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</si>
  <si>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</si>
  <si>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</si>
  <si>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</si>
  <si>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</si>
  <si>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</si>
  <si>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</si>
  <si>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</si>
  <si>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</si>
  <si>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</si>
  <si>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</si>
  <si>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</si>
  <si>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</si>
  <si>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</si>
  <si>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</si>
  <si>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</si>
  <si>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</si>
  <si>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</si>
  <si>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</si>
  <si>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</si>
  <si>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</si>
  <si>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</si>
  <si>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</si>
  <si>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</si>
  <si>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</si>
  <si>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</si>
  <si>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</si>
  <si>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</si>
  <si>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</si>
  <si>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</si>
  <si>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</si>
  <si>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</si>
  <si>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</si>
  <si>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</si>
  <si>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</si>
  <si>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</si>
  <si>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</si>
  <si>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</si>
  <si>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</si>
  <si>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</si>
  <si>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</si>
  <si>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</si>
  <si>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</si>
  <si>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</si>
  <si>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</si>
  <si>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</si>
  <si>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</si>
  <si>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</si>
  <si>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</si>
  <si>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</si>
  <si>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</si>
  <si>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</si>
  <si>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</si>
  <si>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</si>
  <si>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</si>
  <si>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</si>
  <si>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</si>
  <si>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</si>
  <si>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</si>
  <si>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</si>
  <si>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</si>
  <si>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</si>
  <si>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</si>
  <si>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</si>
  <si>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</si>
  <si>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</si>
  <si>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</si>
  <si>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</si>
  <si>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</si>
  <si>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</si>
  <si>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</si>
  <si>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</si>
  <si>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</si>
  <si>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21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</si>
</sst>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164" fontId="0" fillId="0" borderId="0" xfId="0" applyNumberFormat="1"/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65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183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9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9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198874466.95777199</v>
      </c>
      <c r="N8" s="11">
        <f>D24</f>
        <v>32839506.683463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343396010.84356898</v>
      </c>
      <c r="N9" s="11">
        <f>D12+D13</f>
        <v>53106196.052157</v>
      </c>
    </row>
    <row r="10" spans="2:14" x14ac:dyDescent="0.25">
      <c r="B10" s="74" t="s">
        <v>113</v>
      </c>
      <c r="C10" s="205">
        <v>184471534.469396</v>
      </c>
      <c r="D10" s="205">
        <v>22535662.899342</v>
      </c>
      <c r="E10" s="205">
        <v>116419150.11999901</v>
      </c>
      <c r="F10" s="205">
        <v>323426347.48873699</v>
      </c>
      <c r="H10" s="116"/>
      <c r="I10" s="116"/>
      <c r="J10" s="116"/>
      <c r="M10" s="11">
        <f>C14</f>
        <v>429167713.405325</v>
      </c>
      <c r="N10" s="11">
        <f>D14</f>
        <v>19299582.641127001</v>
      </c>
    </row>
    <row r="11" spans="2:14" x14ac:dyDescent="0.25">
      <c r="B11" s="74" t="s">
        <v>114</v>
      </c>
      <c r="C11" s="205">
        <v>250272862.009635</v>
      </c>
      <c r="D11" s="205">
        <v>61442334.004658997</v>
      </c>
      <c r="E11" s="205">
        <v>26756757</v>
      </c>
      <c r="F11" s="205">
        <v>338471953.01429403</v>
      </c>
      <c r="H11" s="116"/>
      <c r="I11" s="116"/>
      <c r="J11" s="116"/>
      <c r="M11" s="11">
        <f>C17</f>
        <v>255314662.19999799</v>
      </c>
      <c r="N11" s="11">
        <f>D17</f>
        <v>33550551.18</v>
      </c>
    </row>
    <row r="12" spans="2:14" x14ac:dyDescent="0.25">
      <c r="B12" s="74" t="s">
        <v>70</v>
      </c>
      <c r="C12" s="205">
        <v>186504610.96792999</v>
      </c>
      <c r="D12" s="205">
        <v>34410750.382271998</v>
      </c>
      <c r="E12" s="205">
        <v>36891800.960000001</v>
      </c>
      <c r="F12" s="205">
        <v>257807162.310202</v>
      </c>
      <c r="H12" s="116"/>
      <c r="I12" s="116"/>
      <c r="J12" s="116"/>
      <c r="M12" s="11">
        <f>C16</f>
        <v>285480633.74615097</v>
      </c>
      <c r="N12" s="11">
        <f>D16</f>
        <v>52968401.151327997</v>
      </c>
    </row>
    <row r="13" spans="2:14" x14ac:dyDescent="0.25">
      <c r="B13" s="74" t="s">
        <v>115</v>
      </c>
      <c r="C13" s="205">
        <v>156891399.87563899</v>
      </c>
      <c r="D13" s="205">
        <v>18695445.669884998</v>
      </c>
      <c r="E13" s="205">
        <v>27974774.460000001</v>
      </c>
      <c r="F13" s="205">
        <v>203561620.00552401</v>
      </c>
      <c r="H13" s="116"/>
      <c r="I13" s="116"/>
      <c r="J13" s="116"/>
      <c r="M13" s="11">
        <f>C19</f>
        <v>599215529.42203498</v>
      </c>
      <c r="N13" s="11">
        <f>D19</f>
        <v>46766273.849916004</v>
      </c>
    </row>
    <row r="14" spans="2:14" x14ac:dyDescent="0.25">
      <c r="B14" s="74" t="s">
        <v>116</v>
      </c>
      <c r="C14" s="205">
        <v>429167713.405325</v>
      </c>
      <c r="D14" s="205">
        <v>19299582.641127001</v>
      </c>
      <c r="E14" s="205">
        <v>131857656.44</v>
      </c>
      <c r="F14" s="205">
        <v>580324952.48645198</v>
      </c>
      <c r="H14" s="116"/>
      <c r="I14" s="116"/>
      <c r="J14" s="116"/>
      <c r="M14" s="11">
        <f>C25</f>
        <v>275775148.99845499</v>
      </c>
      <c r="N14" s="11">
        <f>D25</f>
        <v>44631802.779844001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250272862.009635</v>
      </c>
      <c r="N15" s="11">
        <f>D11</f>
        <v>61442334.004658997</v>
      </c>
    </row>
    <row r="16" spans="2:14" x14ac:dyDescent="0.25">
      <c r="B16" s="74" t="s">
        <v>74</v>
      </c>
      <c r="C16" s="205">
        <v>285480633.74615097</v>
      </c>
      <c r="D16" s="205">
        <v>52968401.151327997</v>
      </c>
      <c r="E16" s="205">
        <v>10797297.199999999</v>
      </c>
      <c r="F16" s="205">
        <v>349246332.09747899</v>
      </c>
      <c r="H16" s="116"/>
      <c r="I16" s="116"/>
      <c r="J16" s="116"/>
      <c r="M16" s="11">
        <f>C26</f>
        <v>289623919.43200803</v>
      </c>
      <c r="N16" s="11">
        <f>D26</f>
        <v>38245635.119948</v>
      </c>
    </row>
    <row r="17" spans="2:14" x14ac:dyDescent="0.25">
      <c r="B17" s="74" t="s">
        <v>118</v>
      </c>
      <c r="C17" s="205">
        <v>255314662.19999799</v>
      </c>
      <c r="D17" s="205">
        <v>33550551.18</v>
      </c>
      <c r="E17" s="205" t="s">
        <v>169</v>
      </c>
      <c r="F17" s="205">
        <v>288865213.37999803</v>
      </c>
      <c r="H17" s="116"/>
      <c r="I17" s="116"/>
      <c r="J17" s="116"/>
      <c r="M17" s="11">
        <f>C10</f>
        <v>184471534.469396</v>
      </c>
      <c r="N17" s="11">
        <f>D10</f>
        <v>22535662.899342</v>
      </c>
    </row>
    <row r="18" spans="2:14" x14ac:dyDescent="0.25">
      <c r="B18" s="74" t="s">
        <v>119</v>
      </c>
      <c r="C18" s="205">
        <v>845495566.01786697</v>
      </c>
      <c r="D18" s="205">
        <v>7656438.6219769996</v>
      </c>
      <c r="E18" s="205">
        <v>8112162.0800000001</v>
      </c>
      <c r="F18" s="205">
        <v>861264166.71984398</v>
      </c>
      <c r="H18" s="116"/>
      <c r="I18" s="116"/>
      <c r="J18" s="116"/>
      <c r="M18" s="11">
        <f>C27</f>
        <v>501331949.98337102</v>
      </c>
      <c r="N18" s="11">
        <f>D27</f>
        <v>149543402.51741099</v>
      </c>
    </row>
    <row r="19" spans="2:14" x14ac:dyDescent="0.25">
      <c r="B19" s="74" t="s">
        <v>121</v>
      </c>
      <c r="C19" s="205">
        <v>599215529.42203498</v>
      </c>
      <c r="D19" s="205">
        <v>46766273.849916004</v>
      </c>
      <c r="E19" s="205">
        <v>491088941.98994303</v>
      </c>
      <c r="F19" s="205">
        <v>1137070745.261894</v>
      </c>
      <c r="H19" s="116"/>
      <c r="I19" s="116"/>
      <c r="J19" s="116"/>
      <c r="M19" s="11">
        <f>C20+C21</f>
        <v>161255289.11341798</v>
      </c>
      <c r="N19" s="11">
        <f>D20+D21</f>
        <v>95462833.522836</v>
      </c>
    </row>
    <row r="20" spans="2:14" x14ac:dyDescent="0.25">
      <c r="B20" s="74" t="s">
        <v>123</v>
      </c>
      <c r="C20" s="205">
        <v>122720265.113418</v>
      </c>
      <c r="D20" s="205">
        <v>20733574.809856001</v>
      </c>
      <c r="E20" s="205">
        <v>2972973.04</v>
      </c>
      <c r="F20" s="205">
        <v>146426812.963274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38535024</v>
      </c>
      <c r="D21" s="205">
        <v>74729258.712980002</v>
      </c>
      <c r="E21" s="205">
        <v>36767568.280000001</v>
      </c>
      <c r="F21" s="205">
        <v>150031850.99298</v>
      </c>
      <c r="H21" s="116"/>
      <c r="I21" s="116"/>
      <c r="J21" s="116"/>
      <c r="M21" s="14">
        <f>IFERROR(C34,0)+IFERROR(C35,0)+M20</f>
        <v>488697007.205603</v>
      </c>
      <c r="N21" s="10" t="s">
        <v>122</v>
      </c>
    </row>
    <row r="22" spans="2:14" x14ac:dyDescent="0.25">
      <c r="B22" s="74" t="s">
        <v>173</v>
      </c>
      <c r="C22" s="205">
        <v>120464485.8</v>
      </c>
      <c r="D22" s="205" t="s">
        <v>169</v>
      </c>
      <c r="E22" s="205">
        <v>6054053.8799999999</v>
      </c>
      <c r="F22" s="205">
        <v>126518539.68000001</v>
      </c>
      <c r="H22" s="116"/>
      <c r="I22" s="116"/>
      <c r="J22" s="116"/>
    </row>
    <row r="23" spans="2:14" x14ac:dyDescent="0.25">
      <c r="B23" s="74" t="s">
        <v>174</v>
      </c>
      <c r="C23" s="205">
        <v>157901166.34997499</v>
      </c>
      <c r="D23" s="205" t="s">
        <v>169</v>
      </c>
      <c r="E23" s="205">
        <v>7297297.0999999996</v>
      </c>
      <c r="F23" s="205">
        <v>165198463.44997501</v>
      </c>
      <c r="H23" s="116"/>
      <c r="I23" s="116"/>
      <c r="J23" s="116"/>
    </row>
    <row r="24" spans="2:14" x14ac:dyDescent="0.25">
      <c r="B24" s="74" t="s">
        <v>125</v>
      </c>
      <c r="C24" s="205">
        <v>198874466.95777199</v>
      </c>
      <c r="D24" s="205">
        <v>32839506.683463</v>
      </c>
      <c r="E24" s="205">
        <v>87589548.400000006</v>
      </c>
      <c r="F24" s="205">
        <v>319303522.04123503</v>
      </c>
      <c r="H24" s="116"/>
      <c r="I24" s="116"/>
      <c r="J24" s="116"/>
    </row>
    <row r="25" spans="2:14" x14ac:dyDescent="0.25">
      <c r="B25" s="74" t="s">
        <v>126</v>
      </c>
      <c r="C25" s="205">
        <v>275775148.99845499</v>
      </c>
      <c r="D25" s="205">
        <v>44631802.779844001</v>
      </c>
      <c r="E25" s="205">
        <v>127983962.62</v>
      </c>
      <c r="F25" s="205">
        <v>448390914.39829898</v>
      </c>
      <c r="H25" s="116"/>
      <c r="I25" s="116"/>
      <c r="J25" s="116"/>
    </row>
    <row r="26" spans="2:14" x14ac:dyDescent="0.25">
      <c r="B26" s="74" t="s">
        <v>127</v>
      </c>
      <c r="C26" s="205">
        <v>289623919.43200803</v>
      </c>
      <c r="D26" s="205">
        <v>38245635.119948</v>
      </c>
      <c r="E26" s="205">
        <v>270041439.19995099</v>
      </c>
      <c r="F26" s="205">
        <v>597910993.75190699</v>
      </c>
      <c r="H26" s="116"/>
      <c r="I26" s="116"/>
      <c r="J26" s="116"/>
    </row>
    <row r="27" spans="2:14" x14ac:dyDescent="0.25">
      <c r="B27" s="74" t="s">
        <v>128</v>
      </c>
      <c r="C27" s="205">
        <v>501331949.98337102</v>
      </c>
      <c r="D27" s="205">
        <v>149543402.51741099</v>
      </c>
      <c r="E27" s="205">
        <v>13464324.439999999</v>
      </c>
      <c r="F27" s="205">
        <v>664339676.94078195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194444846.924934</v>
      </c>
      <c r="G32" s="116"/>
      <c r="H32" s="116"/>
      <c r="I32" s="116"/>
    </row>
    <row r="33" spans="2:14" x14ac:dyDescent="0.25">
      <c r="B33" s="84" t="s">
        <v>133</v>
      </c>
      <c r="C33" s="248">
        <v>281580352.837192</v>
      </c>
      <c r="G33" s="116"/>
      <c r="H33" s="116"/>
      <c r="I33" s="116"/>
    </row>
    <row r="34" spans="2:14" x14ac:dyDescent="0.25">
      <c r="B34" s="84" t="s">
        <v>134</v>
      </c>
      <c r="C34" s="205">
        <v>222120447.46863601</v>
      </c>
      <c r="G34" s="116"/>
      <c r="H34" s="116"/>
      <c r="I34" s="116"/>
    </row>
    <row r="35" spans="2:14" x14ac:dyDescent="0.25">
      <c r="B35" s="84" t="s">
        <v>135</v>
      </c>
      <c r="C35" s="205">
        <v>266576559.736967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5" t="s">
        <v>184</v>
      </c>
      <c r="C41" s="246"/>
      <c r="D41" s="247"/>
      <c r="E41" s="67" t="s">
        <v>138</v>
      </c>
      <c r="F41" s="73">
        <f ca="1">IF(MONTH(TODAY())=5,DAY(TODAY())/DAY(EOMONTH(TODAY(),0)),IF(MONTH(TODAY())&gt;5,1,0))</f>
        <v>0.67741935483870963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4052545372.7311082</v>
      </c>
      <c r="F43" s="44">
        <f>IFERROR(E43/D43,0)</f>
        <v>0.59253982415513196</v>
      </c>
      <c r="G43" s="118">
        <f>D43-E43</f>
        <v>2786733959.2688918</v>
      </c>
      <c r="H43" s="118">
        <f ca="1">IFERROR(G43/C3,0)</f>
        <v>309637106.58543241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650392182.40203094</v>
      </c>
      <c r="F44" s="44">
        <f>IFERROR(E44/D44,0)</f>
        <v>0.44086469881483548</v>
      </c>
      <c r="G44" s="118">
        <f>D44-E44</f>
        <v>824872641.81833076</v>
      </c>
      <c r="H44" s="118">
        <f ca="1">IFERROR(G44/C3,0)</f>
        <v>91652515.757592306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964722206.96772897</v>
      </c>
      <c r="F45" s="44">
        <f>IFERROR(E45/D45,0)</f>
        <v>0.54107331417044446</v>
      </c>
      <c r="G45" s="118">
        <f>D45-E45</f>
        <v>818256516.43652689</v>
      </c>
      <c r="H45" s="118">
        <f ca="1">IFERROR(G45/C3,0)</f>
        <v>90917390.715169653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5667659762.1008673</v>
      </c>
      <c r="F46" s="43">
        <f>IFERROR(E46/D46,0)</f>
        <v>0.56129209407758884</v>
      </c>
      <c r="G46" s="119">
        <f>G43+G44+G45</f>
        <v>4429863117.5237494</v>
      </c>
      <c r="H46" s="119">
        <f ca="1">IFERROR(G46/C3,0)</f>
        <v>492207013.0581944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198874466.95777199</v>
      </c>
      <c r="H51" s="122">
        <f>N8</f>
        <v>32839506.683463</v>
      </c>
      <c r="I51" s="122">
        <f t="shared" ref="I51:I64" si="1">G51+H51</f>
        <v>231713973.64123499</v>
      </c>
      <c r="J51" s="61">
        <f t="shared" ref="J51:J64" si="2">IFERROR(I51/F51,0)</f>
        <v>0.47780620708429267</v>
      </c>
      <c r="K51" s="51">
        <f t="shared" ref="K51:M64" si="3">D51-G51</f>
        <v>217809011.04222801</v>
      </c>
      <c r="L51" s="51">
        <f t="shared" si="3"/>
        <v>35430894.537191309</v>
      </c>
      <c r="M51" s="51">
        <f t="shared" si="3"/>
        <v>253239905.57941931</v>
      </c>
      <c r="N51" s="51">
        <f ca="1">IFERROR(M51/C3,0)</f>
        <v>28137767.286602147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343396010.84356898</v>
      </c>
      <c r="H52" s="122">
        <f>N9</f>
        <v>53106196.052157</v>
      </c>
      <c r="I52" s="122">
        <f t="shared" si="1"/>
        <v>396502206.89572597</v>
      </c>
      <c r="J52" s="61">
        <f t="shared" si="2"/>
        <v>0.5309853033603944</v>
      </c>
      <c r="K52" s="54">
        <f t="shared" si="3"/>
        <v>211786360.15643102</v>
      </c>
      <c r="L52" s="54">
        <f t="shared" si="3"/>
        <v>138440587.94784302</v>
      </c>
      <c r="M52" s="54">
        <f t="shared" si="3"/>
        <v>350226948.10427403</v>
      </c>
      <c r="N52" s="54">
        <f ca="1">IFERROR(M52/C3,0)</f>
        <v>38914105.344919339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120464485.8</v>
      </c>
      <c r="H53" s="122">
        <f>IF(D22="",0,D22)</f>
        <v>0</v>
      </c>
      <c r="I53" s="122">
        <f>G53+H53</f>
        <v>120464485.8</v>
      </c>
      <c r="J53" s="61">
        <f>IFERROR(I53/F53,0)</f>
        <v>0.49887296758662331</v>
      </c>
      <c r="K53" s="54">
        <f>D53-G53</f>
        <v>121008782.2</v>
      </c>
      <c r="L53" s="54">
        <f>E53-H53</f>
        <v>0</v>
      </c>
      <c r="M53" s="54">
        <f>F53-I53</f>
        <v>121008782.2</v>
      </c>
      <c r="N53" s="54">
        <f ca="1">IFERROR(M53/C3,0)</f>
        <v>13445420.244444445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429167713.405325</v>
      </c>
      <c r="H54" s="122">
        <f t="shared" ref="H54:H58" si="4">N10</f>
        <v>19299582.641127001</v>
      </c>
      <c r="I54" s="122">
        <f t="shared" si="1"/>
        <v>448467296.04645199</v>
      </c>
      <c r="J54" s="61">
        <f t="shared" si="2"/>
        <v>0.68198172772027976</v>
      </c>
      <c r="K54" s="54">
        <f>D54-G54</f>
        <v>181544758.594675</v>
      </c>
      <c r="L54" s="54">
        <f t="shared" si="3"/>
        <v>27582244.176207889</v>
      </c>
      <c r="M54" s="54">
        <f t="shared" si="3"/>
        <v>209127002.7708829</v>
      </c>
      <c r="N54" s="54">
        <f ca="1">IFERROR(M54/C3,0)</f>
        <v>23236333.641209211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255314662.19999799</v>
      </c>
      <c r="H55" s="122">
        <f t="shared" si="4"/>
        <v>33550551.18</v>
      </c>
      <c r="I55" s="122">
        <f t="shared" si="1"/>
        <v>288865213.37999797</v>
      </c>
      <c r="J55" s="61">
        <f t="shared" si="2"/>
        <v>0.59201868015916703</v>
      </c>
      <c r="K55" s="54">
        <f t="shared" si="3"/>
        <v>149748621.80000201</v>
      </c>
      <c r="L55" s="54">
        <f t="shared" si="3"/>
        <v>49318764.011524148</v>
      </c>
      <c r="M55" s="54">
        <f t="shared" si="3"/>
        <v>199067385.81152618</v>
      </c>
      <c r="N55" s="54">
        <f ca="1">IFERROR(M55/C3,0)</f>
        <v>22118598.423502907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285480633.74615097</v>
      </c>
      <c r="H56" s="122">
        <f t="shared" si="4"/>
        <v>52968401.151327997</v>
      </c>
      <c r="I56" s="122">
        <f t="shared" si="1"/>
        <v>338449034.89747894</v>
      </c>
      <c r="J56" s="61">
        <f t="shared" si="2"/>
        <v>0.60964427612156802</v>
      </c>
      <c r="K56" s="54">
        <f t="shared" si="3"/>
        <v>188438198.25384903</v>
      </c>
      <c r="L56" s="54">
        <f t="shared" si="3"/>
        <v>28270992.971325606</v>
      </c>
      <c r="M56" s="54">
        <f t="shared" si="3"/>
        <v>216709191.22517467</v>
      </c>
      <c r="N56" s="54">
        <f ca="1">IFERROR(M56/C3,0)</f>
        <v>24078799.025019407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599215529.42203498</v>
      </c>
      <c r="H57" s="122">
        <f t="shared" si="4"/>
        <v>46766273.849916004</v>
      </c>
      <c r="I57" s="122">
        <f t="shared" si="1"/>
        <v>645981803.27195096</v>
      </c>
      <c r="J57" s="61">
        <f t="shared" si="2"/>
        <v>0.61306806622498167</v>
      </c>
      <c r="K57" s="54">
        <f t="shared" si="3"/>
        <v>362542815.57796502</v>
      </c>
      <c r="L57" s="54">
        <f t="shared" si="3"/>
        <v>45162302.489240386</v>
      </c>
      <c r="M57" s="54">
        <f t="shared" si="3"/>
        <v>407705118.06720543</v>
      </c>
      <c r="N57" s="54">
        <f ca="1">IFERROR(M57/C3,0)</f>
        <v>45300568.674133934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275775148.99845499</v>
      </c>
      <c r="H58" s="122">
        <f t="shared" si="4"/>
        <v>44631802.779844001</v>
      </c>
      <c r="I58" s="122">
        <f>G58+H58</f>
        <v>320406951.77829897</v>
      </c>
      <c r="J58" s="61">
        <f>IFERROR(I58/F58,0)</f>
        <v>0.56303761780996631</v>
      </c>
      <c r="K58" s="54">
        <f t="shared" si="3"/>
        <v>229511910.00154501</v>
      </c>
      <c r="L58" s="54">
        <f t="shared" si="3"/>
        <v>19149601.220155999</v>
      </c>
      <c r="M58" s="54">
        <f t="shared" si="3"/>
        <v>248661511.22170103</v>
      </c>
      <c r="N58" s="54">
        <f ca="1">IFERROR(M58/C3,0)</f>
        <v>27629056.802411225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157901166.34997499</v>
      </c>
      <c r="H59" s="122">
        <f>IF(D23="",0,D23)</f>
        <v>0</v>
      </c>
      <c r="I59" s="122">
        <f>G59+H59</f>
        <v>157901166.34997499</v>
      </c>
      <c r="J59" s="61">
        <f>IFERROR(I59/F59,0)</f>
        <v>0.39071520245830099</v>
      </c>
      <c r="K59" s="54">
        <f>D59-G59</f>
        <v>246232497.65002501</v>
      </c>
      <c r="L59" s="54">
        <f>E59-H59</f>
        <v>0</v>
      </c>
      <c r="M59" s="54">
        <f>F59-I59</f>
        <v>246232497.65002501</v>
      </c>
      <c r="N59" s="54">
        <f ca="1">IFERROR(M59/C3,0)</f>
        <v>27359166.405558333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250272862.009635</v>
      </c>
      <c r="H60" s="122">
        <f t="shared" ref="H60:H64" si="5">N15</f>
        <v>61442334.004658997</v>
      </c>
      <c r="I60" s="122">
        <f t="shared" si="1"/>
        <v>311715196.01429403</v>
      </c>
      <c r="J60" s="61">
        <f t="shared" si="2"/>
        <v>0.57460960704046127</v>
      </c>
      <c r="K60" s="54">
        <f t="shared" si="3"/>
        <v>153744446.990365</v>
      </c>
      <c r="L60" s="54">
        <f t="shared" si="3"/>
        <v>77022056.213336408</v>
      </c>
      <c r="M60" s="54">
        <f t="shared" si="3"/>
        <v>230766503.20370138</v>
      </c>
      <c r="N60" s="54">
        <f ca="1">IFERROR(M60/C3,0)</f>
        <v>25640722.578189041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289623919.43200803</v>
      </c>
      <c r="H61" s="122">
        <f t="shared" si="5"/>
        <v>38245635.119948</v>
      </c>
      <c r="I61" s="122">
        <f t="shared" si="1"/>
        <v>327869554.55195606</v>
      </c>
      <c r="J61" s="61">
        <f t="shared" si="2"/>
        <v>0.47491777780074018</v>
      </c>
      <c r="K61" s="54">
        <f t="shared" si="3"/>
        <v>342005676.56799197</v>
      </c>
      <c r="L61" s="54">
        <f t="shared" si="3"/>
        <v>20495965.490677267</v>
      </c>
      <c r="M61" s="54">
        <f t="shared" si="3"/>
        <v>362501642.05866921</v>
      </c>
      <c r="N61" s="54">
        <f ca="1">IFERROR(M61/C3,0)</f>
        <v>40277960.22874102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184471534.469396</v>
      </c>
      <c r="H62" s="122">
        <f t="shared" si="5"/>
        <v>22535662.899342</v>
      </c>
      <c r="I62" s="122">
        <f t="shared" si="1"/>
        <v>207007197.368738</v>
      </c>
      <c r="J62" s="61">
        <f t="shared" si="2"/>
        <v>0.45970219346750901</v>
      </c>
      <c r="K62" s="54">
        <f t="shared" si="3"/>
        <v>202071488.530604</v>
      </c>
      <c r="L62" s="54">
        <f t="shared" si="3"/>
        <v>41228491.900471807</v>
      </c>
      <c r="M62" s="54">
        <f t="shared" si="3"/>
        <v>243299980.43107581</v>
      </c>
      <c r="N62" s="54">
        <f ca="1">IFERROR(M62/C3,0)</f>
        <v>27033331.159008425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501331949.98337102</v>
      </c>
      <c r="H63" s="122">
        <f t="shared" si="5"/>
        <v>149543402.51741099</v>
      </c>
      <c r="I63" s="122">
        <f t="shared" si="1"/>
        <v>650875352.50078201</v>
      </c>
      <c r="J63" s="61">
        <f t="shared" si="2"/>
        <v>0.71277416728480036</v>
      </c>
      <c r="K63" s="54">
        <f t="shared" si="3"/>
        <v>82018992.016628981</v>
      </c>
      <c r="L63" s="54">
        <f t="shared" si="3"/>
        <v>180263542.47530639</v>
      </c>
      <c r="M63" s="54">
        <f t="shared" si="3"/>
        <v>262282534.49193537</v>
      </c>
      <c r="N63" s="54">
        <f ca="1">IFERROR(M63/C3,0)</f>
        <v>29142503.832437262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161255289.11341798</v>
      </c>
      <c r="H64" s="122">
        <f t="shared" si="5"/>
        <v>95462833.522836</v>
      </c>
      <c r="I64" s="122">
        <f t="shared" si="1"/>
        <v>256718122.63625398</v>
      </c>
      <c r="J64" s="61">
        <f t="shared" si="2"/>
        <v>0.49607776888642041</v>
      </c>
      <c r="K64" s="54">
        <f t="shared" si="3"/>
        <v>98270399.886582017</v>
      </c>
      <c r="L64" s="54">
        <f t="shared" si="3"/>
        <v>162507198.38505039</v>
      </c>
      <c r="M64" s="54">
        <f t="shared" si="3"/>
        <v>260777598.2716324</v>
      </c>
      <c r="N64" s="54">
        <f ca="1">IFERROR(M64/C3,0)</f>
        <v>28975288.696848046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4052545372.7311082</v>
      </c>
      <c r="H65" s="152">
        <f>SUM(H51:H64)</f>
        <v>650392182.40203094</v>
      </c>
      <c r="I65" s="152">
        <f>SUM(I51:I64)</f>
        <v>4702937555.1331396</v>
      </c>
      <c r="J65" s="153">
        <f>IFERROR(I65/F65,0)</f>
        <v>0.56562782838969339</v>
      </c>
      <c r="K65" s="154">
        <f>SUM(K51:K64)</f>
        <v>2786733959.2688918</v>
      </c>
      <c r="L65" s="154">
        <f>SUM(L51:L64)</f>
        <v>824872641.81833065</v>
      </c>
      <c r="M65" s="154">
        <f>SUM(M51:M64)</f>
        <v>3611606601.0872226</v>
      </c>
      <c r="N65" s="154">
        <f ca="1">IFERROR(M65/C3,0)</f>
        <v>401289622.34302473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87589548.400000006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64866575.420000002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6054053.8799999999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131857656.44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10797297.199999999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491088941.98994303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127983962.62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7297297.0999999996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26756757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270041439.19995099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116419150.11999901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13464324.439999999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39740541.32</v>
      </c>
    </row>
    <row r="84" spans="2:9" ht="20.100000000000001" customHeight="1" x14ac:dyDescent="0.25">
      <c r="B84" s="57" t="s">
        <v>152</v>
      </c>
      <c r="C84" s="58"/>
      <c r="D84" s="129">
        <f>SUM(D70:D83)</f>
        <v>1393957545.1298928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194444846.924934</v>
      </c>
      <c r="F89" s="61">
        <f t="shared" ref="F89:F94" si="7">IFERROR(E89/D89,0)</f>
        <v>0.69927935596580748</v>
      </c>
      <c r="G89" s="125">
        <f>D89-E89</f>
        <v>83619770.979275554</v>
      </c>
      <c r="H89" s="125">
        <f ca="1">IFERROR(G89/C3,0)</f>
        <v>9291085.6643639505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281580352.837192</v>
      </c>
      <c r="F90" s="61">
        <f t="shared" si="7"/>
        <v>0.67425249833531542</v>
      </c>
      <c r="G90" s="126">
        <f>D90-E90</f>
        <v>136038200.34932959</v>
      </c>
      <c r="H90" s="126">
        <f ca="1">IFERROR(G90/C3,0)</f>
        <v>15115355.594369955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488697007.205603</v>
      </c>
      <c r="F91" s="61">
        <f t="shared" si="7"/>
        <v>0.44946105607234732</v>
      </c>
      <c r="G91" s="125">
        <f>D91-E91</f>
        <v>598598545.10792172</v>
      </c>
      <c r="H91" s="125">
        <f ca="1">IFERROR(G91/C3,0)</f>
        <v>66510949.456435747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964722206.96772897</v>
      </c>
      <c r="F94" s="43">
        <f t="shared" si="7"/>
        <v>0.54107331417044446</v>
      </c>
      <c r="G94" s="119">
        <f>SUM(G89:G93)</f>
        <v>818256516.43652689</v>
      </c>
      <c r="H94" s="119">
        <f ca="1">IFERROR(G94/C3,0)</f>
        <v>90917390.715169653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160</v>
      </c>
      <c r="C41" s="225"/>
      <c r="D41" s="226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163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165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167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182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2026-05-21T00:55:36Z</dcterms:modified>
  <dc:language>en-US</dc:language>
</cp:coreProperties>
</file>