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H51" i="7"/>
  <c r="I51" i="7" s="1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<sst xmlns="http://schemas.openxmlformats.org/spreadsheetml/2006/main" count="1873" uniqueCount="185">
  <si>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</si>
  <si>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</si>
  <si>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</si>
  <si>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</si>
  <si>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</si>
  <si>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</si>
  <si>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</si>
  <si>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</si>
  <si>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</si>
  <si>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</si>
  <si>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</si>
  <si>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</si>
  <si>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</si>
  <si>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</si>
  <si>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</si>
  <si>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</si>
  <si>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</si>
  <si>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</si>
  <si>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</si>
  <si>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</si>
  <si>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</si>
  <si>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</si>
  <si>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</si>
  <si>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</si>
  <si>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</si>
  <si>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</si>
  <si>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</si>
  <si>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</si>
  <si>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</si>
  <si>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</si>
  <si>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</si>
  <si>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</si>
  <si>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</si>
  <si>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</si>
  <si>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</si>
  <si>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</si>
  <si>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</si>
  <si>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</si>
  <si>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</si>
  <si>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</si>
  <si>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</si>
  <si>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</si>
  <si>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</si>
  <si>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</si>
  <si>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</si>
  <si>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</si>
  <si>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</si>
  <si>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</si>
  <si>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</si>
  <si>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</si>
  <si>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</si>
  <si>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</si>
  <si>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</si>
  <si>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</si>
  <si>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</si>
  <si>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</si>
  <si>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</si>
  <si>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</si>
  <si>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</si>
  <si>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</si>
  <si>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</si>
  <si>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</si>
  <si>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</si>
  <si>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</si>
  <si>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</si>
  <si>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</si>
  <si>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</si>
  <si>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</si>
  <si>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</si>
  <si>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</si>
  <si>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</si>
  <si>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</si>
  <si>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</si>
  <si>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</si>
  <si>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</si>
  <si>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</si>
  <si>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</si>
  <si>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</si>
  <si>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</si>
  <si>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</si>
  <si>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</si>
  <si>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</si>
  <si>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</si>
  <si>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</si>
  <si>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</si>
  <si>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</si>
  <si>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</si>
  <si>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</si>
  <si>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</si>
  <si>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</si>
  <si>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</si>
  <si>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</si>
  <si>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</si>
  <si>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</si>
  <si>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</si>
  <si>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</si>
  <si>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</si>
  <si>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</si>
  <si>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</si>
  <si>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</si>
  <si>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</si>
  <si>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</si>
  <si>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</si>
  <si>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</si>
  <si>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</si>
  <si>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</si>
  <si>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</si>
  <si>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</si>
  <si>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</si>
  <si>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</si>
  <si>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</si>
  <si>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</si>
  <si>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</si>
  <si>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</si>
  <si>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</si>
  <si>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</si>
  <si>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</si>
  <si>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</si>
  <si>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</si>
  <si>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</si>
  <si>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</si>
  <si>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</si>
  <si>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</si>
  <si>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</si>
  <si>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</si>
  <si>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</si>
  <si>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</si>
  <si>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</si>
  <si>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</si>
  <si>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</si>
  <si>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</si>
  <si>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</si>
  <si>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</si>
  <si>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</si>
  <si>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</si>
  <si>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</si>
  <si>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</si>
  <si>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</si>
  <si>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</si>
  <si>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</si>
  <si>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</si>
  <si>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</si>
  <si>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</si>
  <si>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</si>
  <si>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</si>
  <si>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</si>
  <si>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</si>
  <si>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</si>
  <si>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</si>
  <si>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</si>
  <si>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</si>
  <si>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</si>
  <si>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</si>
  <si>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</si>
  <si>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</si>
  <si>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</si>
  <si>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</si>
  <si>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</si>
  <si>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</si>
  <si>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</si>
  <si>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</si>
  <si>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</si>
  <si>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</si>
  <si>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</si>
  <si>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</si>
  <si>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</si>
  <si>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</si>
  <si>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</si>
  <si>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</si>
  <si>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</si>
  <si>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</si>
  <si>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</si>
  <si>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</si>
  <si>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</si>
  <si>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</si>
  <si>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</si>
  <si>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</si>
  <si>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</si>
  <si>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</si>
  <si>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</si>
  <si>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</si>
  <si>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</si>
  <si>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</si>
  <si>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</si>
  <si>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12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</si>
</sst>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65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9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17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86134461.094157994</v>
      </c>
      <c r="N8" s="11">
        <f>D24</f>
        <v>22140216.108477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187770500.990475</v>
      </c>
      <c r="N9" s="11">
        <f>D12+D13</f>
        <v>30994065.455272</v>
      </c>
    </row>
    <row r="10" spans="2:14" x14ac:dyDescent="0.25">
      <c r="B10" s="74" t="s">
        <v>113</v>
      </c>
      <c r="C10" s="205">
        <v>90330395.193459004</v>
      </c>
      <c r="D10" s="205">
        <v>8137421.2493679998</v>
      </c>
      <c r="E10" s="205">
        <v>67988214.499998003</v>
      </c>
      <c r="F10" s="205">
        <v>166456030.94282499</v>
      </c>
      <c r="H10" s="116"/>
      <c r="I10" s="116"/>
      <c r="J10" s="116"/>
      <c r="M10" s="11">
        <f>C14</f>
        <v>249048066.50765699</v>
      </c>
      <c r="N10" s="11">
        <f>D14</f>
        <v>12242861.503951</v>
      </c>
    </row>
    <row r="11" spans="2:14" x14ac:dyDescent="0.25">
      <c r="B11" s="74" t="s">
        <v>114</v>
      </c>
      <c r="C11" s="205">
        <v>127666059.844179</v>
      </c>
      <c r="D11" s="205">
        <v>40837106.988243997</v>
      </c>
      <c r="E11" s="205">
        <v>26756757</v>
      </c>
      <c r="F11" s="205">
        <v>195259923.832423</v>
      </c>
      <c r="H11" s="116"/>
      <c r="I11" s="116"/>
      <c r="J11" s="116"/>
      <c r="M11" s="11">
        <f>C17</f>
        <v>89427277.780000001</v>
      </c>
      <c r="N11" s="11">
        <f>D17</f>
        <v>7082418.9199999999</v>
      </c>
    </row>
    <row r="12" spans="2:14" x14ac:dyDescent="0.25">
      <c r="B12" s="74" t="s">
        <v>70</v>
      </c>
      <c r="C12" s="205">
        <v>93939827.095957994</v>
      </c>
      <c r="D12" s="205">
        <v>23649853.735282</v>
      </c>
      <c r="E12" s="205">
        <v>14414414</v>
      </c>
      <c r="F12" s="205">
        <v>132004094.83124</v>
      </c>
      <c r="H12" s="116"/>
      <c r="I12" s="116"/>
      <c r="J12" s="116"/>
      <c r="M12" s="11">
        <f>C16</f>
        <v>146645254.30481699</v>
      </c>
      <c r="N12" s="11">
        <f>D16</f>
        <v>27700232.589857001</v>
      </c>
    </row>
    <row r="13" spans="2:14" x14ac:dyDescent="0.25">
      <c r="B13" s="74" t="s">
        <v>115</v>
      </c>
      <c r="C13" s="205">
        <v>93830673.894517004</v>
      </c>
      <c r="D13" s="205">
        <v>7344211.7199900001</v>
      </c>
      <c r="E13" s="205">
        <v>13628828.68</v>
      </c>
      <c r="F13" s="205">
        <v>114803714.294507</v>
      </c>
      <c r="H13" s="116"/>
      <c r="I13" s="116"/>
      <c r="J13" s="116"/>
      <c r="M13" s="11">
        <f>C19</f>
        <v>319031714.35037303</v>
      </c>
      <c r="N13" s="11">
        <f>D19</f>
        <v>24841130.359965999</v>
      </c>
    </row>
    <row r="14" spans="2:14" x14ac:dyDescent="0.25">
      <c r="B14" s="74" t="s">
        <v>116</v>
      </c>
      <c r="C14" s="205">
        <v>249048066.50765699</v>
      </c>
      <c r="D14" s="205">
        <v>12242861.503951</v>
      </c>
      <c r="E14" s="205">
        <v>33718918.590000004</v>
      </c>
      <c r="F14" s="205">
        <v>255109846.60160801</v>
      </c>
      <c r="H14" s="116"/>
      <c r="I14" s="116"/>
      <c r="J14" s="116"/>
      <c r="M14" s="11">
        <f>C25</f>
        <v>168120864.63430399</v>
      </c>
      <c r="N14" s="11">
        <f>D25</f>
        <v>30287594.56986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127666059.844179</v>
      </c>
      <c r="N15" s="11">
        <f>D11</f>
        <v>40837106.988243997</v>
      </c>
    </row>
    <row r="16" spans="2:14" x14ac:dyDescent="0.25">
      <c r="B16" s="74" t="s">
        <v>74</v>
      </c>
      <c r="C16" s="205">
        <v>146645254.30481699</v>
      </c>
      <c r="D16" s="205">
        <v>27700232.589857001</v>
      </c>
      <c r="E16" s="205">
        <v>7175675.5999999996</v>
      </c>
      <c r="F16" s="205">
        <v>181521162.494674</v>
      </c>
      <c r="H16" s="116"/>
      <c r="I16" s="116"/>
      <c r="J16" s="116"/>
      <c r="M16" s="11">
        <f>C26</f>
        <v>153920681.22660801</v>
      </c>
      <c r="N16" s="11">
        <f>D26</f>
        <v>26441026.139972001</v>
      </c>
    </row>
    <row r="17" spans="2:14" x14ac:dyDescent="0.25">
      <c r="B17" s="74" t="s">
        <v>118</v>
      </c>
      <c r="C17" s="205">
        <v>89427277.780000001</v>
      </c>
      <c r="D17" s="205">
        <v>7082418.9199999999</v>
      </c>
      <c r="E17" s="205" t="s">
        <v>169</v>
      </c>
      <c r="F17" s="205">
        <v>96509696.700000003</v>
      </c>
      <c r="H17" s="116"/>
      <c r="I17" s="116"/>
      <c r="J17" s="116"/>
      <c r="M17" s="11">
        <f>C10</f>
        <v>90330395.193459004</v>
      </c>
      <c r="N17" s="11">
        <f>D10</f>
        <v>8137421.2493679998</v>
      </c>
    </row>
    <row r="18" spans="2:14" x14ac:dyDescent="0.25">
      <c r="B18" s="74" t="s">
        <v>119</v>
      </c>
      <c r="C18" s="205">
        <v>478548075.04396403</v>
      </c>
      <c r="D18" s="205">
        <v>5313981.1899769995</v>
      </c>
      <c r="E18" s="205">
        <v>4043243.2</v>
      </c>
      <c r="F18" s="205">
        <v>487905299.43394101</v>
      </c>
      <c r="H18" s="116"/>
      <c r="I18" s="116"/>
      <c r="J18" s="116"/>
      <c r="M18" s="11">
        <f>C27</f>
        <v>253962994.37583601</v>
      </c>
      <c r="N18" s="11">
        <f>D27</f>
        <v>112968670.74834301</v>
      </c>
    </row>
    <row r="19" spans="2:14" x14ac:dyDescent="0.25">
      <c r="B19" s="74" t="s">
        <v>121</v>
      </c>
      <c r="C19" s="205">
        <v>319031714.35037303</v>
      </c>
      <c r="D19" s="205">
        <v>24841130.359965999</v>
      </c>
      <c r="E19" s="205">
        <v>338000021.619968</v>
      </c>
      <c r="F19" s="205">
        <v>681872866.33030701</v>
      </c>
      <c r="H19" s="116"/>
      <c r="I19" s="116"/>
      <c r="J19" s="116"/>
      <c r="M19" s="11">
        <f>C20+C21</f>
        <v>99455498.264208004</v>
      </c>
      <c r="N19" s="11">
        <f>D20+D21</f>
        <v>66649448.201086998</v>
      </c>
    </row>
    <row r="20" spans="2:14" x14ac:dyDescent="0.25">
      <c r="B20" s="74" t="s">
        <v>123</v>
      </c>
      <c r="C20" s="205">
        <v>75798478.264208004</v>
      </c>
      <c r="D20" s="205">
        <v>16789142.409896001</v>
      </c>
      <c r="E20" s="205" t="s">
        <v>169</v>
      </c>
      <c r="F20" s="205">
        <v>92587620.674104005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23657020</v>
      </c>
      <c r="D21" s="205">
        <v>49860305.791190997</v>
      </c>
      <c r="E21" s="205">
        <v>24237838.32</v>
      </c>
      <c r="F21" s="205">
        <v>97755164.111191005</v>
      </c>
      <c r="H21" s="116"/>
      <c r="I21" s="116"/>
      <c r="J21" s="116"/>
      <c r="M21" s="14">
        <f>IFERROR(C34,0)+IFERROR(C35,0)+M20</f>
        <v>263561198.787453</v>
      </c>
      <c r="N21" s="10" t="s">
        <v>122</v>
      </c>
    </row>
    <row r="22" spans="2:14" x14ac:dyDescent="0.25">
      <c r="B22" s="74" t="s">
        <v>173</v>
      </c>
      <c r="C22" s="205">
        <v>26153399.100000001</v>
      </c>
      <c r="D22" s="205" t="s">
        <v>169</v>
      </c>
      <c r="E22" s="205">
        <v>4036035.92</v>
      </c>
      <c r="F22" s="205">
        <v>30189435.02</v>
      </c>
      <c r="H22" s="116"/>
      <c r="I22" s="116"/>
      <c r="J22" s="116"/>
    </row>
    <row r="23" spans="2:14" x14ac:dyDescent="0.25">
      <c r="B23" s="74" t="s">
        <v>174</v>
      </c>
      <c r="C23" s="205">
        <v>93771608.249974996</v>
      </c>
      <c r="D23" s="205" t="s">
        <v>169</v>
      </c>
      <c r="E23" s="205">
        <v>3207207.12</v>
      </c>
      <c r="F23" s="205">
        <v>96978815.369975001</v>
      </c>
      <c r="H23" s="116"/>
      <c r="I23" s="116"/>
      <c r="J23" s="116"/>
    </row>
    <row r="24" spans="2:14" x14ac:dyDescent="0.25">
      <c r="B24" s="74" t="s">
        <v>125</v>
      </c>
      <c r="C24" s="205">
        <v>86134461.094157994</v>
      </c>
      <c r="D24" s="205">
        <v>22140216.108477</v>
      </c>
      <c r="E24" s="205">
        <v>45358738.119999997</v>
      </c>
      <c r="F24" s="205">
        <v>153633415.32263499</v>
      </c>
      <c r="H24" s="116"/>
      <c r="I24" s="116"/>
      <c r="J24" s="116"/>
    </row>
    <row r="25" spans="2:14" x14ac:dyDescent="0.25">
      <c r="B25" s="74" t="s">
        <v>126</v>
      </c>
      <c r="C25" s="205">
        <v>168120864.63430399</v>
      </c>
      <c r="D25" s="205">
        <v>30287594.56986</v>
      </c>
      <c r="E25" s="205">
        <v>72822521.819999993</v>
      </c>
      <c r="F25" s="205">
        <v>271230981.02416402</v>
      </c>
      <c r="H25" s="116"/>
      <c r="I25" s="116"/>
      <c r="J25" s="116"/>
    </row>
    <row r="26" spans="2:14" x14ac:dyDescent="0.25">
      <c r="B26" s="74" t="s">
        <v>127</v>
      </c>
      <c r="C26" s="205">
        <v>153920681.22660801</v>
      </c>
      <c r="D26" s="205">
        <v>26441026.139972001</v>
      </c>
      <c r="E26" s="205">
        <v>124450449.88998</v>
      </c>
      <c r="F26" s="205">
        <v>304812157.25656003</v>
      </c>
      <c r="H26" s="116"/>
      <c r="I26" s="116"/>
      <c r="J26" s="116"/>
    </row>
    <row r="27" spans="2:14" x14ac:dyDescent="0.25">
      <c r="B27" s="74" t="s">
        <v>128</v>
      </c>
      <c r="C27" s="205">
        <v>253962994.37583601</v>
      </c>
      <c r="D27" s="205">
        <v>112968670.74834301</v>
      </c>
      <c r="E27" s="205">
        <v>4259459.54</v>
      </c>
      <c r="F27" s="205">
        <v>371191124.66417903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119496802.195455</v>
      </c>
      <c r="G32" s="116"/>
      <c r="H32" s="116"/>
      <c r="I32" s="116"/>
    </row>
    <row r="33" spans="2:14" x14ac:dyDescent="0.25">
      <c r="B33" s="84" t="s">
        <v>133</v>
      </c>
      <c r="C33" s="205">
        <v>135847296.89607501</v>
      </c>
      <c r="G33" s="116"/>
      <c r="H33" s="116"/>
      <c r="I33" s="116"/>
    </row>
    <row r="34" spans="2:14" x14ac:dyDescent="0.25">
      <c r="B34" s="84" t="s">
        <v>134</v>
      </c>
      <c r="C34" s="205">
        <v>126972770.68896399</v>
      </c>
      <c r="G34" s="116"/>
      <c r="H34" s="116"/>
      <c r="I34" s="116"/>
    </row>
    <row r="35" spans="2:14" x14ac:dyDescent="0.25">
      <c r="B35" s="84" t="s">
        <v>135</v>
      </c>
      <c r="C35" s="205">
        <v>136588428.09848899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8" t="s">
        <v>184</v>
      </c>
      <c r="C41" s="239"/>
      <c r="D41" s="240"/>
      <c r="E41" s="67" t="s">
        <v>138</v>
      </c>
      <c r="F41" s="73">
        <f ca="1">IF(MONTH(TODAY())=5,DAY(TODAY())/DAY(EOMONTH(TODAY(),0)),IF(MONTH(TODAY())&gt;5,1,0))</f>
        <v>0.38709677419354838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2091438775.9160492</v>
      </c>
      <c r="F43" s="44">
        <f>IFERROR(E43/D43,0)</f>
        <v>0.30579812205220358</v>
      </c>
      <c r="G43" s="118">
        <f>D43-E43</f>
        <v>4747840556.083951</v>
      </c>
      <c r="H43" s="118">
        <f ca="1">IFERROR(G43/C3,0)</f>
        <v>279284738.59317356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410322192.83439702</v>
      </c>
      <c r="F44" s="44">
        <f>IFERROR(E44/D44,0)</f>
        <v>0.2781346007156657</v>
      </c>
      <c r="G44" s="118">
        <f>D44-E44</f>
        <v>1064942631.3859646</v>
      </c>
      <c r="H44" s="118">
        <f ca="1">IFERROR(G44/C3,0)</f>
        <v>62643684.199174389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518905297.87898302</v>
      </c>
      <c r="F45" s="44">
        <f>IFERROR(E45/D45,0)</f>
        <v>0.29103280429966821</v>
      </c>
      <c r="G45" s="118">
        <f>D45-E45</f>
        <v>1264073425.5252728</v>
      </c>
      <c r="H45" s="118">
        <f ca="1">IFERROR(G45/C3,0)</f>
        <v>74357260.325016052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3020666266.6294293</v>
      </c>
      <c r="F46" s="43">
        <f>IFERROR(E46/D46,0)</f>
        <v>0.29914923715842318</v>
      </c>
      <c r="G46" s="119">
        <f>G43+G44+G45</f>
        <v>7076856612.9951878</v>
      </c>
      <c r="H46" s="119">
        <f ca="1">IFERROR(G46/C3,0)</f>
        <v>416285683.11736399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86134461.094157994</v>
      </c>
      <c r="H51" s="122">
        <f>N8</f>
        <v>22140216.108477</v>
      </c>
      <c r="I51" s="122">
        <f t="shared" ref="I51:I64" si="1">G51+H51</f>
        <v>108274677.20263499</v>
      </c>
      <c r="J51" s="61">
        <f t="shared" ref="J51:J64" si="2">IFERROR(I51/F51,0)</f>
        <v>0.2232679886521125</v>
      </c>
      <c r="K51" s="51">
        <f t="shared" ref="K51:M64" si="3">D51-G51</f>
        <v>330549016.90584201</v>
      </c>
      <c r="L51" s="51">
        <f t="shared" si="3"/>
        <v>46130185.112177312</v>
      </c>
      <c r="M51" s="51">
        <f t="shared" si="3"/>
        <v>376679202.01801932</v>
      </c>
      <c r="N51" s="51">
        <f ca="1">IFERROR(M51/C3,0)</f>
        <v>22157600.11870702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187770500.990475</v>
      </c>
      <c r="H52" s="122">
        <f>N9</f>
        <v>30994065.455272</v>
      </c>
      <c r="I52" s="122">
        <f t="shared" si="1"/>
        <v>218764566.44574699</v>
      </c>
      <c r="J52" s="61">
        <f t="shared" si="2"/>
        <v>0.2929637405757205</v>
      </c>
      <c r="K52" s="54">
        <f t="shared" si="3"/>
        <v>367411870.009525</v>
      </c>
      <c r="L52" s="54">
        <f t="shared" si="3"/>
        <v>160552718.54472801</v>
      </c>
      <c r="M52" s="54">
        <f t="shared" si="3"/>
        <v>527964588.55425298</v>
      </c>
      <c r="N52" s="54">
        <f ca="1">IFERROR(M52/C3,0)</f>
        <v>31056740.503191352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26153399.100000001</v>
      </c>
      <c r="H53" s="122">
        <f>IF(D22="",0,D22)</f>
        <v>0</v>
      </c>
      <c r="I53" s="122">
        <f>G53+H53</f>
        <v>26153399.100000001</v>
      </c>
      <c r="J53" s="61">
        <f>IFERROR(I53/F53,0)</f>
        <v>0.10830763718325956</v>
      </c>
      <c r="K53" s="54">
        <f>D53-G53</f>
        <v>215319868.90000001</v>
      </c>
      <c r="L53" s="54">
        <f>E53-H53</f>
        <v>0</v>
      </c>
      <c r="M53" s="54">
        <f>F53-I53</f>
        <v>215319868.90000001</v>
      </c>
      <c r="N53" s="54">
        <f ca="1">IFERROR(M53/C3,0)</f>
        <v>12665874.641176471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249048066.50765699</v>
      </c>
      <c r="H54" s="122">
        <f t="shared" ref="H54:H58" si="4">N10</f>
        <v>12242861.503951</v>
      </c>
      <c r="I54" s="122">
        <f t="shared" si="1"/>
        <v>261290928.011608</v>
      </c>
      <c r="J54" s="61">
        <f t="shared" si="2"/>
        <v>0.39734366383883268</v>
      </c>
      <c r="K54" s="54">
        <f>D54-G54</f>
        <v>361664405.49234301</v>
      </c>
      <c r="L54" s="54">
        <f t="shared" si="3"/>
        <v>34638965.313383892</v>
      </c>
      <c r="M54" s="54">
        <f t="shared" si="3"/>
        <v>396303370.80572689</v>
      </c>
      <c r="N54" s="54">
        <f ca="1">IFERROR(M54/C3,0)</f>
        <v>23311962.988572169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89427277.780000001</v>
      </c>
      <c r="H55" s="122">
        <f t="shared" si="4"/>
        <v>7082418.9199999999</v>
      </c>
      <c r="I55" s="122">
        <f t="shared" si="1"/>
        <v>96509696.700000003</v>
      </c>
      <c r="J55" s="61">
        <f t="shared" si="2"/>
        <v>0.19779309039795853</v>
      </c>
      <c r="K55" s="54">
        <f t="shared" si="3"/>
        <v>315636006.22000003</v>
      </c>
      <c r="L55" s="54">
        <f t="shared" si="3"/>
        <v>75786896.271524146</v>
      </c>
      <c r="M55" s="54">
        <f t="shared" si="3"/>
        <v>391422902.49152416</v>
      </c>
      <c r="N55" s="54">
        <f ca="1">IFERROR(M55/C3,0)</f>
        <v>23024876.617148481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146645254.30481699</v>
      </c>
      <c r="H56" s="122">
        <f t="shared" si="4"/>
        <v>27700232.589857001</v>
      </c>
      <c r="I56" s="122">
        <f t="shared" si="1"/>
        <v>174345486.894674</v>
      </c>
      <c r="J56" s="61">
        <f t="shared" si="2"/>
        <v>0.31404648024823661</v>
      </c>
      <c r="K56" s="54">
        <f t="shared" si="3"/>
        <v>327273577.69518304</v>
      </c>
      <c r="L56" s="54">
        <f t="shared" si="3"/>
        <v>53539161.532796606</v>
      </c>
      <c r="M56" s="54">
        <f t="shared" si="3"/>
        <v>380812739.2279796</v>
      </c>
      <c r="N56" s="54">
        <f ca="1">IFERROR(M56/C3,0)</f>
        <v>22400749.366351742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319031714.35037303</v>
      </c>
      <c r="H57" s="122">
        <f t="shared" si="4"/>
        <v>24841130.359965999</v>
      </c>
      <c r="I57" s="122">
        <f t="shared" si="1"/>
        <v>343872844.71033901</v>
      </c>
      <c r="J57" s="61">
        <f t="shared" si="2"/>
        <v>0.32635201001954417</v>
      </c>
      <c r="K57" s="54">
        <f t="shared" si="3"/>
        <v>642726630.64962697</v>
      </c>
      <c r="L57" s="54">
        <f t="shared" si="3"/>
        <v>67087445.979190394</v>
      </c>
      <c r="M57" s="54">
        <f t="shared" si="3"/>
        <v>709814076.62881732</v>
      </c>
      <c r="N57" s="54">
        <f ca="1">IFERROR(M57/C3,0)</f>
        <v>41753769.213459842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168120864.63430399</v>
      </c>
      <c r="H58" s="122">
        <f t="shared" si="4"/>
        <v>30287594.56986</v>
      </c>
      <c r="I58" s="122">
        <f>G58+H58</f>
        <v>198408459.204164</v>
      </c>
      <c r="J58" s="61">
        <f>IFERROR(I58/F58,0)</f>
        <v>0.34865481414696492</v>
      </c>
      <c r="K58" s="54">
        <f t="shared" si="3"/>
        <v>337166194.36569601</v>
      </c>
      <c r="L58" s="54">
        <f t="shared" si="3"/>
        <v>33493809.43014</v>
      </c>
      <c r="M58" s="54">
        <f t="shared" si="3"/>
        <v>370660003.79583597</v>
      </c>
      <c r="N58" s="54">
        <f ca="1">IFERROR(M58/C3,0)</f>
        <v>21803529.635049175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93771608.249974996</v>
      </c>
      <c r="H59" s="122">
        <f>IF(D23="",0,D23)</f>
        <v>0</v>
      </c>
      <c r="I59" s="122">
        <f>G59+H59</f>
        <v>93771608.249974996</v>
      </c>
      <c r="J59" s="61">
        <f>IFERROR(I59/F59,0)</f>
        <v>0.23203117335450429</v>
      </c>
      <c r="K59" s="54">
        <f>D59-G59</f>
        <v>310362055.75002503</v>
      </c>
      <c r="L59" s="54">
        <f>E59-H59</f>
        <v>0</v>
      </c>
      <c r="M59" s="54">
        <f>F59-I59</f>
        <v>310362055.75002503</v>
      </c>
      <c r="N59" s="54">
        <f ca="1">IFERROR(M59/C3,0)</f>
        <v>18256591.514707357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127666059.844179</v>
      </c>
      <c r="H60" s="122">
        <f t="shared" ref="H60:H64" si="5">N15</f>
        <v>40837106.988243997</v>
      </c>
      <c r="I60" s="122">
        <f t="shared" si="1"/>
        <v>168503166.832423</v>
      </c>
      <c r="J60" s="61">
        <f t="shared" si="2"/>
        <v>0.31061539416965711</v>
      </c>
      <c r="K60" s="54">
        <f t="shared" si="3"/>
        <v>276351249.15582097</v>
      </c>
      <c r="L60" s="54">
        <f t="shared" si="3"/>
        <v>97627283.229751408</v>
      </c>
      <c r="M60" s="54">
        <f t="shared" si="3"/>
        <v>373978532.38557243</v>
      </c>
      <c r="N60" s="54">
        <f ca="1">IFERROR(M60/C3,0)</f>
        <v>21998737.199151319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153920681.22660801</v>
      </c>
      <c r="H61" s="122">
        <f t="shared" si="5"/>
        <v>26441026.139972001</v>
      </c>
      <c r="I61" s="122">
        <f t="shared" si="1"/>
        <v>180361707.36658001</v>
      </c>
      <c r="J61" s="61">
        <f t="shared" si="2"/>
        <v>0.26125323340844042</v>
      </c>
      <c r="K61" s="54">
        <f t="shared" si="3"/>
        <v>477708914.77339196</v>
      </c>
      <c r="L61" s="54">
        <f t="shared" si="3"/>
        <v>32300574.470653266</v>
      </c>
      <c r="M61" s="54">
        <f t="shared" si="3"/>
        <v>510009489.24404526</v>
      </c>
      <c r="N61" s="54">
        <f ca="1">IFERROR(M61/C3,0)</f>
        <v>30000558.190826192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90330395.193459004</v>
      </c>
      <c r="H62" s="122">
        <f t="shared" si="5"/>
        <v>8137421.2493679998</v>
      </c>
      <c r="I62" s="122">
        <f t="shared" si="1"/>
        <v>98467816.442827001</v>
      </c>
      <c r="J62" s="61">
        <f t="shared" si="2"/>
        <v>0.21866810323552369</v>
      </c>
      <c r="K62" s="54">
        <f t="shared" si="3"/>
        <v>296212627.80654097</v>
      </c>
      <c r="L62" s="54">
        <f t="shared" si="3"/>
        <v>55626733.55044581</v>
      </c>
      <c r="M62" s="54">
        <f t="shared" si="3"/>
        <v>351839361.35698682</v>
      </c>
      <c r="N62" s="54">
        <f ca="1">IFERROR(M62/C3,0)</f>
        <v>20696433.020999223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253962994.37583601</v>
      </c>
      <c r="H63" s="122">
        <f t="shared" si="5"/>
        <v>112968670.74834301</v>
      </c>
      <c r="I63" s="122">
        <f t="shared" si="1"/>
        <v>366931665.12417901</v>
      </c>
      <c r="J63" s="61">
        <f t="shared" si="2"/>
        <v>0.40182718711721027</v>
      </c>
      <c r="K63" s="54">
        <f t="shared" si="3"/>
        <v>329387947.62416399</v>
      </c>
      <c r="L63" s="54">
        <f t="shared" si="3"/>
        <v>216838274.24437439</v>
      </c>
      <c r="M63" s="54">
        <f t="shared" si="3"/>
        <v>546226221.86853838</v>
      </c>
      <c r="N63" s="54">
        <f ca="1">IFERROR(M63/C3,0)</f>
        <v>32130954.227561083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99455498.264208004</v>
      </c>
      <c r="H64" s="122">
        <f t="shared" si="5"/>
        <v>66649448.201086998</v>
      </c>
      <c r="I64" s="122">
        <f t="shared" si="1"/>
        <v>166104946.46529502</v>
      </c>
      <c r="J64" s="61">
        <f t="shared" si="2"/>
        <v>0.3209783960607116</v>
      </c>
      <c r="K64" s="54">
        <f t="shared" si="3"/>
        <v>160070190.73579198</v>
      </c>
      <c r="L64" s="54">
        <f t="shared" si="3"/>
        <v>191320583.70679939</v>
      </c>
      <c r="M64" s="54">
        <f t="shared" si="3"/>
        <v>351390774.44259137</v>
      </c>
      <c r="N64" s="54">
        <f ca="1">IFERROR(M64/C3,0)</f>
        <v>20670045.55544655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2091438775.9160492</v>
      </c>
      <c r="H65" s="152">
        <f>SUM(H51:H64)</f>
        <v>410322192.83439702</v>
      </c>
      <c r="I65" s="152">
        <f>SUM(I51:I64)</f>
        <v>2501760968.7504458</v>
      </c>
      <c r="J65" s="153">
        <f>IFERROR(I65/F65,0)</f>
        <v>0.30088973270757152</v>
      </c>
      <c r="K65" s="154">
        <f>SUM(K51:K64)</f>
        <v>4747840556.083951</v>
      </c>
      <c r="L65" s="154">
        <f>SUM(L51:L64)</f>
        <v>1064942631.3859646</v>
      </c>
      <c r="M65" s="154">
        <f>SUM(M51:M64)</f>
        <v>5812783187.4699163</v>
      </c>
      <c r="N65" s="154">
        <f ca="1">IFERROR(M65/C3,0)</f>
        <v>341928422.79234803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45358738.119999997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28043242.68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4036035.92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33718918.590000004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7175675.5999999996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338000021.619968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72822521.819999993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3207207.12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26756757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124450449.88998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67988214.499998003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4259459.54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24237838.32</v>
      </c>
    </row>
    <row r="84" spans="2:9" ht="20.100000000000001" customHeight="1" x14ac:dyDescent="0.25">
      <c r="B84" s="57" t="s">
        <v>152</v>
      </c>
      <c r="C84" s="58"/>
      <c r="D84" s="129">
        <f>SUM(D70:D83)</f>
        <v>780055080.71994603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119496802.195455</v>
      </c>
      <c r="F89" s="61">
        <f t="shared" ref="F89:F94" si="7">IFERROR(E89/D89,0)</f>
        <v>0.42974472299320166</v>
      </c>
      <c r="G89" s="125">
        <f>D89-E89</f>
        <v>158567815.70875454</v>
      </c>
      <c r="H89" s="125">
        <f ca="1">IFERROR(G89/C3,0)</f>
        <v>9327518.5711032078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135847296.89607501</v>
      </c>
      <c r="F90" s="61">
        <f t="shared" si="7"/>
        <v>0.32529037768923386</v>
      </c>
      <c r="G90" s="126">
        <f>D90-E90</f>
        <v>281771256.29044658</v>
      </c>
      <c r="H90" s="126">
        <f ca="1">IFERROR(G90/C3,0)</f>
        <v>16574779.781790975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263561198.787453</v>
      </c>
      <c r="F91" s="61">
        <f t="shared" si="7"/>
        <v>0.24240069613699144</v>
      </c>
      <c r="G91" s="125">
        <f>D91-E91</f>
        <v>823734353.52607179</v>
      </c>
      <c r="H91" s="125">
        <f ca="1">IFERROR(G91/C3,0)</f>
        <v>48454961.972121872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518905297.87898302</v>
      </c>
      <c r="F94" s="43">
        <f t="shared" si="7"/>
        <v>0.29103280429966821</v>
      </c>
      <c r="G94" s="119">
        <f>SUM(G89:G93)</f>
        <v>1264073425.5252728</v>
      </c>
      <c r="H94" s="119">
        <f ca="1">IFERROR(G94/C3,0)</f>
        <v>74357260.325016052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2026-05-12T00:55:44Z</dcterms:modified>
  <dc:language>en-US</dc:language>
</cp:coreProperties>
</file>