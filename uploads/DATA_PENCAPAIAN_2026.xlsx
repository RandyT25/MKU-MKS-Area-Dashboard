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1" i="7" l="1"/>
  <c r="H51" i="7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M8" i="7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<sst xmlns="http://schemas.openxmlformats.org/spreadsheetml/2006/main" count="1873" uniqueCount="185">
  <si>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</si>
  <si>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</si>
  <si>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</si>
  <si>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</si>
  <si>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</si>
  <si>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</si>
  <si>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</si>
  <si>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</si>
  <si>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</si>
  <si>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</si>
  <si>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</si>
  <si>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</si>
  <si>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</si>
  <si>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</si>
  <si>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</si>
  <si>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</si>
  <si>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</si>
  <si>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</si>
  <si>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</si>
  <si>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</si>
  <si>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</si>
  <si>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</si>
  <si>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</si>
  <si>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</si>
  <si>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</si>
  <si>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</si>
  <si>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</si>
  <si>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</si>
  <si>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</si>
  <si>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</si>
  <si>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</si>
  <si>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</si>
  <si>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</si>
  <si>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</si>
  <si>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</si>
  <si>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</si>
  <si>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</si>
  <si>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</si>
  <si>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</si>
  <si>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</si>
  <si>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</si>
  <si>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</si>
  <si>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</si>
  <si>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</si>
  <si>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</si>
  <si>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</si>
  <si>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</si>
  <si>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</si>
  <si>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</si>
  <si>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</si>
  <si>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</si>
  <si>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</si>
  <si>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</si>
  <si>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</si>
  <si>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</si>
  <si>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</si>
  <si>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</si>
  <si>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</si>
  <si>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</si>
  <si>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</si>
  <si>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</si>
  <si>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</si>
  <si>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</si>
  <si>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</si>
  <si>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</si>
  <si>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</si>
  <si>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</si>
  <si>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</si>
  <si>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</si>
  <si>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</si>
  <si>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</si>
  <si>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</si>
  <si>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</si>
  <si>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</si>
  <si>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</si>
  <si>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</si>
  <si>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</si>
  <si>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</si>
  <si>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</si>
  <si>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</si>
  <si>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</si>
  <si>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</si>
  <si>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</si>
  <si>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</si>
  <si>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</si>
  <si>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</si>
  <si>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</si>
  <si>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</si>
  <si>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</si>
  <si>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</si>
  <si>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</si>
  <si>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</si>
  <si>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</si>
  <si>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</si>
  <si>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</si>
  <si>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</si>
  <si>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</si>
  <si>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</si>
  <si>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</si>
  <si>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</si>
  <si>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</si>
  <si>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</si>
  <si>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</si>
  <si>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</si>
  <si>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</si>
  <si>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</si>
  <si>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</si>
  <si>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</si>
  <si>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</si>
  <si>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</si>
  <si>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</si>
  <si>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</si>
  <si>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</si>
  <si>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</si>
  <si>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</si>
  <si>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</si>
  <si>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</si>
  <si>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</si>
  <si>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</si>
  <si>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</si>
  <si>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</si>
  <si>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</si>
  <si>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</si>
  <si>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</si>
  <si>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</si>
  <si>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</si>
  <si>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</si>
  <si>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</si>
  <si>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</si>
  <si>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</si>
  <si>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</si>
  <si>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</si>
  <si>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</si>
  <si>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</si>
  <si>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</si>
  <si>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</si>
  <si>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</si>
  <si>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</si>
  <si>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</si>
  <si>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</si>
  <si>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</si>
  <si>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</si>
  <si>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</si>
  <si>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</si>
  <si>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</si>
  <si>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</si>
  <si>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</si>
  <si>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</si>
  <si>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</si>
  <si>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</si>
  <si>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</si>
  <si>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</si>
  <si>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</si>
  <si>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</si>
  <si>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</si>
  <si>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</si>
  <si>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</si>
  <si>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</si>
  <si>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</si>
  <si>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</si>
  <si>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</si>
  <si>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</si>
  <si>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</si>
  <si>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</si>
  <si>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</si>
  <si>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</si>
  <si>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</si>
  <si>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</si>
  <si>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</si>
  <si>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</si>
  <si>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</si>
  <si>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</si>
  <si>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</si>
  <si>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</si>
  <si>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</si>
  <si>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</si>
  <si>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</si>
  <si>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</si>
  <si>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</si>
  <si>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</si>
  <si>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</si>
  <si>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</si>
  <si>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</si>
  <si>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</si>
  <si>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16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</si>
</sst>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134348003.330715</v>
      </c>
      <c r="N8" s="11">
        <f>D24</f>
        <v>25779936.818475999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251681746.503654</v>
      </c>
      <c r="N9" s="11">
        <f>D12+D13</f>
        <v>41525501.324712999</v>
      </c>
    </row>
    <row r="10" spans="2:14" x14ac:dyDescent="0.25">
      <c r="B10" s="74" t="s">
        <v>113</v>
      </c>
      <c r="C10" s="205">
        <v>145092012.90901601</v>
      </c>
      <c r="D10" s="205">
        <v>14830325.769368</v>
      </c>
      <c r="E10" s="205">
        <v>95356988.479999006</v>
      </c>
      <c r="F10" s="205">
        <v>255279327.15838301</v>
      </c>
      <c r="H10" s="116"/>
      <c r="I10" s="116"/>
      <c r="J10" s="116"/>
      <c r="M10" s="11">
        <f>C14</f>
        <v>338619113.79265201</v>
      </c>
      <c r="N10" s="11">
        <f>D14</f>
        <v>15757834.473927001</v>
      </c>
    </row>
    <row r="11" spans="2:14" x14ac:dyDescent="0.25">
      <c r="B11" s="74" t="s">
        <v>114</v>
      </c>
      <c r="C11" s="205">
        <v>188078180.53449199</v>
      </c>
      <c r="D11" s="205">
        <v>49132182.698238</v>
      </c>
      <c r="E11" s="205">
        <v>26756757</v>
      </c>
      <c r="F11" s="205">
        <v>263967120.23273</v>
      </c>
      <c r="H11" s="116"/>
      <c r="I11" s="116"/>
      <c r="J11" s="116"/>
      <c r="M11" s="11">
        <f>C17</f>
        <v>149485835.28</v>
      </c>
      <c r="N11" s="11">
        <f>D17</f>
        <v>18496237.719999999</v>
      </c>
    </row>
    <row r="12" spans="2:14" x14ac:dyDescent="0.25">
      <c r="B12" s="74" t="s">
        <v>70</v>
      </c>
      <c r="C12" s="205">
        <v>126560684.737938</v>
      </c>
      <c r="D12" s="205">
        <v>28730078.034777999</v>
      </c>
      <c r="E12" s="205">
        <v>18777386.960000001</v>
      </c>
      <c r="F12" s="205">
        <v>174068149.73271599</v>
      </c>
      <c r="H12" s="116"/>
      <c r="I12" s="116"/>
      <c r="J12" s="116"/>
      <c r="M12" s="11">
        <f>C16</f>
        <v>214314928.272549</v>
      </c>
      <c r="N12" s="11">
        <f>D16</f>
        <v>44241687.622334003</v>
      </c>
    </row>
    <row r="13" spans="2:14" x14ac:dyDescent="0.25">
      <c r="B13" s="74" t="s">
        <v>115</v>
      </c>
      <c r="C13" s="205">
        <v>125121061.765716</v>
      </c>
      <c r="D13" s="205">
        <v>12795423.289935</v>
      </c>
      <c r="E13" s="205">
        <v>23076576.34</v>
      </c>
      <c r="F13" s="205">
        <v>160993061.39565101</v>
      </c>
      <c r="H13" s="116"/>
      <c r="I13" s="116"/>
      <c r="J13" s="116"/>
      <c r="M13" s="11">
        <f>C19</f>
        <v>453603227.62404603</v>
      </c>
      <c r="N13" s="11">
        <f>D19</f>
        <v>37269133.359916002</v>
      </c>
    </row>
    <row r="14" spans="2:14" x14ac:dyDescent="0.25">
      <c r="B14" s="74" t="s">
        <v>116</v>
      </c>
      <c r="C14" s="205">
        <v>338619113.79265201</v>
      </c>
      <c r="D14" s="205">
        <v>15757834.473927001</v>
      </c>
      <c r="E14" s="205">
        <v>96950449.560000002</v>
      </c>
      <c r="F14" s="205">
        <v>451327397.82657897</v>
      </c>
      <c r="H14" s="116"/>
      <c r="I14" s="116"/>
      <c r="J14" s="116"/>
      <c r="M14" s="11">
        <f>C25</f>
        <v>223589370.84851599</v>
      </c>
      <c r="N14" s="11">
        <f>D25</f>
        <v>34375803.599858999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188078180.53449199</v>
      </c>
      <c r="N15" s="11">
        <f>D11</f>
        <v>49132182.698238</v>
      </c>
    </row>
    <row r="16" spans="2:14" x14ac:dyDescent="0.25">
      <c r="B16" s="74" t="s">
        <v>74</v>
      </c>
      <c r="C16" s="205">
        <v>214314928.272549</v>
      </c>
      <c r="D16" s="205">
        <v>44241687.622334003</v>
      </c>
      <c r="E16" s="205">
        <v>10797297.199999999</v>
      </c>
      <c r="F16" s="205">
        <v>269353913.09488302</v>
      </c>
      <c r="H16" s="116"/>
      <c r="I16" s="116"/>
      <c r="J16" s="116"/>
      <c r="M16" s="11">
        <f>C26</f>
        <v>217129583.53588799</v>
      </c>
      <c r="N16" s="11">
        <f>D26</f>
        <v>28714087.389970999</v>
      </c>
    </row>
    <row r="17" spans="2:14" x14ac:dyDescent="0.25">
      <c r="B17" s="74" t="s">
        <v>118</v>
      </c>
      <c r="C17" s="205">
        <v>149485835.28</v>
      </c>
      <c r="D17" s="205">
        <v>18496237.719999999</v>
      </c>
      <c r="E17" s="205" t="s">
        <v>169</v>
      </c>
      <c r="F17" s="205">
        <v>167982073</v>
      </c>
      <c r="H17" s="116"/>
      <c r="I17" s="116"/>
      <c r="J17" s="116"/>
      <c r="M17" s="11">
        <f>C10</f>
        <v>145092012.90901601</v>
      </c>
      <c r="N17" s="11">
        <f>D10</f>
        <v>14830325.769368</v>
      </c>
    </row>
    <row r="18" spans="2:14" x14ac:dyDescent="0.25">
      <c r="B18" s="74" t="s">
        <v>119</v>
      </c>
      <c r="C18" s="205">
        <v>556515031.47396398</v>
      </c>
      <c r="D18" s="205">
        <v>7419438.6219769996</v>
      </c>
      <c r="E18" s="205">
        <v>5091891.84</v>
      </c>
      <c r="F18" s="205">
        <v>569026361.93594098</v>
      </c>
      <c r="H18" s="116"/>
      <c r="I18" s="116"/>
      <c r="J18" s="116"/>
      <c r="M18" s="11">
        <f>C27</f>
        <v>434487058.73615497</v>
      </c>
      <c r="N18" s="11">
        <f>D27</f>
        <v>131796178.197771</v>
      </c>
    </row>
    <row r="19" spans="2:14" x14ac:dyDescent="0.25">
      <c r="B19" s="74" t="s">
        <v>121</v>
      </c>
      <c r="C19" s="205">
        <v>453603227.62404603</v>
      </c>
      <c r="D19" s="205">
        <v>37269133.359916002</v>
      </c>
      <c r="E19" s="205">
        <v>453094614.35992801</v>
      </c>
      <c r="F19" s="205">
        <v>943966975.34388995</v>
      </c>
      <c r="H19" s="116"/>
      <c r="I19" s="116"/>
      <c r="J19" s="116"/>
      <c r="M19" s="11">
        <f>C20+C21</f>
        <v>149431304.212708</v>
      </c>
      <c r="N19" s="11">
        <f>D20+D21</f>
        <v>76701860.380957007</v>
      </c>
    </row>
    <row r="20" spans="2:14" x14ac:dyDescent="0.25">
      <c r="B20" s="74" t="s">
        <v>123</v>
      </c>
      <c r="C20" s="205">
        <v>121744010.212708</v>
      </c>
      <c r="D20" s="205">
        <v>19221574.809856001</v>
      </c>
      <c r="E20" s="205" t="s">
        <v>169</v>
      </c>
      <c r="F20" s="205">
        <v>140965585.02256399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27687294</v>
      </c>
      <c r="D21" s="205">
        <v>57480285.571101002</v>
      </c>
      <c r="E21" s="205">
        <v>26313514.039999999</v>
      </c>
      <c r="F21" s="205">
        <v>111481093.611101</v>
      </c>
      <c r="H21" s="116"/>
      <c r="I21" s="116"/>
      <c r="J21" s="116"/>
      <c r="M21" s="14">
        <f>IFERROR(C34,0)+IFERROR(C35,0)+M20</f>
        <v>412626483.91474801</v>
      </c>
      <c r="N21" s="10" t="s">
        <v>122</v>
      </c>
    </row>
    <row r="22" spans="2:14" x14ac:dyDescent="0.25">
      <c r="B22" s="74" t="s">
        <v>173</v>
      </c>
      <c r="C22" s="205">
        <v>58499359.200000003</v>
      </c>
      <c r="D22" s="205" t="s">
        <v>169</v>
      </c>
      <c r="E22" s="205">
        <v>6054053.8799999999</v>
      </c>
      <c r="F22" s="205">
        <v>64553413.079999998</v>
      </c>
      <c r="H22" s="116"/>
      <c r="I22" s="116"/>
      <c r="J22" s="116"/>
    </row>
    <row r="23" spans="2:14" x14ac:dyDescent="0.25">
      <c r="B23" s="74" t="s">
        <v>174</v>
      </c>
      <c r="C23" s="205">
        <v>127633638.149975</v>
      </c>
      <c r="D23" s="205" t="s">
        <v>169</v>
      </c>
      <c r="E23" s="205">
        <v>7297297.0999999996</v>
      </c>
      <c r="F23" s="205">
        <v>134930935.249975</v>
      </c>
      <c r="H23" s="116"/>
      <c r="I23" s="116"/>
      <c r="J23" s="116"/>
    </row>
    <row r="24" spans="2:14" x14ac:dyDescent="0.25">
      <c r="B24" s="74" t="s">
        <v>125</v>
      </c>
      <c r="C24" s="205">
        <v>134348003.330715</v>
      </c>
      <c r="D24" s="205">
        <v>25779936.818475999</v>
      </c>
      <c r="E24" s="205">
        <v>55119999.140000001</v>
      </c>
      <c r="F24" s="205">
        <v>215247939.28919101</v>
      </c>
      <c r="H24" s="116"/>
      <c r="I24" s="116"/>
      <c r="J24" s="116"/>
    </row>
    <row r="25" spans="2:14" x14ac:dyDescent="0.25">
      <c r="B25" s="74" t="s">
        <v>126</v>
      </c>
      <c r="C25" s="205">
        <v>223589370.84851599</v>
      </c>
      <c r="D25" s="205">
        <v>34375803.599858999</v>
      </c>
      <c r="E25" s="205">
        <v>77012611.840000004</v>
      </c>
      <c r="F25" s="205">
        <v>334977786.28837502</v>
      </c>
      <c r="H25" s="116"/>
      <c r="I25" s="116"/>
      <c r="J25" s="116"/>
    </row>
    <row r="26" spans="2:14" x14ac:dyDescent="0.25">
      <c r="B26" s="74" t="s">
        <v>127</v>
      </c>
      <c r="C26" s="205">
        <v>217129583.53588799</v>
      </c>
      <c r="D26" s="205">
        <v>28714087.389970999</v>
      </c>
      <c r="E26" s="205">
        <v>206620358.629971</v>
      </c>
      <c r="F26" s="205">
        <v>452464029.55583</v>
      </c>
      <c r="H26" s="116"/>
      <c r="I26" s="116"/>
      <c r="J26" s="116"/>
    </row>
    <row r="27" spans="2:14" x14ac:dyDescent="0.25">
      <c r="B27" s="74" t="s">
        <v>128</v>
      </c>
      <c r="C27" s="205">
        <v>434487058.73615497</v>
      </c>
      <c r="D27" s="205">
        <v>131796178.197771</v>
      </c>
      <c r="E27" s="205">
        <v>12199459.539999999</v>
      </c>
      <c r="F27" s="205">
        <v>578482696.47392595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155621239.68527299</v>
      </c>
      <c r="G32" s="116"/>
      <c r="H32" s="116"/>
      <c r="I32" s="116"/>
    </row>
    <row r="33" spans="2:14" x14ac:dyDescent="0.25">
      <c r="B33" s="84" t="s">
        <v>133</v>
      </c>
      <c r="C33" s="205">
        <v>171066351.605681</v>
      </c>
      <c r="G33" s="116"/>
      <c r="H33" s="116"/>
      <c r="I33" s="116"/>
    </row>
    <row r="34" spans="2:14" x14ac:dyDescent="0.25">
      <c r="B34" s="84" t="s">
        <v>134</v>
      </c>
      <c r="C34" s="205">
        <v>178536978.33743301</v>
      </c>
      <c r="G34" s="116"/>
      <c r="H34" s="116"/>
      <c r="I34" s="116"/>
    </row>
    <row r="35" spans="2:14" x14ac:dyDescent="0.25">
      <c r="B35" s="84" t="s">
        <v>135</v>
      </c>
      <c r="C35" s="205">
        <v>234089505.577315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184</v>
      </c>
      <c r="C41" s="239"/>
      <c r="D41" s="240"/>
      <c r="E41" s="67" t="s">
        <v>138</v>
      </c>
      <c r="F41" s="73">
        <f ca="1">IF(MONTH(TODAY())=5,DAY(TODAY())/DAY(EOMONTH(TODAY(),0)),IF(MONTH(TODAY())&gt;5,1,0))</f>
        <v>0.5161290322580645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3085993362.9303665</v>
      </c>
      <c r="F43" s="44">
        <f>IFERROR(E43/D43,0)</f>
        <v>0.45121616081557736</v>
      </c>
      <c r="G43" s="118">
        <f>D43-E43</f>
        <v>3753285969.0696335</v>
      </c>
      <c r="H43" s="118">
        <f ca="1">IFERROR(G43/C3,0)</f>
        <v>288714305.31304872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518620769.35553002</v>
      </c>
      <c r="F44" s="44">
        <f>IFERROR(E44/D44,0)</f>
        <v>0.35154418436676771</v>
      </c>
      <c r="G44" s="118">
        <f>D44-E44</f>
        <v>956644054.86483169</v>
      </c>
      <c r="H44" s="118">
        <f ca="1">IFERROR(G44/C3,0)</f>
        <v>73588004.220371664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739314075.20570207</v>
      </c>
      <c r="F45" s="44">
        <f>IFERROR(E45/D45,0)</f>
        <v>0.41465109229914066</v>
      </c>
      <c r="G45" s="118">
        <f>D45-E45</f>
        <v>1043664648.1985538</v>
      </c>
      <c r="H45" s="118">
        <f ca="1">IFERROR(G45/C3,0)</f>
        <v>80281896.015273362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4343928207.4915981</v>
      </c>
      <c r="F46" s="43">
        <f>IFERROR(E46/D46,0)</f>
        <v>0.43019741170946335</v>
      </c>
      <c r="G46" s="119">
        <f>G43+G44+G45</f>
        <v>5753594672.1330194</v>
      </c>
      <c r="H46" s="119">
        <f ca="1">IFERROR(G46/C3,0)</f>
        <v>442584205.54869378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134348003.330715</v>
      </c>
      <c r="H51" s="122">
        <f>N8</f>
        <v>25779936.818475999</v>
      </c>
      <c r="I51" s="122">
        <f t="shared" ref="I51:I64" si="1">G51+H51</f>
        <v>160127940.14919099</v>
      </c>
      <c r="J51" s="61">
        <f t="shared" ref="J51:J64" si="2">IFERROR(I51/F51,0)</f>
        <v>0.33019210075507549</v>
      </c>
      <c r="K51" s="51">
        <f t="shared" ref="K51:M64" si="3">D51-G51</f>
        <v>282335474.669285</v>
      </c>
      <c r="L51" s="51">
        <f t="shared" si="3"/>
        <v>42490464.40217831</v>
      </c>
      <c r="M51" s="51">
        <f t="shared" si="3"/>
        <v>324825939.07146335</v>
      </c>
      <c r="N51" s="51">
        <f ca="1">IFERROR(M51/C3,0)</f>
        <v>24986610.697804872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251681746.503654</v>
      </c>
      <c r="H52" s="122">
        <f>N9</f>
        <v>41525501.324712999</v>
      </c>
      <c r="I52" s="122">
        <f t="shared" si="1"/>
        <v>293207247.82836699</v>
      </c>
      <c r="J52" s="61">
        <f t="shared" si="2"/>
        <v>0.39265541711488017</v>
      </c>
      <c r="K52" s="54">
        <f t="shared" si="3"/>
        <v>303500624.496346</v>
      </c>
      <c r="L52" s="54">
        <f t="shared" si="3"/>
        <v>150021282.67528701</v>
      </c>
      <c r="M52" s="54">
        <f t="shared" si="3"/>
        <v>453521907.17163301</v>
      </c>
      <c r="N52" s="54">
        <f ca="1">IFERROR(M52/C3,0)</f>
        <v>34886300.551664077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58499359.200000003</v>
      </c>
      <c r="H53" s="122">
        <f>IF(D22="",0,D22)</f>
        <v>0</v>
      </c>
      <c r="I53" s="122">
        <f>G53+H53</f>
        <v>58499359.200000003</v>
      </c>
      <c r="J53" s="61">
        <f>IFERROR(I53/F53,0)</f>
        <v>0.24226018757488305</v>
      </c>
      <c r="K53" s="54">
        <f>D53-G53</f>
        <v>182973908.80000001</v>
      </c>
      <c r="L53" s="54">
        <f>E53-H53</f>
        <v>0</v>
      </c>
      <c r="M53" s="54">
        <f>F53-I53</f>
        <v>182973908.80000001</v>
      </c>
      <c r="N53" s="54">
        <f ca="1">IFERROR(M53/C3,0)</f>
        <v>14074916.061538462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338619113.79265201</v>
      </c>
      <c r="H54" s="122">
        <f t="shared" ref="H54:H58" si="4">N10</f>
        <v>15757834.473927001</v>
      </c>
      <c r="I54" s="122">
        <f t="shared" si="1"/>
        <v>354376948.26657903</v>
      </c>
      <c r="J54" s="61">
        <f t="shared" si="2"/>
        <v>0.53889905813343597</v>
      </c>
      <c r="K54" s="54">
        <f>D54-G54</f>
        <v>272093358.20734799</v>
      </c>
      <c r="L54" s="54">
        <f t="shared" si="3"/>
        <v>31123992.343407892</v>
      </c>
      <c r="M54" s="54">
        <f t="shared" si="3"/>
        <v>303217350.55075586</v>
      </c>
      <c r="N54" s="54">
        <f ca="1">IFERROR(M54/C3,0)</f>
        <v>23324411.580827374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149485835.28</v>
      </c>
      <c r="H55" s="122">
        <f t="shared" si="4"/>
        <v>18496237.719999999</v>
      </c>
      <c r="I55" s="122">
        <f t="shared" si="1"/>
        <v>167982073</v>
      </c>
      <c r="J55" s="61">
        <f t="shared" si="2"/>
        <v>0.34427310919240994</v>
      </c>
      <c r="K55" s="54">
        <f t="shared" si="3"/>
        <v>255577448.72</v>
      </c>
      <c r="L55" s="54">
        <f t="shared" si="3"/>
        <v>64373077.471524149</v>
      </c>
      <c r="M55" s="54">
        <f t="shared" si="3"/>
        <v>319950526.19152415</v>
      </c>
      <c r="N55" s="54">
        <f ca="1">IFERROR(M55/C3,0)</f>
        <v>24611578.937809549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214314928.272549</v>
      </c>
      <c r="H56" s="122">
        <f t="shared" si="4"/>
        <v>44241687.622334003</v>
      </c>
      <c r="I56" s="122">
        <f t="shared" si="1"/>
        <v>258556615.89488301</v>
      </c>
      <c r="J56" s="61">
        <f t="shared" si="2"/>
        <v>0.46573499901226167</v>
      </c>
      <c r="K56" s="54">
        <f t="shared" si="3"/>
        <v>259603903.727451</v>
      </c>
      <c r="L56" s="54">
        <f t="shared" si="3"/>
        <v>36997706.5003196</v>
      </c>
      <c r="M56" s="54">
        <f t="shared" si="3"/>
        <v>296601610.22777057</v>
      </c>
      <c r="N56" s="54">
        <f ca="1">IFERROR(M56/C3,0)</f>
        <v>22815508.479059275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453603227.62404603</v>
      </c>
      <c r="H57" s="122">
        <f t="shared" si="4"/>
        <v>37269133.359916002</v>
      </c>
      <c r="I57" s="122">
        <f t="shared" si="1"/>
        <v>490872360.98396206</v>
      </c>
      <c r="J57" s="61">
        <f t="shared" si="2"/>
        <v>0.46586168153259455</v>
      </c>
      <c r="K57" s="54">
        <f t="shared" si="3"/>
        <v>508155117.37595397</v>
      </c>
      <c r="L57" s="54">
        <f t="shared" si="3"/>
        <v>54659442.979240388</v>
      </c>
      <c r="M57" s="54">
        <f t="shared" si="3"/>
        <v>562814560.35519433</v>
      </c>
      <c r="N57" s="54">
        <f ca="1">IFERROR(M57/C3,0)</f>
        <v>43293427.719630331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223589370.84851599</v>
      </c>
      <c r="H58" s="122">
        <f t="shared" si="4"/>
        <v>34375803.599858999</v>
      </c>
      <c r="I58" s="122">
        <f>G58+H58</f>
        <v>257965174.44837499</v>
      </c>
      <c r="J58" s="61">
        <f>IFERROR(I58/F58,0)</f>
        <v>0.45331131703985322</v>
      </c>
      <c r="K58" s="54">
        <f t="shared" si="3"/>
        <v>281697688.15148401</v>
      </c>
      <c r="L58" s="54">
        <f t="shared" si="3"/>
        <v>29405600.400141001</v>
      </c>
      <c r="M58" s="54">
        <f t="shared" si="3"/>
        <v>311103288.55162501</v>
      </c>
      <c r="N58" s="54">
        <f ca="1">IFERROR(M58/C3,0)</f>
        <v>23931022.196278848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127633638.149975</v>
      </c>
      <c r="H59" s="122">
        <f>IF(D23="",0,D23)</f>
        <v>0</v>
      </c>
      <c r="I59" s="122">
        <f>G59+H59</f>
        <v>127633638.149975</v>
      </c>
      <c r="J59" s="61">
        <f>IFERROR(I59/F59,0)</f>
        <v>0.31582035727163527</v>
      </c>
      <c r="K59" s="54">
        <f>D59-G59</f>
        <v>276500025.850025</v>
      </c>
      <c r="L59" s="54">
        <f>E59-H59</f>
        <v>0</v>
      </c>
      <c r="M59" s="54">
        <f>F59-I59</f>
        <v>276500025.850025</v>
      </c>
      <c r="N59" s="54">
        <f ca="1">IFERROR(M59/C3,0)</f>
        <v>21269232.757694229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188078180.53449199</v>
      </c>
      <c r="H60" s="122">
        <f t="shared" ref="H60:H64" si="5">N15</f>
        <v>49132182.698238</v>
      </c>
      <c r="I60" s="122">
        <f t="shared" si="1"/>
        <v>237210363.23272997</v>
      </c>
      <c r="J60" s="61">
        <f t="shared" si="2"/>
        <v>0.43726887667303105</v>
      </c>
      <c r="K60" s="54">
        <f t="shared" si="3"/>
        <v>215939128.46550801</v>
      </c>
      <c r="L60" s="54">
        <f t="shared" si="3"/>
        <v>89332207.519757405</v>
      </c>
      <c r="M60" s="54">
        <f t="shared" si="3"/>
        <v>305271335.98526543</v>
      </c>
      <c r="N60" s="54">
        <f ca="1">IFERROR(M60/C3,0)</f>
        <v>23482410.460405033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217129583.53588799</v>
      </c>
      <c r="H61" s="122">
        <f t="shared" si="5"/>
        <v>28714087.389970999</v>
      </c>
      <c r="I61" s="122">
        <f t="shared" si="1"/>
        <v>245843670.92585897</v>
      </c>
      <c r="J61" s="61">
        <f t="shared" si="2"/>
        <v>0.35610360358721155</v>
      </c>
      <c r="K61" s="54">
        <f t="shared" si="3"/>
        <v>414500012.46411204</v>
      </c>
      <c r="L61" s="54">
        <f t="shared" si="3"/>
        <v>30027513.220654268</v>
      </c>
      <c r="M61" s="54">
        <f t="shared" si="3"/>
        <v>444527525.68476629</v>
      </c>
      <c r="N61" s="54">
        <f ca="1">IFERROR(M61/C3,0)</f>
        <v>34194425.052674331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145092012.90901601</v>
      </c>
      <c r="H62" s="122">
        <f t="shared" si="5"/>
        <v>14830325.769368</v>
      </c>
      <c r="I62" s="122">
        <f t="shared" si="1"/>
        <v>159922338.67838401</v>
      </c>
      <c r="J62" s="61">
        <f t="shared" si="2"/>
        <v>0.35514054974597414</v>
      </c>
      <c r="K62" s="54">
        <f t="shared" si="3"/>
        <v>241451010.09098399</v>
      </c>
      <c r="L62" s="54">
        <f t="shared" si="3"/>
        <v>48933829.030445807</v>
      </c>
      <c r="M62" s="54">
        <f t="shared" si="3"/>
        <v>290384839.1214298</v>
      </c>
      <c r="N62" s="54">
        <f ca="1">IFERROR(M62/C3,0)</f>
        <v>22337295.31703306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434487058.73615497</v>
      </c>
      <c r="H63" s="122">
        <f t="shared" si="5"/>
        <v>131796178.197771</v>
      </c>
      <c r="I63" s="122">
        <f t="shared" si="1"/>
        <v>566283236.93392599</v>
      </c>
      <c r="J63" s="61">
        <f t="shared" si="2"/>
        <v>0.62013726760752619</v>
      </c>
      <c r="K63" s="54">
        <f t="shared" si="3"/>
        <v>148863883.26384503</v>
      </c>
      <c r="L63" s="54">
        <f t="shared" si="3"/>
        <v>198010766.79494637</v>
      </c>
      <c r="M63" s="54">
        <f t="shared" si="3"/>
        <v>346874650.0587914</v>
      </c>
      <c r="N63" s="54">
        <f ca="1">IFERROR(M63/C3,0)</f>
        <v>26682665.389137801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149431304.212708</v>
      </c>
      <c r="H64" s="122">
        <f t="shared" si="5"/>
        <v>76701860.380957007</v>
      </c>
      <c r="I64" s="122">
        <f t="shared" si="1"/>
        <v>226133164.593665</v>
      </c>
      <c r="J64" s="61">
        <f t="shared" si="2"/>
        <v>0.43697591198810404</v>
      </c>
      <c r="K64" s="54">
        <f t="shared" si="3"/>
        <v>110094384.787292</v>
      </c>
      <c r="L64" s="54">
        <f t="shared" si="3"/>
        <v>181268171.52692938</v>
      </c>
      <c r="M64" s="54">
        <f t="shared" si="3"/>
        <v>291362556.31422138</v>
      </c>
      <c r="N64" s="54">
        <f ca="1">IFERROR(M64/C3,0)</f>
        <v>22412504.331863184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3085993362.9303665</v>
      </c>
      <c r="H65" s="152">
        <f>SUM(H51:H64)</f>
        <v>518620769.35553002</v>
      </c>
      <c r="I65" s="152">
        <f>SUM(I51:I64)</f>
        <v>3604614132.2858958</v>
      </c>
      <c r="J65" s="153">
        <f>IFERROR(I65/F65,0)</f>
        <v>0.43353117916743211</v>
      </c>
      <c r="K65" s="154">
        <f>SUM(K51:K64)</f>
        <v>3753285969.069634</v>
      </c>
      <c r="L65" s="154">
        <f>SUM(L51:L64)</f>
        <v>956644054.86483169</v>
      </c>
      <c r="M65" s="154">
        <f>SUM(M51:M64)</f>
        <v>4709930023.9344654</v>
      </c>
      <c r="N65" s="154">
        <f ca="1">IFERROR(M65/C3,0)</f>
        <v>362302309.53342044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55119999.140000001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41853963.299999997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6054053.8799999999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96950449.560000002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453094614.35992801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77012611.840000004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7297297.0999999996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26756757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206620358.629971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95356988.479999006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12199459.539999999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26313514.039999999</v>
      </c>
    </row>
    <row r="84" spans="2:9" ht="20.100000000000001" customHeight="1" x14ac:dyDescent="0.25">
      <c r="B84" s="57" t="s">
        <v>152</v>
      </c>
      <c r="C84" s="58"/>
      <c r="D84" s="129">
        <f>SUM(D70:D83)</f>
        <v>1115427364.0698981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155621239.68527299</v>
      </c>
      <c r="F89" s="61">
        <f t="shared" ref="F89:F94" si="7">IFERROR(E89/D89,0)</f>
        <v>0.55965854576608853</v>
      </c>
      <c r="G89" s="125">
        <f>D89-E89</f>
        <v>122443378.21893656</v>
      </c>
      <c r="H89" s="125">
        <f ca="1">IFERROR(G89/C3,0)</f>
        <v>9418721.4014566578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171066351.605681</v>
      </c>
      <c r="F90" s="61">
        <f t="shared" si="7"/>
        <v>0.40962344776209542</v>
      </c>
      <c r="G90" s="126">
        <f>D90-E90</f>
        <v>246552201.58084059</v>
      </c>
      <c r="H90" s="126">
        <f ca="1">IFERROR(G90/C3,0)</f>
        <v>18965553.967756968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412626483.91474801</v>
      </c>
      <c r="F91" s="61">
        <f t="shared" si="7"/>
        <v>0.37949799669167228</v>
      </c>
      <c r="G91" s="125">
        <f>D91-E91</f>
        <v>674669068.39877677</v>
      </c>
      <c r="H91" s="125">
        <f ca="1">IFERROR(G91/C3,0)</f>
        <v>51897620.646059752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739314075.20570207</v>
      </c>
      <c r="F94" s="43">
        <f t="shared" si="7"/>
        <v>0.41465109229914066</v>
      </c>
      <c r="G94" s="119">
        <f>SUM(G89:G93)</f>
        <v>1043664648.1985539</v>
      </c>
      <c r="H94" s="119">
        <f ca="1">IFERROR(G94/C3,0)</f>
        <v>80281896.015273377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2026-05-16T00:55:36Z</dcterms:modified>
  <dc:language>en-US</dc:language>
</cp:coreProperties>
</file>