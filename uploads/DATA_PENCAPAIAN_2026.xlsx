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activeTab="6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9" i="7" l="1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F41" i="14"/>
  <c r="E3" i="14"/>
  <c r="C3" i="14"/>
  <c r="D93" i="13"/>
  <c r="D92" i="13"/>
  <c r="D91" i="13"/>
  <c r="D90" i="13"/>
  <c r="D89" i="13"/>
  <c r="D45" i="13"/>
  <c r="D44" i="13"/>
  <c r="D43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F41" i="13"/>
  <c r="E3" i="13"/>
  <c r="C3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F41" i="12"/>
  <c r="E3" i="12"/>
  <c r="C3" i="12"/>
  <c r="D93" i="11"/>
  <c r="D92" i="11"/>
  <c r="D91" i="11"/>
  <c r="D90" i="11"/>
  <c r="D89" i="1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F41" i="11"/>
  <c r="E3" i="11"/>
  <c r="C3" i="11"/>
  <c r="D93" i="10"/>
  <c r="D92" i="10"/>
  <c r="D91" i="10"/>
  <c r="D90" i="10"/>
  <c r="D89" i="10"/>
  <c r="D45" i="10"/>
  <c r="D44" i="10"/>
  <c r="D43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F41" i="10"/>
  <c r="E3" i="10"/>
  <c r="C3" i="10"/>
  <c r="D93" i="9"/>
  <c r="D92" i="9"/>
  <c r="D91" i="9"/>
  <c r="D90" i="9"/>
  <c r="D8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E3" i="9"/>
  <c r="C3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F41" i="8"/>
  <c r="E3" i="8"/>
  <c r="C3" i="8"/>
  <c r="D93" i="7"/>
  <c r="D92" i="7"/>
  <c r="D91" i="7"/>
  <c r="D90" i="7"/>
  <c r="D89" i="7"/>
  <c r="D94" i="7" s="1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65" i="7" s="1"/>
  <c r="D64" i="7"/>
  <c r="F64" i="7" s="1"/>
  <c r="D63" i="7"/>
  <c r="D62" i="7"/>
  <c r="D61" i="7"/>
  <c r="D60" i="7"/>
  <c r="D59" i="7"/>
  <c r="D58" i="7"/>
  <c r="D57" i="7"/>
  <c r="F57" i="7" s="1"/>
  <c r="D56" i="7"/>
  <c r="F56" i="7" s="1"/>
  <c r="D55" i="7"/>
  <c r="D54" i="7"/>
  <c r="D53" i="7"/>
  <c r="D52" i="7"/>
  <c r="D51" i="7"/>
  <c r="F41" i="7"/>
  <c r="E3" i="7"/>
  <c r="C3" i="7"/>
  <c r="D94" i="14"/>
  <c r="E93" i="14"/>
  <c r="F93" i="14" s="1"/>
  <c r="G92" i="14"/>
  <c r="F92" i="14"/>
  <c r="E92" i="14"/>
  <c r="G90" i="14"/>
  <c r="F90" i="14"/>
  <c r="E90" i="14"/>
  <c r="F89" i="14"/>
  <c r="E89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K59" i="14"/>
  <c r="I59" i="14"/>
  <c r="M59" i="14" s="1"/>
  <c r="H59" i="14"/>
  <c r="L59" i="14" s="1"/>
  <c r="G59" i="14"/>
  <c r="F59" i="14"/>
  <c r="H58" i="14"/>
  <c r="L58" i="14" s="1"/>
  <c r="F58" i="14"/>
  <c r="F57" i="14"/>
  <c r="F56" i="14"/>
  <c r="F55" i="14"/>
  <c r="F54" i="14"/>
  <c r="H53" i="14"/>
  <c r="L53" i="14" s="1"/>
  <c r="G53" i="14"/>
  <c r="K53" i="14" s="1"/>
  <c r="F53" i="14"/>
  <c r="F52" i="14"/>
  <c r="F51" i="14"/>
  <c r="F65" i="14" s="1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E44" i="14" s="1"/>
  <c r="M8" i="14"/>
  <c r="G51" i="14" s="1"/>
  <c r="N7" i="14"/>
  <c r="M7" i="14"/>
  <c r="D94" i="13"/>
  <c r="E93" i="13"/>
  <c r="G93" i="13" s="1"/>
  <c r="E92" i="13"/>
  <c r="E90" i="13"/>
  <c r="G89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E65" i="13"/>
  <c r="D65" i="13"/>
  <c r="F64" i="13"/>
  <c r="F63" i="13"/>
  <c r="F62" i="13"/>
  <c r="F61" i="13"/>
  <c r="F60" i="13"/>
  <c r="H59" i="13"/>
  <c r="L59" i="13" s="1"/>
  <c r="G59" i="13"/>
  <c r="F59" i="13"/>
  <c r="F58" i="13"/>
  <c r="F57" i="13"/>
  <c r="F56" i="13"/>
  <c r="F55" i="13"/>
  <c r="F54" i="13"/>
  <c r="H53" i="13"/>
  <c r="L53" i="13" s="1"/>
  <c r="G53" i="13"/>
  <c r="F53" i="13"/>
  <c r="F52" i="13"/>
  <c r="F51" i="13"/>
  <c r="F65" i="13" s="1"/>
  <c r="D46" i="13"/>
  <c r="E45" i="13"/>
  <c r="M20" i="13"/>
  <c r="M21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I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K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I51" i="13" s="1"/>
  <c r="N7" i="13"/>
  <c r="M7" i="13"/>
  <c r="D94" i="12"/>
  <c r="G93" i="12"/>
  <c r="E93" i="12"/>
  <c r="F93" i="12" s="1"/>
  <c r="F92" i="12"/>
  <c r="E92" i="12"/>
  <c r="G92" i="12" s="1"/>
  <c r="E90" i="12"/>
  <c r="G90" i="12" s="1"/>
  <c r="G89" i="12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E65" i="12"/>
  <c r="D65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2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L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F92" i="11"/>
  <c r="E92" i="11"/>
  <c r="G92" i="11" s="1"/>
  <c r="G90" i="1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L59" i="11" s="1"/>
  <c r="G59" i="11"/>
  <c r="K59" i="11" s="1"/>
  <c r="F59" i="11"/>
  <c r="G58" i="11"/>
  <c r="K58" i="11" s="1"/>
  <c r="F58" i="11"/>
  <c r="F57" i="11"/>
  <c r="F56" i="11"/>
  <c r="F55" i="11"/>
  <c r="F54" i="11"/>
  <c r="H53" i="11"/>
  <c r="L53" i="11" s="1"/>
  <c r="G53" i="11"/>
  <c r="F53" i="11"/>
  <c r="F52" i="11"/>
  <c r="F51" i="11"/>
  <c r="D46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E65" i="10"/>
  <c r="D65" i="10"/>
  <c r="G64" i="10"/>
  <c r="K64" i="10" s="1"/>
  <c r="F64" i="10"/>
  <c r="F63" i="10"/>
  <c r="F62" i="10"/>
  <c r="F61" i="10"/>
  <c r="K60" i="10"/>
  <c r="F60" i="10"/>
  <c r="H59" i="10"/>
  <c r="L59" i="10" s="1"/>
  <c r="G59" i="10"/>
  <c r="F59" i="10"/>
  <c r="F58" i="10"/>
  <c r="F57" i="10"/>
  <c r="F56" i="10"/>
  <c r="G55" i="10"/>
  <c r="I55" i="10" s="1"/>
  <c r="J55" i="10" s="1"/>
  <c r="F55" i="10"/>
  <c r="F54" i="10"/>
  <c r="H53" i="10"/>
  <c r="L53" i="10" s="1"/>
  <c r="G53" i="10"/>
  <c r="K53" i="10" s="1"/>
  <c r="F53" i="10"/>
  <c r="H52" i="10"/>
  <c r="L52" i="10" s="1"/>
  <c r="F52" i="10"/>
  <c r="F51" i="10"/>
  <c r="D46" i="10"/>
  <c r="M20" i="10"/>
  <c r="M21" i="10" s="1"/>
  <c r="E45" i="10" s="1"/>
  <c r="F45" i="10" s="1"/>
  <c r="N19" i="10"/>
  <c r="H64" i="10" s="1"/>
  <c r="L64" i="10" s="1"/>
  <c r="M19" i="10"/>
  <c r="N18" i="10"/>
  <c r="H63" i="10" s="1"/>
  <c r="L63" i="10" s="1"/>
  <c r="M18" i="10"/>
  <c r="G63" i="10" s="1"/>
  <c r="N17" i="10"/>
  <c r="H62" i="10" s="1"/>
  <c r="L62" i="10" s="1"/>
  <c r="M17" i="10"/>
  <c r="G62" i="10" s="1"/>
  <c r="K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I60" i="10" s="1"/>
  <c r="J60" i="10" s="1"/>
  <c r="N14" i="10"/>
  <c r="H58" i="10" s="1"/>
  <c r="L58" i="10" s="1"/>
  <c r="M14" i="10"/>
  <c r="G58" i="10" s="1"/>
  <c r="N13" i="10"/>
  <c r="H57" i="10" s="1"/>
  <c r="L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N10" i="10"/>
  <c r="H54" i="10" s="1"/>
  <c r="L54" i="10" s="1"/>
  <c r="M10" i="10"/>
  <c r="G54" i="10" s="1"/>
  <c r="N9" i="10"/>
  <c r="M9" i="10"/>
  <c r="G52" i="10" s="1"/>
  <c r="K52" i="10" s="1"/>
  <c r="N8" i="10"/>
  <c r="E44" i="10" s="1"/>
  <c r="G44" i="10" s="1"/>
  <c r="M8" i="10"/>
  <c r="G51" i="10" s="1"/>
  <c r="N7" i="10"/>
  <c r="M7" i="10"/>
  <c r="D94" i="9"/>
  <c r="F93" i="9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K63" i="9"/>
  <c r="F63" i="9"/>
  <c r="M63" i="9" s="1"/>
  <c r="F62" i="9"/>
  <c r="F61" i="9"/>
  <c r="F60" i="9"/>
  <c r="H59" i="9"/>
  <c r="L59" i="9" s="1"/>
  <c r="G59" i="9"/>
  <c r="K59" i="9" s="1"/>
  <c r="F59" i="9"/>
  <c r="F58" i="9"/>
  <c r="F57" i="9"/>
  <c r="H56" i="9"/>
  <c r="L56" i="9" s="1"/>
  <c r="F56" i="9"/>
  <c r="F55" i="9"/>
  <c r="F54" i="9"/>
  <c r="L53" i="9"/>
  <c r="H53" i="9"/>
  <c r="G53" i="9"/>
  <c r="F53" i="9"/>
  <c r="F52" i="9"/>
  <c r="H51" i="9"/>
  <c r="L51" i="9" s="1"/>
  <c r="F51" i="9"/>
  <c r="D46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I63" i="9" s="1"/>
  <c r="J63" i="9" s="1"/>
  <c r="N17" i="9"/>
  <c r="H62" i="9" s="1"/>
  <c r="L62" i="9" s="1"/>
  <c r="M17" i="9"/>
  <c r="G62" i="9" s="1"/>
  <c r="I62" i="9" s="1"/>
  <c r="M62" i="9" s="1"/>
  <c r="N16" i="9"/>
  <c r="H61" i="9" s="1"/>
  <c r="L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M12" i="9"/>
  <c r="G56" i="9" s="1"/>
  <c r="I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I54" i="9" s="1"/>
  <c r="J54" i="9" s="1"/>
  <c r="N9" i="9"/>
  <c r="M9" i="9"/>
  <c r="G52" i="9" s="1"/>
  <c r="N8" i="9"/>
  <c r="M8" i="9"/>
  <c r="G51" i="9" s="1"/>
  <c r="N7" i="9"/>
  <c r="M7" i="9"/>
  <c r="D94" i="8"/>
  <c r="F93" i="8"/>
  <c r="E93" i="8"/>
  <c r="G93" i="8" s="1"/>
  <c r="E92" i="8"/>
  <c r="G92" i="8" s="1"/>
  <c r="G90" i="8"/>
  <c r="F90" i="8"/>
  <c r="E90" i="8"/>
  <c r="F89" i="8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E65" i="8"/>
  <c r="D65" i="8"/>
  <c r="F64" i="8"/>
  <c r="F63" i="8"/>
  <c r="F62" i="8"/>
  <c r="F61" i="8"/>
  <c r="F60" i="8"/>
  <c r="H59" i="8"/>
  <c r="L59" i="8" s="1"/>
  <c r="G59" i="8"/>
  <c r="K59" i="8" s="1"/>
  <c r="F59" i="8"/>
  <c r="F58" i="8"/>
  <c r="K57" i="8"/>
  <c r="F57" i="8"/>
  <c r="F56" i="8"/>
  <c r="F55" i="8"/>
  <c r="F54" i="8"/>
  <c r="H53" i="8"/>
  <c r="L53" i="8" s="1"/>
  <c r="G53" i="8"/>
  <c r="F53" i="8"/>
  <c r="F52" i="8"/>
  <c r="H51" i="8"/>
  <c r="F51" i="8"/>
  <c r="D46" i="8"/>
  <c r="M20" i="8"/>
  <c r="M21" i="8" s="1"/>
  <c r="E45" i="8" s="1"/>
  <c r="F45" i="8" s="1"/>
  <c r="N19" i="8"/>
  <c r="H64" i="8" s="1"/>
  <c r="L64" i="8" s="1"/>
  <c r="M19" i="8"/>
  <c r="G64" i="8" s="1"/>
  <c r="K64" i="8" s="1"/>
  <c r="N18" i="8"/>
  <c r="H63" i="8" s="1"/>
  <c r="L63" i="8" s="1"/>
  <c r="M18" i="8"/>
  <c r="G63" i="8" s="1"/>
  <c r="K63" i="8" s="1"/>
  <c r="N17" i="8"/>
  <c r="H62" i="8" s="1"/>
  <c r="L62" i="8" s="1"/>
  <c r="M17" i="8"/>
  <c r="G62" i="8" s="1"/>
  <c r="K62" i="8" s="1"/>
  <c r="N16" i="8"/>
  <c r="H61" i="8" s="1"/>
  <c r="L61" i="8" s="1"/>
  <c r="M16" i="8"/>
  <c r="G61" i="8" s="1"/>
  <c r="K61" i="8" s="1"/>
  <c r="N15" i="8"/>
  <c r="H60" i="8" s="1"/>
  <c r="L60" i="8" s="1"/>
  <c r="M15" i="8"/>
  <c r="G60" i="8" s="1"/>
  <c r="N14" i="8"/>
  <c r="H58" i="8" s="1"/>
  <c r="L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K56" i="8" s="1"/>
  <c r="N11" i="8"/>
  <c r="H55" i="8" s="1"/>
  <c r="L55" i="8" s="1"/>
  <c r="M11" i="8"/>
  <c r="G55" i="8" s="1"/>
  <c r="I55" i="8" s="1"/>
  <c r="M55" i="8" s="1"/>
  <c r="N10" i="8"/>
  <c r="H54" i="8" s="1"/>
  <c r="L54" i="8" s="1"/>
  <c r="M10" i="8"/>
  <c r="G54" i="8" s="1"/>
  <c r="K54" i="8" s="1"/>
  <c r="N9" i="8"/>
  <c r="M9" i="8"/>
  <c r="G52" i="8" s="1"/>
  <c r="N8" i="8"/>
  <c r="M8" i="8"/>
  <c r="G51" i="8" s="1"/>
  <c r="N7" i="8"/>
  <c r="M7" i="8"/>
  <c r="E93" i="7"/>
  <c r="G93" i="7" s="1"/>
  <c r="G92" i="7"/>
  <c r="F92" i="7"/>
  <c r="E92" i="7"/>
  <c r="E90" i="7"/>
  <c r="F90" i="7" s="1"/>
  <c r="E89" i="7"/>
  <c r="D82" i="7"/>
  <c r="D81" i="7"/>
  <c r="D80" i="7"/>
  <c r="D79" i="7"/>
  <c r="D78" i="7"/>
  <c r="D77" i="7"/>
  <c r="D76" i="7"/>
  <c r="D74" i="7"/>
  <c r="D73" i="7"/>
  <c r="D72" i="7"/>
  <c r="D71" i="7"/>
  <c r="D70" i="7"/>
  <c r="F63" i="7"/>
  <c r="F62" i="7"/>
  <c r="F61" i="7"/>
  <c r="F60" i="7"/>
  <c r="H59" i="7"/>
  <c r="G59" i="7"/>
  <c r="F59" i="7"/>
  <c r="F58" i="7"/>
  <c r="F55" i="7"/>
  <c r="F54" i="7"/>
  <c r="L53" i="7"/>
  <c r="H53" i="7"/>
  <c r="G53" i="7"/>
  <c r="K53" i="7" s="1"/>
  <c r="F53" i="7"/>
  <c r="F52" i="7"/>
  <c r="M20" i="7"/>
  <c r="M21" i="7" s="1"/>
  <c r="E45" i="7" s="1"/>
  <c r="H64" i="7"/>
  <c r="L64" i="7" s="1"/>
  <c r="M19" i="7"/>
  <c r="G64" i="7" s="1"/>
  <c r="N18" i="7"/>
  <c r="H63" i="7" s="1"/>
  <c r="L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L61" i="7" s="1"/>
  <c r="M16" i="7"/>
  <c r="G61" i="7" s="1"/>
  <c r="N15" i="7"/>
  <c r="H60" i="7" s="1"/>
  <c r="L60" i="7" s="1"/>
  <c r="M15" i="7"/>
  <c r="G60" i="7" s="1"/>
  <c r="K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L54" i="7" s="1"/>
  <c r="M10" i="7"/>
  <c r="G54" i="7" s="1"/>
  <c r="N9" i="7"/>
  <c r="H52" i="7" s="1"/>
  <c r="L52" i="7" s="1"/>
  <c r="M9" i="7"/>
  <c r="G52" i="7" s="1"/>
  <c r="N8" i="7"/>
  <c r="M8" i="7"/>
  <c r="G51" i="7" s="1"/>
  <c r="N7" i="7"/>
  <c r="M7" i="7"/>
  <c r="G59" i="6"/>
  <c r="G53" i="6"/>
  <c r="D78" i="6"/>
  <c r="D72" i="6"/>
  <c r="H59" i="6"/>
  <c r="H53" i="6"/>
  <c r="D59" i="6"/>
  <c r="K59" i="6" s="1"/>
  <c r="D53" i="6"/>
  <c r="D43" i="6"/>
  <c r="D44" i="6"/>
  <c r="D83" i="6"/>
  <c r="D82" i="6"/>
  <c r="D81" i="6"/>
  <c r="D80" i="6"/>
  <c r="D79" i="6"/>
  <c r="D77" i="6"/>
  <c r="D76" i="6"/>
  <c r="D74" i="6"/>
  <c r="D73" i="6"/>
  <c r="D71" i="6"/>
  <c r="D70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G66" i="3" s="1"/>
  <c r="H66" i="3" s="1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F54" i="3" s="1"/>
  <c r="E54" i="3"/>
  <c r="D55" i="3"/>
  <c r="E55" i="3"/>
  <c r="D56" i="3"/>
  <c r="E56" i="3"/>
  <c r="D57" i="3"/>
  <c r="E57" i="3"/>
  <c r="D58" i="3"/>
  <c r="K58" i="3" s="1"/>
  <c r="E58" i="3"/>
  <c r="D59" i="3"/>
  <c r="E59" i="3"/>
  <c r="D60" i="3"/>
  <c r="F60" i="3" s="1"/>
  <c r="E60" i="3"/>
  <c r="E49" i="3"/>
  <c r="D49" i="3"/>
  <c r="D43" i="3"/>
  <c r="D42" i="3"/>
  <c r="D41" i="3"/>
  <c r="E69" i="3"/>
  <c r="E68" i="3"/>
  <c r="F68" i="3" s="1"/>
  <c r="E66" i="3"/>
  <c r="E65" i="3"/>
  <c r="G65" i="3"/>
  <c r="G57" i="3"/>
  <c r="G50" i="3"/>
  <c r="G49" i="3"/>
  <c r="P21" i="3"/>
  <c r="P20" i="3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L52" i="3" s="1"/>
  <c r="P11" i="3"/>
  <c r="G52" i="3" s="1"/>
  <c r="Q10" i="3"/>
  <c r="H51" i="3" s="1"/>
  <c r="L51" i="3" s="1"/>
  <c r="P10" i="3"/>
  <c r="G51" i="3" s="1"/>
  <c r="Q9" i="3"/>
  <c r="H50" i="3" s="1"/>
  <c r="P9" i="3"/>
  <c r="Q8" i="3"/>
  <c r="H49" i="3" s="1"/>
  <c r="P8" i="3"/>
  <c r="Q7" i="3"/>
  <c r="P7" i="3"/>
  <c r="F41" i="6"/>
  <c r="D84" i="7" l="1"/>
  <c r="H55" i="7"/>
  <c r="L55" i="7" s="1"/>
  <c r="E44" i="7"/>
  <c r="I54" i="7"/>
  <c r="J54" i="7" s="1"/>
  <c r="I52" i="7"/>
  <c r="I61" i="7"/>
  <c r="J61" i="7" s="1"/>
  <c r="G90" i="7"/>
  <c r="L59" i="7"/>
  <c r="F89" i="7"/>
  <c r="D46" i="7"/>
  <c r="D65" i="7"/>
  <c r="K56" i="7"/>
  <c r="F51" i="7"/>
  <c r="L58" i="7"/>
  <c r="K64" i="7"/>
  <c r="K57" i="7"/>
  <c r="H90" i="12"/>
  <c r="H92" i="14"/>
  <c r="N59" i="14"/>
  <c r="L60" i="13"/>
  <c r="I60" i="13"/>
  <c r="J60" i="13" s="1"/>
  <c r="I55" i="11"/>
  <c r="K55" i="11"/>
  <c r="K51" i="9"/>
  <c r="I51" i="9"/>
  <c r="G45" i="9"/>
  <c r="F45" i="9"/>
  <c r="I53" i="7"/>
  <c r="J53" i="7" s="1"/>
  <c r="K54" i="7"/>
  <c r="D84" i="8"/>
  <c r="H51" i="10"/>
  <c r="E44" i="13"/>
  <c r="G44" i="13" s="1"/>
  <c r="H44" i="13" s="1"/>
  <c r="K50" i="3"/>
  <c r="K49" i="3"/>
  <c r="I62" i="7"/>
  <c r="J62" i="7" s="1"/>
  <c r="E44" i="8"/>
  <c r="E91" i="9"/>
  <c r="F91" i="9" s="1"/>
  <c r="I55" i="9"/>
  <c r="J55" i="9" s="1"/>
  <c r="I64" i="9"/>
  <c r="F65" i="10"/>
  <c r="F93" i="10"/>
  <c r="I59" i="11"/>
  <c r="J59" i="11" s="1"/>
  <c r="I63" i="11"/>
  <c r="I53" i="14"/>
  <c r="M53" i="14" s="1"/>
  <c r="H93" i="13"/>
  <c r="F66" i="3"/>
  <c r="K57" i="3"/>
  <c r="I56" i="10"/>
  <c r="J56" i="10" s="1"/>
  <c r="I59" i="12"/>
  <c r="J59" i="12" s="1"/>
  <c r="K53" i="3"/>
  <c r="G65" i="7"/>
  <c r="E43" i="7" s="1"/>
  <c r="G43" i="7" s="1"/>
  <c r="I64" i="11"/>
  <c r="J64" i="11" s="1"/>
  <c r="D84" i="14"/>
  <c r="H92" i="11"/>
  <c r="M52" i="7"/>
  <c r="N52" i="7" s="1"/>
  <c r="F92" i="8"/>
  <c r="I59" i="9"/>
  <c r="J59" i="9" s="1"/>
  <c r="I57" i="10"/>
  <c r="J57" i="10" s="1"/>
  <c r="G45" i="10"/>
  <c r="I58" i="11"/>
  <c r="M58" i="11" s="1"/>
  <c r="N58" i="11" s="1"/>
  <c r="D84" i="11"/>
  <c r="I53" i="12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M54" i="9"/>
  <c r="I53" i="10"/>
  <c r="K56" i="10"/>
  <c r="D84" i="10"/>
  <c r="H54" i="12"/>
  <c r="L54" i="12" s="1"/>
  <c r="D84" i="12"/>
  <c r="H90" i="7"/>
  <c r="H93" i="7"/>
  <c r="H93" i="9"/>
  <c r="L53" i="6"/>
  <c r="L59" i="6"/>
  <c r="H89" i="13"/>
  <c r="D84" i="6"/>
  <c r="H92" i="7"/>
  <c r="N54" i="9"/>
  <c r="N62" i="9"/>
  <c r="H45" i="9"/>
  <c r="N63" i="9"/>
  <c r="H92" i="9"/>
  <c r="H90" i="11"/>
  <c r="N55" i="8"/>
  <c r="H89" i="8"/>
  <c r="H93" i="8"/>
  <c r="H44" i="10"/>
  <c r="H45" i="8"/>
  <c r="H90" i="8"/>
  <c r="H45" i="10"/>
  <c r="H90" i="10"/>
  <c r="H89" i="12"/>
  <c r="H92" i="12"/>
  <c r="H93" i="12"/>
  <c r="N53" i="14"/>
  <c r="H90" i="14"/>
  <c r="L57" i="8"/>
  <c r="I57" i="8"/>
  <c r="L56" i="7"/>
  <c r="I56" i="7"/>
  <c r="J56" i="7" s="1"/>
  <c r="G45" i="7"/>
  <c r="H45" i="7" s="1"/>
  <c r="F45" i="7"/>
  <c r="G44" i="8"/>
  <c r="H44" i="8" s="1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F65" i="7"/>
  <c r="I61" i="9"/>
  <c r="J61" i="9" s="1"/>
  <c r="K61" i="9"/>
  <c r="K65" i="9" s="1"/>
  <c r="I52" i="12"/>
  <c r="J52" i="12" s="1"/>
  <c r="K52" i="12"/>
  <c r="G65" i="12"/>
  <c r="E43" i="12" s="1"/>
  <c r="H65" i="8"/>
  <c r="L51" i="8"/>
  <c r="L65" i="8" s="1"/>
  <c r="I62" i="8"/>
  <c r="I58" i="9"/>
  <c r="J58" i="9" s="1"/>
  <c r="K61" i="10"/>
  <c r="I61" i="10"/>
  <c r="H65" i="10"/>
  <c r="L51" i="10"/>
  <c r="L65" i="10" s="1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M61" i="7"/>
  <c r="N61" i="7" s="1"/>
  <c r="I64" i="8"/>
  <c r="J64" i="8" s="1"/>
  <c r="H51" i="7"/>
  <c r="I51" i="7" s="1"/>
  <c r="K52" i="8"/>
  <c r="I52" i="8"/>
  <c r="J52" i="8" s="1"/>
  <c r="J55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J52" i="7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4" i="9"/>
  <c r="N64" i="9" s="1"/>
  <c r="J64" i="9"/>
  <c r="M59" i="10"/>
  <c r="N59" i="10" s="1"/>
  <c r="M63" i="11"/>
  <c r="N63" i="11" s="1"/>
  <c r="J63" i="11"/>
  <c r="J53" i="12"/>
  <c r="M53" i="12"/>
  <c r="N53" i="12" s="1"/>
  <c r="M60" i="8"/>
  <c r="N60" i="8" s="1"/>
  <c r="D84" i="9"/>
  <c r="K51" i="7"/>
  <c r="K58" i="7"/>
  <c r="I58" i="7"/>
  <c r="M56" i="8"/>
  <c r="N56" i="8" s="1"/>
  <c r="E91" i="8"/>
  <c r="K52" i="9"/>
  <c r="K62" i="9"/>
  <c r="G91" i="9"/>
  <c r="H91" i="9" s="1"/>
  <c r="M51" i="10"/>
  <c r="G89" i="10"/>
  <c r="F89" i="10"/>
  <c r="I60" i="7"/>
  <c r="K61" i="7"/>
  <c r="I64" i="7"/>
  <c r="J64" i="7" s="1"/>
  <c r="G89" i="7"/>
  <c r="I54" i="8"/>
  <c r="J54" i="8" s="1"/>
  <c r="I51" i="8"/>
  <c r="M51" i="8" s="1"/>
  <c r="I53" i="8"/>
  <c r="K53" i="8"/>
  <c r="I59" i="8"/>
  <c r="J59" i="8" s="1"/>
  <c r="E94" i="8"/>
  <c r="F94" i="8" s="1"/>
  <c r="E44" i="9"/>
  <c r="H52" i="9"/>
  <c r="M55" i="9"/>
  <c r="N55" i="9" s="1"/>
  <c r="G65" i="10"/>
  <c r="E43" i="10" s="1"/>
  <c r="K51" i="10"/>
  <c r="I51" i="10"/>
  <c r="K55" i="10"/>
  <c r="I62" i="10"/>
  <c r="J62" i="10" s="1"/>
  <c r="K61" i="11"/>
  <c r="I61" i="11"/>
  <c r="J61" i="11" s="1"/>
  <c r="M63" i="8"/>
  <c r="N63" i="8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M52" i="12"/>
  <c r="N52" i="12" s="1"/>
  <c r="L58" i="12"/>
  <c r="I58" i="12"/>
  <c r="J58" i="12" s="1"/>
  <c r="G44" i="14"/>
  <c r="H44" i="14" s="1"/>
  <c r="F44" i="14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M60" i="14"/>
  <c r="N60" i="14" s="1"/>
  <c r="I62" i="11"/>
  <c r="F44" i="13"/>
  <c r="G65" i="9"/>
  <c r="E43" i="9" s="1"/>
  <c r="E91" i="10"/>
  <c r="E94" i="10" s="1"/>
  <c r="F94" i="10" s="1"/>
  <c r="M59" i="11"/>
  <c r="N59" i="11" s="1"/>
  <c r="H65" i="12"/>
  <c r="I58" i="13"/>
  <c r="J58" i="13" s="1"/>
  <c r="K58" i="13"/>
  <c r="K63" i="13"/>
  <c r="I63" i="13"/>
  <c r="J63" i="13" s="1"/>
  <c r="F45" i="13"/>
  <c r="G45" i="13"/>
  <c r="H45" i="13" s="1"/>
  <c r="K59" i="13"/>
  <c r="I59" i="13"/>
  <c r="M64" i="8"/>
  <c r="N64" i="8" s="1"/>
  <c r="M57" i="11"/>
  <c r="N57" i="11" s="1"/>
  <c r="K59" i="12"/>
  <c r="I61" i="12"/>
  <c r="J61" i="12" s="1"/>
  <c r="M52" i="10"/>
  <c r="N52" i="10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4" i="12"/>
  <c r="I55" i="12"/>
  <c r="I60" i="12"/>
  <c r="J60" i="12" s="1"/>
  <c r="K60" i="12"/>
  <c r="M52" i="13"/>
  <c r="N52" i="13" s="1"/>
  <c r="G90" i="13"/>
  <c r="F90" i="13"/>
  <c r="K54" i="14"/>
  <c r="I54" i="14"/>
  <c r="J54" i="14" s="1"/>
  <c r="K58" i="14"/>
  <c r="I58" i="14"/>
  <c r="E94" i="14"/>
  <c r="F94" i="14" s="1"/>
  <c r="F90" i="9"/>
  <c r="F92" i="9"/>
  <c r="L65" i="12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M62" i="13"/>
  <c r="N62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M59" i="3" s="1"/>
  <c r="N59" i="3" s="1"/>
  <c r="F51" i="3"/>
  <c r="M51" i="3" s="1"/>
  <c r="N51" i="3" s="1"/>
  <c r="F69" i="3"/>
  <c r="L53" i="3"/>
  <c r="L57" i="3"/>
  <c r="D61" i="3"/>
  <c r="D44" i="3"/>
  <c r="I49" i="3"/>
  <c r="I54" i="3"/>
  <c r="J54" i="3" s="1"/>
  <c r="K54" i="3"/>
  <c r="I57" i="3"/>
  <c r="E70" i="3"/>
  <c r="G61" i="3"/>
  <c r="H65" i="3"/>
  <c r="I52" i="3"/>
  <c r="K52" i="3"/>
  <c r="K56" i="3"/>
  <c r="I56" i="3"/>
  <c r="I60" i="3"/>
  <c r="J60" i="3" s="1"/>
  <c r="K60" i="3"/>
  <c r="H61" i="3"/>
  <c r="L49" i="3"/>
  <c r="G42" i="3"/>
  <c r="H42" i="3" s="1"/>
  <c r="I55" i="3"/>
  <c r="K55" i="3"/>
  <c r="M53" i="3"/>
  <c r="N53" i="3" s="1"/>
  <c r="I50" i="3"/>
  <c r="F65" i="3"/>
  <c r="F50" i="3"/>
  <c r="K51" i="3"/>
  <c r="L56" i="3"/>
  <c r="F58" i="3"/>
  <c r="M58" i="3" s="1"/>
  <c r="N58" i="3" s="1"/>
  <c r="K59" i="3"/>
  <c r="D70" i="3"/>
  <c r="I53" i="3"/>
  <c r="J53" i="3" s="1"/>
  <c r="E42" i="3"/>
  <c r="F42" i="3" s="1"/>
  <c r="F49" i="3"/>
  <c r="L55" i="3"/>
  <c r="I55" i="7" l="1"/>
  <c r="J55" i="7" s="1"/>
  <c r="M54" i="7"/>
  <c r="N54" i="7" s="1"/>
  <c r="F43" i="7"/>
  <c r="M59" i="7"/>
  <c r="N59" i="7" s="1"/>
  <c r="J63" i="7"/>
  <c r="H65" i="7"/>
  <c r="M55" i="7"/>
  <c r="N55" i="7" s="1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M54" i="12"/>
  <c r="N54" i="12" s="1"/>
  <c r="J54" i="12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43" i="7"/>
  <c r="G46" i="7"/>
  <c r="H46" i="7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G94" i="13"/>
  <c r="H94" i="13" s="1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7" l="1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E67" i="4" s="1"/>
  <c r="F67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C3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E67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H49" i="5"/>
  <c r="E43" i="5" l="1"/>
  <c r="E41" i="4"/>
  <c r="G66" i="4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6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M60" i="4"/>
  <c r="N60" i="4" s="1"/>
  <c r="E70" i="4"/>
  <c r="K57" i="4"/>
  <c r="I57" i="4"/>
  <c r="J57" i="4" s="1"/>
  <c r="H65" i="4"/>
  <c r="H61" i="4"/>
  <c r="L49" i="4"/>
  <c r="L61" i="4" s="1"/>
  <c r="G41" i="4"/>
  <c r="F41" i="4"/>
  <c r="J54" i="4"/>
  <c r="K52" i="4"/>
  <c r="I52" i="4"/>
  <c r="J52" i="4" s="1"/>
  <c r="G61" i="4"/>
  <c r="K49" i="4"/>
  <c r="I49" i="4"/>
  <c r="G42" i="4"/>
  <c r="H42" i="4" s="1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E44" i="5" s="1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F42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G41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E44" i="4" l="1"/>
  <c r="F44" i="4" s="1"/>
  <c r="K50" i="4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K6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<sst xmlns="http://schemas.openxmlformats.org/spreadsheetml/2006/main" count="1878" uniqueCount="185">
  <si>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</si>
  <si>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</si>
  <si>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</si>
  <si>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</si>
  <si>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</si>
  <si>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</si>
  <si>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</si>
  <si>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</si>
  <si>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</si>
  <si>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</si>
  <si>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</si>
  <si>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</si>
  <si>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</si>
  <si>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</si>
  <si>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</si>
  <si>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</si>
  <si>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</si>
  <si>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</si>
  <si>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</si>
  <si>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</si>
  <si>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</si>
  <si>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</si>
  <si>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</si>
  <si>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</si>
  <si>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</si>
  <si>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</si>
  <si>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</si>
  <si>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</si>
  <si>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</si>
  <si>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</si>
  <si>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</si>
  <si>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</si>
  <si>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</si>
  <si>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</si>
  <si>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</si>
  <si>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</si>
  <si>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</si>
  <si>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</si>
  <si>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</si>
  <si>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</si>
  <si>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</si>
  <si>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</si>
  <si>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</si>
  <si>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</si>
  <si>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</si>
  <si>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</si>
  <si>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</si>
  <si>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</si>
  <si>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</si>
  <si>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</si>
  <si>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</si>
  <si>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</si>
  <si>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</si>
  <si>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</si>
  <si>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</si>
  <si>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</si>
  <si>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</si>
  <si>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</si>
  <si>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</si>
  <si>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</si>
  <si>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</si>
  <si>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</si>
  <si>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</si>
  <si>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</si>
  <si>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</si>
  <si>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</si>
  <si>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</si>
  <si>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</si>
  <si>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</si>
  <si>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</si>
  <si>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</si>
  <si>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</si>
  <si>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</si>
  <si>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</si>
  <si>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</si>
  <si>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</si>
  <si>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</si>
  <si>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</si>
  <si>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</si>
  <si>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</si>
  <si>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</si>
  <si>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</si>
  <si>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</si>
  <si>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</si>
  <si>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</si>
  <si>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</si>
  <si>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</si>
  <si>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</si>
  <si>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</si>
  <si>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</si>
  <si>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</si>
  <si>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</si>
  <si>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</si>
  <si>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</si>
  <si>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</si>
  <si>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</si>
  <si>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</si>
  <si>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</si>
  <si>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</si>
  <si>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</si>
  <si>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</si>
  <si>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</si>
  <si>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</si>
  <si>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</si>
  <si>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</si>
  <si>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</si>
  <si>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</si>
  <si>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</si>
  <si>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</si>
  <si>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</si>
  <si>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</si>
  <si>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</si>
  <si>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</si>
  <si>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</si>
  <si>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</si>
  <si>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</si>
  <si>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</si>
  <si>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</si>
  <si>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</si>
  <si>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</si>
  <si>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</si>
  <si>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</si>
  <si>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</si>
  <si>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</si>
  <si>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</si>
  <si>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</si>
  <si>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</si>
  <si>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</si>
  <si>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</si>
  <si>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</si>
  <si>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</si>
  <si>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</si>
  <si>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</si>
  <si>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</si>
  <si>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</si>
  <si>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</si>
  <si>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</si>
  <si>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</si>
  <si>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</si>
  <si>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</si>
  <si>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</si>
  <si>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</si>
  <si>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</si>
  <si>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</si>
  <si>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</si>
  <si>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</si>
  <si>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</si>
  <si>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</si>
  <si>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</si>
  <si>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</si>
  <si>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</si>
  <si>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</si>
  <si>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</si>
  <si>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</si>
  <si>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</si>
  <si>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</si>
  <si>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</si>
  <si>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</si>
  <si>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</si>
  <si>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</si>
  <si>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</si>
  <si>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</si>
  <si>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</si>
  <si>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</si>
  <si>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</si>
  <si>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</si>
  <si>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</si>
  <si>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</si>
  <si>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</si>
  <si>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</si>
  <si>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</si>
  <si>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</si>
  <si>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</si>
  <si>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</si>
  <si>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</si>
  <si>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</si>
  <si>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</si>
  <si>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</si>
  <si>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</si>
  <si>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</si>
  <si>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</si>
  <si>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</si>
  <si>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</si>
  <si>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</si>
  <si>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04 MEI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</si>
</sst>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20" borderId="1" xfId="0" applyNumberFormat="1" applyFont="1" applyFill="1" applyBorder="1" applyAlignment="1">
      <alignment horizontal="center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zoomScale="110" zoomScaleNormal="110" workbookViewId="0">
      <selection activeCell="B10" sqref="B10:C18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E4" zoomScale="165" zoomScaleNormal="100" workbookViewId="0">
      <selection activeCell="H22" sqref="H22:H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2" width="9.42578125" bestFit="1" customWidth="1"/>
    <col min="13" max="13" width="8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176</v>
      </c>
      <c r="C7" s="146" t="s">
        <v>177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176</v>
      </c>
      <c r="C13" s="146" t="s">
        <v>178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v>0</v>
      </c>
      <c r="D3" s="23" t="s">
        <v>104</v>
      </c>
      <c r="E3" s="9"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170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169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169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46" zoomScaleNormal="100" workbookViewId="0">
      <selection activeCell="E46" sqref="E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NETWORKDAYS.INTL(TODAY(),EOMONTH(TODAY(),0),11)</f>
        <v>24</v>
      </c>
      <c r="D3" s="79" t="s">
        <v>104</v>
      </c>
      <c r="E3" s="80"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169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169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169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169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173</v>
      </c>
      <c r="C22" s="15">
        <v>38884328.600000001</v>
      </c>
      <c r="D22" s="15" t="s">
        <v>169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174</v>
      </c>
      <c r="C23" s="15">
        <v>120550492.72</v>
      </c>
      <c r="D23" s="15" t="s">
        <v>169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169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183</v>
      </c>
      <c r="C41" s="226"/>
      <c r="D41" s="227"/>
      <c r="E41" s="67" t="s">
        <v>138</v>
      </c>
      <c r="F41" s="73">
        <f ca="1">DAY(TODAY())/DAY(EOMONTH(TODAY(),0))</f>
        <v>0.12903225806451613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41763516.044631958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12221998.269450625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8507814.0227448139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62493328.336827397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4213604.7239109473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4005394.331662456</v>
      </c>
    </row>
    <row r="53" spans="2:14" s="158" customFormat="1" ht="20.100000000000001" customHeight="1" x14ac:dyDescent="0.25">
      <c r="B53" s="187" t="s">
        <v>176</v>
      </c>
      <c r="C53" s="188" t="s">
        <v>177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8441205.8083333336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2487899.5983031341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2846164.9063137993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1067882.3628139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-3142028.486555303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3722802.0364366248</v>
      </c>
    </row>
    <row r="59" spans="2:14" s="158" customFormat="1" ht="20.100000000000001" customHeight="1" x14ac:dyDescent="0.25">
      <c r="B59" s="187" t="s">
        <v>176</v>
      </c>
      <c r="C59" s="188" t="s">
        <v>178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11815965.469999999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3331463.0936769471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4615340.71590894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3325900.646714007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444297.47160840529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6809621.6349553643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53985514.314082541</v>
      </c>
    </row>
    <row r="67" spans="2:14" ht="20.100000000000001" customHeight="1" x14ac:dyDescent="0.25">
      <c r="B67" s="135" t="s">
        <v>175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172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176</v>
      </c>
      <c r="C72" s="186" t="s">
        <v>177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176</v>
      </c>
      <c r="C78" s="186" t="s">
        <v>178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1631429.0690996747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-1263407.6981834222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8139792.6518285573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8507814.0227448102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0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5703125" customWidth="1"/>
    <col min="10" max="10" width="10" customWidth="1"/>
    <col min="11" max="11" width="5.42578125" bestFit="1" customWidth="1"/>
    <col min="12" max="12" width="9.140625" bestFit="1" customWidth="1"/>
    <col min="13" max="13" width="13.85546875" bestFit="1" customWidth="1"/>
    <col min="14" max="14" width="12.28515625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NETWORKDAYS.INTL(TODAY(),EOMONTH(TODAY(),1),11)</f>
        <v>50</v>
      </c>
      <c r="D3" s="79" t="s">
        <v>104</v>
      </c>
      <c r="E3" s="80">
        <f ca="1">DAY(EOMONTH(TODAY(),1))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17591498.039963</v>
      </c>
      <c r="N8" s="11">
        <f>D24</f>
        <v>2234414.409986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36531306.759904005</v>
      </c>
      <c r="N9" s="11">
        <f>D12+D13</f>
        <v>4824309.4452999998</v>
      </c>
    </row>
    <row r="10" spans="2:14" x14ac:dyDescent="0.25">
      <c r="B10" s="74" t="s">
        <v>113</v>
      </c>
      <c r="C10" s="206">
        <v>11647973.840856001</v>
      </c>
      <c r="D10" s="206">
        <v>1694257.366497</v>
      </c>
      <c r="E10" s="206">
        <v>13660359.880000001</v>
      </c>
      <c r="F10" s="206">
        <v>27002591.087352999</v>
      </c>
      <c r="H10" s="116"/>
      <c r="I10" s="116"/>
      <c r="J10" s="116"/>
      <c r="M10" s="11">
        <f>C14</f>
        <v>42927190.625198998</v>
      </c>
      <c r="N10" s="11">
        <f>D14</f>
        <v>6103601.8199669998</v>
      </c>
    </row>
    <row r="11" spans="2:14" x14ac:dyDescent="0.25">
      <c r="B11" s="74" t="s">
        <v>114</v>
      </c>
      <c r="C11" s="206">
        <v>59343656.966316</v>
      </c>
      <c r="D11" s="206">
        <v>4597378.3994570002</v>
      </c>
      <c r="E11" s="206" t="s">
        <v>169</v>
      </c>
      <c r="F11" s="206">
        <v>63941035.365773</v>
      </c>
      <c r="H11" s="116"/>
      <c r="I11" s="116"/>
      <c r="J11" s="116"/>
      <c r="M11" s="11">
        <f>C17</f>
        <v>18738738.399999999</v>
      </c>
      <c r="N11" s="11">
        <f>D17</f>
        <v>0</v>
      </c>
    </row>
    <row r="12" spans="2:14" x14ac:dyDescent="0.25">
      <c r="B12" s="74" t="s">
        <v>70</v>
      </c>
      <c r="C12" s="206">
        <v>14869279.899979001</v>
      </c>
      <c r="D12" s="206">
        <v>1783917.5453000001</v>
      </c>
      <c r="E12" s="206" t="s">
        <v>169</v>
      </c>
      <c r="F12" s="206">
        <v>16653197.445279</v>
      </c>
      <c r="H12" s="116"/>
      <c r="I12" s="116"/>
      <c r="J12" s="116"/>
      <c r="M12" s="11">
        <f>C16</f>
        <v>22279494.140058</v>
      </c>
      <c r="N12" s="11">
        <f>D16</f>
        <v>13462378.069882</v>
      </c>
    </row>
    <row r="13" spans="2:14" x14ac:dyDescent="0.25">
      <c r="B13" s="74" t="s">
        <v>115</v>
      </c>
      <c r="C13" s="206">
        <v>21662026.859925002</v>
      </c>
      <c r="D13" s="206">
        <v>3040391.9</v>
      </c>
      <c r="E13" s="206">
        <v>2252252.2000000002</v>
      </c>
      <c r="F13" s="206">
        <v>26954670.959925</v>
      </c>
      <c r="H13" s="116"/>
      <c r="I13" s="116"/>
      <c r="J13" s="116"/>
      <c r="M13" s="11">
        <f>C19</f>
        <v>58541628.168898001</v>
      </c>
      <c r="N13" s="11">
        <f>D19</f>
        <v>11919388.989965999</v>
      </c>
    </row>
    <row r="14" spans="2:14" x14ac:dyDescent="0.25">
      <c r="B14" s="74" t="s">
        <v>116</v>
      </c>
      <c r="C14" s="206">
        <v>42927190.625198998</v>
      </c>
      <c r="D14" s="206">
        <v>6103601.8199669998</v>
      </c>
      <c r="E14" s="206">
        <v>3936936.9</v>
      </c>
      <c r="F14" s="206">
        <v>52967729.345165998</v>
      </c>
      <c r="H14" s="116"/>
      <c r="I14" s="116"/>
      <c r="J14" s="116"/>
      <c r="M14" s="11">
        <f>C25</f>
        <v>35047789.896495</v>
      </c>
      <c r="N14" s="11">
        <f>D25</f>
        <v>8846417.9699939992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59343656.966316</v>
      </c>
      <c r="N15" s="11">
        <f>D11</f>
        <v>4597378.3994570002</v>
      </c>
    </row>
    <row r="16" spans="2:14" x14ac:dyDescent="0.25">
      <c r="B16" s="74" t="s">
        <v>74</v>
      </c>
      <c r="C16" s="206">
        <v>22279494.140058</v>
      </c>
      <c r="D16" s="206">
        <v>13462378.069882</v>
      </c>
      <c r="E16" s="206">
        <v>3932432.4</v>
      </c>
      <c r="F16" s="206">
        <v>39674304.60994</v>
      </c>
      <c r="H16" s="116"/>
      <c r="I16" s="116"/>
      <c r="J16" s="116"/>
      <c r="M16" s="11">
        <f>C26</f>
        <v>29309860.628509</v>
      </c>
      <c r="N16" s="11">
        <f>D26</f>
        <v>4394439.6500000004</v>
      </c>
    </row>
    <row r="17" spans="2:14" x14ac:dyDescent="0.25">
      <c r="B17" s="74" t="s">
        <v>118</v>
      </c>
      <c r="C17" s="206">
        <v>18738738.399999999</v>
      </c>
      <c r="D17" s="206">
        <v>0</v>
      </c>
      <c r="E17" s="206" t="s">
        <v>169</v>
      </c>
      <c r="F17" s="206">
        <v>18738738.399999999</v>
      </c>
      <c r="H17" s="116"/>
      <c r="I17" s="116"/>
      <c r="J17" s="116"/>
      <c r="M17" s="11">
        <f>C10</f>
        <v>11647973.840856001</v>
      </c>
      <c r="N17" s="11">
        <f>D10</f>
        <v>1694257.366497</v>
      </c>
    </row>
    <row r="18" spans="2:14" x14ac:dyDescent="0.25">
      <c r="B18" s="74" t="s">
        <v>119</v>
      </c>
      <c r="C18" s="206">
        <v>33045812.219997998</v>
      </c>
      <c r="D18" s="206">
        <v>474000</v>
      </c>
      <c r="E18" s="206" t="s">
        <v>169</v>
      </c>
      <c r="F18" s="206">
        <v>33519812.219997998</v>
      </c>
      <c r="H18" s="116"/>
      <c r="I18" s="116"/>
      <c r="J18" s="116"/>
      <c r="M18" s="11">
        <f>C27</f>
        <v>28789378.789965</v>
      </c>
      <c r="N18" s="11">
        <f>D27</f>
        <v>0</v>
      </c>
    </row>
    <row r="19" spans="2:14" x14ac:dyDescent="0.25">
      <c r="B19" s="74" t="s">
        <v>121</v>
      </c>
      <c r="C19" s="206">
        <v>58541628.168898001</v>
      </c>
      <c r="D19" s="206">
        <v>11919388.989965999</v>
      </c>
      <c r="E19" s="206">
        <v>145055877.39998001</v>
      </c>
      <c r="F19" s="206">
        <v>215516894.558844</v>
      </c>
      <c r="H19" s="116"/>
      <c r="I19" s="116"/>
      <c r="J19" s="116"/>
      <c r="M19" s="11">
        <f>C20+C21</f>
        <v>23545355.999937002</v>
      </c>
      <c r="N19" s="11">
        <f>D20+D21</f>
        <v>3740334.9659799999</v>
      </c>
    </row>
    <row r="20" spans="2:14" x14ac:dyDescent="0.25">
      <c r="B20" s="74" t="s">
        <v>123</v>
      </c>
      <c r="C20" s="206">
        <v>20673375.999937002</v>
      </c>
      <c r="D20" s="206">
        <v>1855936.93</v>
      </c>
      <c r="E20" s="206" t="s">
        <v>169</v>
      </c>
      <c r="F20" s="206">
        <v>22529312.929937001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6">
        <v>2871980</v>
      </c>
      <c r="D21" s="206">
        <v>1884398.0359799999</v>
      </c>
      <c r="E21" s="206">
        <v>12518919.199999999</v>
      </c>
      <c r="F21" s="206">
        <v>17275297.23598</v>
      </c>
      <c r="H21" s="116"/>
      <c r="I21" s="116"/>
      <c r="J21" s="116"/>
      <c r="M21" s="14">
        <f>IFERROR(C34,0)+IFERROR(C35,0)+M20</f>
        <v>41768477.379684001</v>
      </c>
      <c r="N21" s="10" t="s">
        <v>122</v>
      </c>
    </row>
    <row r="22" spans="2:14" x14ac:dyDescent="0.25">
      <c r="B22" s="74" t="s">
        <v>173</v>
      </c>
      <c r="C22" s="206">
        <v>26538800</v>
      </c>
      <c r="D22" s="206" t="s">
        <v>169</v>
      </c>
      <c r="E22" s="206" t="s">
        <v>169</v>
      </c>
      <c r="F22" s="206">
        <v>26538800</v>
      </c>
      <c r="H22" s="116"/>
      <c r="I22" s="116"/>
      <c r="J22" s="116"/>
    </row>
    <row r="23" spans="2:14" x14ac:dyDescent="0.25">
      <c r="B23" s="74" t="s">
        <v>174</v>
      </c>
      <c r="C23" s="206">
        <v>32932953.699999999</v>
      </c>
      <c r="D23" s="206" t="s">
        <v>169</v>
      </c>
      <c r="E23" s="206">
        <v>1441441.4</v>
      </c>
      <c r="F23" s="206">
        <v>34374395.100000001</v>
      </c>
      <c r="H23" s="116"/>
      <c r="I23" s="116"/>
      <c r="J23" s="116"/>
    </row>
    <row r="24" spans="2:14" x14ac:dyDescent="0.25">
      <c r="B24" s="74" t="s">
        <v>125</v>
      </c>
      <c r="C24" s="206">
        <v>17591498.039963</v>
      </c>
      <c r="D24" s="206">
        <v>2234414.409986</v>
      </c>
      <c r="E24" s="206">
        <v>2526126.0800000001</v>
      </c>
      <c r="F24" s="206">
        <v>22352038.529948998</v>
      </c>
      <c r="H24" s="116"/>
      <c r="I24" s="116"/>
      <c r="J24" s="116"/>
    </row>
    <row r="25" spans="2:14" x14ac:dyDescent="0.25">
      <c r="B25" s="74" t="s">
        <v>126</v>
      </c>
      <c r="C25" s="206">
        <v>35047789.896495</v>
      </c>
      <c r="D25" s="206">
        <v>8846417.9699939992</v>
      </c>
      <c r="E25" s="206">
        <v>1945945.92</v>
      </c>
      <c r="F25" s="206">
        <v>45840153.786489002</v>
      </c>
      <c r="H25" s="116"/>
      <c r="I25" s="116"/>
      <c r="J25" s="116"/>
    </row>
    <row r="26" spans="2:14" x14ac:dyDescent="0.25">
      <c r="B26" s="74" t="s">
        <v>127</v>
      </c>
      <c r="C26" s="206">
        <v>29309860.628509</v>
      </c>
      <c r="D26" s="206">
        <v>4394439.6500000004</v>
      </c>
      <c r="E26" s="206">
        <v>13705405.279999999</v>
      </c>
      <c r="F26" s="206">
        <v>47409705.558509</v>
      </c>
      <c r="H26" s="116"/>
      <c r="I26" s="116"/>
      <c r="J26" s="116"/>
    </row>
    <row r="27" spans="2:14" x14ac:dyDescent="0.25">
      <c r="B27" s="74" t="s">
        <v>128</v>
      </c>
      <c r="C27" s="206">
        <v>28789378.789965</v>
      </c>
      <c r="D27" s="206">
        <v>0</v>
      </c>
      <c r="E27" s="206" t="s">
        <v>169</v>
      </c>
      <c r="F27" s="206">
        <v>28789378.789965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57813761.925821997</v>
      </c>
      <c r="G32" s="116"/>
      <c r="H32" s="116"/>
      <c r="I32" s="116"/>
    </row>
    <row r="33" spans="2:14" x14ac:dyDescent="0.25">
      <c r="B33" s="84" t="s">
        <v>133</v>
      </c>
      <c r="C33" s="206">
        <v>7874081.4339800002</v>
      </c>
      <c r="G33" s="116"/>
      <c r="H33" s="116"/>
      <c r="I33" s="116"/>
    </row>
    <row r="34" spans="2:14" x14ac:dyDescent="0.25">
      <c r="B34" s="84" t="s">
        <v>134</v>
      </c>
      <c r="C34" s="206">
        <v>33296170.9397</v>
      </c>
      <c r="G34" s="116"/>
      <c r="H34" s="116"/>
      <c r="I34" s="116"/>
    </row>
    <row r="35" spans="2:14" x14ac:dyDescent="0.25">
      <c r="B35" s="84" t="s">
        <v>135</v>
      </c>
      <c r="C35" s="206">
        <v>8472306.4399839994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3.25" customHeight="1" x14ac:dyDescent="0.25">
      <c r="B41" s="246" t="s">
        <v>184</v>
      </c>
      <c r="C41" s="247"/>
      <c r="D41" s="248"/>
      <c r="E41" s="67" t="s">
        <v>138</v>
      </c>
      <c r="F41" s="73">
        <f ca="1">IF(MONTH(TODAY())=5,DAY(TODAY())/DAY(EOMONTH(TODAY(),0)),IF(MONTH(TODAY())&gt;5,1,0))</f>
        <v>0.12903225806451613</v>
      </c>
      <c r="G41" s="117"/>
      <c r="H41" s="117"/>
      <c r="I41" s="116"/>
    </row>
    <row r="42" spans="2:14" ht="15.7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443765625.95609993</v>
      </c>
      <c r="F43" s="44">
        <f>IFERROR(E43/D43,0)</f>
        <v>6.4884851811766869E-2</v>
      </c>
      <c r="G43" s="118">
        <f>D43-E43</f>
        <v>6395513706.0439005</v>
      </c>
      <c r="H43" s="118">
        <f ca="1">IFERROR(G43/C3,0)</f>
        <v>127910274.12087801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61816921.087029003</v>
      </c>
      <c r="F44" s="44">
        <f>IFERROR(E44/D44,0)</f>
        <v>4.1902253800227093E-2</v>
      </c>
      <c r="G44" s="118">
        <f>D44-E44</f>
        <v>1413447903.1333327</v>
      </c>
      <c r="H44" s="118">
        <f ca="1">IFERROR(G44/C3,0)</f>
        <v>28268958.062666655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107456320.73948601</v>
      </c>
      <c r="F45" s="44">
        <f>IFERROR(E45/D45,0)</f>
        <v>6.0267864853888319E-2</v>
      </c>
      <c r="G45" s="118">
        <f>D45-E45</f>
        <v>1675522402.6647699</v>
      </c>
      <c r="H45" s="118">
        <f ca="1">IFERROR(G45/C3,0)</f>
        <v>33510448.053295396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613038867.78261495</v>
      </c>
      <c r="F46" s="43">
        <f>IFERROR(E46/D46,0)</f>
        <v>6.0711807746397006E-2</v>
      </c>
      <c r="G46" s="119">
        <f>G43+G44+G45</f>
        <v>9484484011.8420029</v>
      </c>
      <c r="H46" s="119">
        <f ca="1">IFERROR(G46/C3,0)</f>
        <v>189689680.23684007</v>
      </c>
      <c r="I46" s="116"/>
    </row>
    <row r="47" spans="2:14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5">
        <f>TARGETS!L5</f>
        <v>416683478</v>
      </c>
      <c r="E51" s="205">
        <f>TARGETS!M5</f>
        <v>68270401.220654309</v>
      </c>
      <c r="F51" s="205">
        <f t="shared" ref="F51:F64" si="0">D51+E51</f>
        <v>484953879.22065431</v>
      </c>
      <c r="G51" s="122">
        <f>M8</f>
        <v>17591498.039963</v>
      </c>
      <c r="H51" s="122">
        <f>N8</f>
        <v>2234414.409986</v>
      </c>
      <c r="I51" s="122">
        <f t="shared" ref="I51:I64" si="1">G51+H51</f>
        <v>19825912.449949</v>
      </c>
      <c r="J51" s="61">
        <f t="shared" ref="J51:J64" si="2">IFERROR(I51/F51,0)</f>
        <v>4.0882057654245914E-2</v>
      </c>
      <c r="K51" s="51">
        <f t="shared" ref="K51:M64" si="3">D51-G51</f>
        <v>399091979.96003699</v>
      </c>
      <c r="L51" s="51">
        <f t="shared" si="3"/>
        <v>66035986.810668312</v>
      </c>
      <c r="M51" s="51">
        <f t="shared" si="3"/>
        <v>465127966.77070528</v>
      </c>
      <c r="N51" s="51">
        <f ca="1">IFERROR(M51/C3,0)</f>
        <v>9302559.335414106</v>
      </c>
    </row>
    <row r="52" spans="2:14" ht="20.100000000000001" customHeight="1" x14ac:dyDescent="0.25">
      <c r="B52" s="201" t="s">
        <v>69</v>
      </c>
      <c r="C52" s="202" t="s">
        <v>70</v>
      </c>
      <c r="D52" s="205">
        <f>TARGETS!L6</f>
        <v>555182371</v>
      </c>
      <c r="E52" s="205">
        <f>TARGETS!M6</f>
        <v>191546784</v>
      </c>
      <c r="F52" s="205">
        <f t="shared" si="0"/>
        <v>746729155</v>
      </c>
      <c r="G52" s="122">
        <f>M9</f>
        <v>36531306.759904005</v>
      </c>
      <c r="H52" s="122">
        <f>N9</f>
        <v>4824309.4452999998</v>
      </c>
      <c r="I52" s="122">
        <f t="shared" si="1"/>
        <v>41355616.205204003</v>
      </c>
      <c r="J52" s="61">
        <f t="shared" si="2"/>
        <v>5.5382351054987268E-2</v>
      </c>
      <c r="K52" s="54">
        <f t="shared" si="3"/>
        <v>518651064.24009597</v>
      </c>
      <c r="L52" s="54">
        <f t="shared" si="3"/>
        <v>186722474.55469999</v>
      </c>
      <c r="M52" s="54">
        <f t="shared" si="3"/>
        <v>705373538.79479599</v>
      </c>
      <c r="N52" s="54">
        <f ca="1">IFERROR(M52/C3,0)</f>
        <v>14107470.77589592</v>
      </c>
    </row>
    <row r="53" spans="2:14" ht="20.100000000000001" customHeight="1" x14ac:dyDescent="0.25">
      <c r="B53" s="155" t="s">
        <v>176</v>
      </c>
      <c r="C53" s="156" t="s">
        <v>177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26538800</v>
      </c>
      <c r="H53" s="122">
        <f>IF(D22="",0,D22)</f>
        <v>0</v>
      </c>
      <c r="I53" s="122">
        <f>G53+H53</f>
        <v>26538800</v>
      </c>
      <c r="J53" s="61">
        <f>IFERROR(I53/F53,0)</f>
        <v>0.1099036767912546</v>
      </c>
      <c r="K53" s="54">
        <f>D53-G53</f>
        <v>214934468</v>
      </c>
      <c r="L53" s="54">
        <f>E53-H53</f>
        <v>0</v>
      </c>
      <c r="M53" s="54">
        <f>F53-I53</f>
        <v>214934468</v>
      </c>
      <c r="N53" s="54">
        <f ca="1">IFERROR(M53/C3,0)</f>
        <v>4298689.3600000003</v>
      </c>
    </row>
    <row r="54" spans="2:14" ht="20.100000000000001" customHeight="1" x14ac:dyDescent="0.25">
      <c r="B54" s="201" t="s">
        <v>71</v>
      </c>
      <c r="C54" s="202" t="s">
        <v>72</v>
      </c>
      <c r="D54" s="205">
        <f>TARGETS!L8</f>
        <v>610712472</v>
      </c>
      <c r="E54" s="205">
        <f>TARGETS!M8</f>
        <v>46881826.81733489</v>
      </c>
      <c r="F54" s="205">
        <f t="shared" si="0"/>
        <v>657594298.81733489</v>
      </c>
      <c r="G54" s="122">
        <f>M10</f>
        <v>42927190.625198998</v>
      </c>
      <c r="H54" s="122">
        <f t="shared" ref="H54:H58" si="4">N10</f>
        <v>6103601.8199669998</v>
      </c>
      <c r="I54" s="122">
        <f t="shared" si="1"/>
        <v>49030792.445165999</v>
      </c>
      <c r="J54" s="61">
        <f t="shared" si="2"/>
        <v>7.4560853908475971E-2</v>
      </c>
      <c r="K54" s="54">
        <f>D54-G54</f>
        <v>567785281.37480104</v>
      </c>
      <c r="L54" s="54">
        <f t="shared" si="3"/>
        <v>40778224.997367889</v>
      </c>
      <c r="M54" s="54">
        <f t="shared" si="3"/>
        <v>608563506.3721689</v>
      </c>
      <c r="N54" s="54">
        <f ca="1">IFERROR(M54/C3,0)</f>
        <v>12171270.127443379</v>
      </c>
    </row>
    <row r="55" spans="2:14" ht="20.100000000000001" customHeight="1" x14ac:dyDescent="0.25">
      <c r="B55" s="201" t="s">
        <v>73</v>
      </c>
      <c r="C55" s="202" t="s">
        <v>74</v>
      </c>
      <c r="D55" s="205">
        <f>TARGETS!L9</f>
        <v>405063284</v>
      </c>
      <c r="E55" s="205">
        <f>TARGETS!M9</f>
        <v>82869315.191524148</v>
      </c>
      <c r="F55" s="205">
        <f t="shared" si="0"/>
        <v>487932599.19152415</v>
      </c>
      <c r="G55" s="122">
        <f>M11</f>
        <v>18738738.399999999</v>
      </c>
      <c r="H55" s="122">
        <f t="shared" si="4"/>
        <v>0</v>
      </c>
      <c r="I55" s="122">
        <f t="shared" si="1"/>
        <v>18738738.399999999</v>
      </c>
      <c r="J55" s="61">
        <f t="shared" si="2"/>
        <v>3.8404358370498291E-2</v>
      </c>
      <c r="K55" s="54">
        <f t="shared" si="3"/>
        <v>386324545.60000002</v>
      </c>
      <c r="L55" s="54">
        <f t="shared" si="3"/>
        <v>82869315.191524148</v>
      </c>
      <c r="M55" s="54">
        <f t="shared" si="3"/>
        <v>469193860.79152417</v>
      </c>
      <c r="N55" s="54">
        <f ca="1">IFERROR(M55/C3,0)</f>
        <v>9383877.2158304825</v>
      </c>
    </row>
    <row r="56" spans="2:14" ht="20.100000000000001" customHeight="1" x14ac:dyDescent="0.25">
      <c r="B56" s="201" t="s">
        <v>75</v>
      </c>
      <c r="C56" s="202" t="s">
        <v>74</v>
      </c>
      <c r="D56" s="205">
        <f>TARGETS!L10</f>
        <v>473918832</v>
      </c>
      <c r="E56" s="205">
        <f>TARGETS!M10</f>
        <v>81239394.122653604</v>
      </c>
      <c r="F56" s="205">
        <f t="shared" si="0"/>
        <v>555158226.1226536</v>
      </c>
      <c r="G56" s="122">
        <f>M12</f>
        <v>22279494.140058</v>
      </c>
      <c r="H56" s="122">
        <f t="shared" si="4"/>
        <v>13462378.069882</v>
      </c>
      <c r="I56" s="122">
        <f t="shared" si="1"/>
        <v>35741872.209940001</v>
      </c>
      <c r="J56" s="61">
        <f t="shared" si="2"/>
        <v>6.4381415113973994E-2</v>
      </c>
      <c r="K56" s="54">
        <f t="shared" si="3"/>
        <v>451639337.85994202</v>
      </c>
      <c r="L56" s="54">
        <f t="shared" si="3"/>
        <v>67777016.052771598</v>
      </c>
      <c r="M56" s="54">
        <f t="shared" si="3"/>
        <v>519416353.91271359</v>
      </c>
      <c r="N56" s="54">
        <f ca="1">IFERROR(M56/C3,0)</f>
        <v>10388327.078254271</v>
      </c>
    </row>
    <row r="57" spans="2:14" ht="20.100000000000001" customHeight="1" x14ac:dyDescent="0.25">
      <c r="B57" s="201" t="s">
        <v>76</v>
      </c>
      <c r="C57" s="202" t="s">
        <v>77</v>
      </c>
      <c r="D57" s="205">
        <f>TARGETS!L11</f>
        <v>961758345</v>
      </c>
      <c r="E57" s="205">
        <f>TARGETS!M11</f>
        <v>91928576.339156389</v>
      </c>
      <c r="F57" s="205">
        <f t="shared" si="0"/>
        <v>1053686921.3391564</v>
      </c>
      <c r="G57" s="122">
        <f>M13</f>
        <v>58541628.168898001</v>
      </c>
      <c r="H57" s="122">
        <f t="shared" si="4"/>
        <v>11919388.989965999</v>
      </c>
      <c r="I57" s="122">
        <f t="shared" si="1"/>
        <v>70461017.158864006</v>
      </c>
      <c r="J57" s="61">
        <f t="shared" si="2"/>
        <v>6.6870923166924556E-2</v>
      </c>
      <c r="K57" s="54">
        <f t="shared" si="3"/>
        <v>903216716.83110201</v>
      </c>
      <c r="L57" s="54">
        <f t="shared" si="3"/>
        <v>80009187.349190384</v>
      </c>
      <c r="M57" s="54">
        <f t="shared" si="3"/>
        <v>983225904.18029237</v>
      </c>
      <c r="N57" s="54">
        <f ca="1">IFERROR(M57/C3,0)</f>
        <v>19664518.083605848</v>
      </c>
    </row>
    <row r="58" spans="2:14" ht="20.100000000000001" customHeight="1" x14ac:dyDescent="0.25">
      <c r="B58" s="201" t="s">
        <v>78</v>
      </c>
      <c r="C58" s="202" t="s">
        <v>79</v>
      </c>
      <c r="D58" s="205">
        <f>TARGETS!L12</f>
        <v>505287059</v>
      </c>
      <c r="E58" s="205">
        <f>TARGETS!M12</f>
        <v>63781404</v>
      </c>
      <c r="F58" s="205">
        <f t="shared" si="0"/>
        <v>569068463</v>
      </c>
      <c r="G58" s="122">
        <f>M14</f>
        <v>35047789.896495</v>
      </c>
      <c r="H58" s="122">
        <f t="shared" si="4"/>
        <v>8846417.9699939992</v>
      </c>
      <c r="I58" s="122">
        <f>G58+H58</f>
        <v>43894207.866489001</v>
      </c>
      <c r="J58" s="61">
        <f>IFERROR(I58/F58,0)</f>
        <v>7.7133439507592258E-2</v>
      </c>
      <c r="K58" s="54">
        <f t="shared" si="3"/>
        <v>470239269.10350502</v>
      </c>
      <c r="L58" s="54">
        <f t="shared" si="3"/>
        <v>54934986.030005999</v>
      </c>
      <c r="M58" s="54">
        <f t="shared" si="3"/>
        <v>525174255.13351101</v>
      </c>
      <c r="N58" s="54">
        <f ca="1">IFERROR(M58/C3,0)</f>
        <v>10503485.102670221</v>
      </c>
    </row>
    <row r="59" spans="2:14" ht="20.100000000000001" customHeight="1" x14ac:dyDescent="0.25">
      <c r="B59" s="155" t="s">
        <v>176</v>
      </c>
      <c r="C59" s="156" t="s">
        <v>178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32932953.699999999</v>
      </c>
      <c r="H59" s="122">
        <f>IF(D23="",0,D23)</f>
        <v>0</v>
      </c>
      <c r="I59" s="122">
        <f>G59+H59</f>
        <v>32932953.699999999</v>
      </c>
      <c r="J59" s="61">
        <f>IFERROR(I59/F59,0)</f>
        <v>8.1490250958158233E-2</v>
      </c>
      <c r="K59" s="54">
        <f>D59-G59</f>
        <v>371200710.30000001</v>
      </c>
      <c r="L59" s="54">
        <f>E59-H59</f>
        <v>0</v>
      </c>
      <c r="M59" s="54">
        <f>F59-I59</f>
        <v>371200710.30000001</v>
      </c>
      <c r="N59" s="54">
        <f ca="1">IFERROR(M59/C3,0)</f>
        <v>7424014.2060000002</v>
      </c>
    </row>
    <row r="60" spans="2:14" ht="20.100000000000001" customHeight="1" x14ac:dyDescent="0.25">
      <c r="B60" s="201" t="s">
        <v>80</v>
      </c>
      <c r="C60" s="202" t="s">
        <v>81</v>
      </c>
      <c r="D60" s="205">
        <f>TARGETS!L14</f>
        <v>404017309</v>
      </c>
      <c r="E60" s="205">
        <f>TARGETS!M14</f>
        <v>138464390.21799541</v>
      </c>
      <c r="F60" s="205">
        <f t="shared" si="0"/>
        <v>542481699.21799541</v>
      </c>
      <c r="G60" s="122">
        <f>M15</f>
        <v>59343656.966316</v>
      </c>
      <c r="H60" s="122">
        <f t="shared" ref="H60:H64" si="5">N15</f>
        <v>4597378.3994570002</v>
      </c>
      <c r="I60" s="122">
        <f t="shared" si="1"/>
        <v>63941035.365773</v>
      </c>
      <c r="J60" s="61">
        <f t="shared" si="2"/>
        <v>0.11786763582614129</v>
      </c>
      <c r="K60" s="54">
        <f t="shared" si="3"/>
        <v>344673652.03368402</v>
      </c>
      <c r="L60" s="54">
        <f t="shared" si="3"/>
        <v>133867011.8185384</v>
      </c>
      <c r="M60" s="54">
        <f t="shared" si="3"/>
        <v>478540663.85222238</v>
      </c>
      <c r="N60" s="54">
        <f ca="1">IFERROR(M60/C3,0)</f>
        <v>9570813.2770444471</v>
      </c>
    </row>
    <row r="61" spans="2:14" ht="20.100000000000001" customHeight="1" x14ac:dyDescent="0.25">
      <c r="B61" s="201" t="s">
        <v>82</v>
      </c>
      <c r="C61" s="202" t="s">
        <v>83</v>
      </c>
      <c r="D61" s="205">
        <f>TARGETS!L15</f>
        <v>631629596</v>
      </c>
      <c r="E61" s="205">
        <f>TARGETS!M15</f>
        <v>58741600.610625267</v>
      </c>
      <c r="F61" s="205">
        <f t="shared" si="0"/>
        <v>690371196.61062527</v>
      </c>
      <c r="G61" s="122">
        <f>M16</f>
        <v>29309860.628509</v>
      </c>
      <c r="H61" s="122">
        <f t="shared" si="5"/>
        <v>4394439.6500000004</v>
      </c>
      <c r="I61" s="122">
        <f t="shared" si="1"/>
        <v>33704300.278508998</v>
      </c>
      <c r="J61" s="61">
        <f t="shared" si="2"/>
        <v>4.8820548197810294E-2</v>
      </c>
      <c r="K61" s="54">
        <f t="shared" si="3"/>
        <v>602319735.37149096</v>
      </c>
      <c r="L61" s="54">
        <f t="shared" si="3"/>
        <v>54347160.960625269</v>
      </c>
      <c r="M61" s="54">
        <f t="shared" si="3"/>
        <v>656666896.33211625</v>
      </c>
      <c r="N61" s="54">
        <f ca="1">IFERROR(M61/C3,0)</f>
        <v>13133337.926642325</v>
      </c>
    </row>
    <row r="62" spans="2:14" ht="20.100000000000001" customHeight="1" x14ac:dyDescent="0.25">
      <c r="B62" s="201" t="s">
        <v>84</v>
      </c>
      <c r="C62" s="202" t="s">
        <v>85</v>
      </c>
      <c r="D62" s="205">
        <f>TARGETS!L16</f>
        <v>386543023</v>
      </c>
      <c r="E62" s="205">
        <f>TARGETS!M16</f>
        <v>63764154.799813807</v>
      </c>
      <c r="F62" s="205">
        <f t="shared" si="0"/>
        <v>450307177.79981381</v>
      </c>
      <c r="G62" s="122">
        <f>M17</f>
        <v>11647973.840856001</v>
      </c>
      <c r="H62" s="122">
        <f t="shared" si="5"/>
        <v>1694257.366497</v>
      </c>
      <c r="I62" s="122">
        <f t="shared" si="1"/>
        <v>13342231.207353001</v>
      </c>
      <c r="J62" s="61">
        <f t="shared" si="2"/>
        <v>2.9629177293026304E-2</v>
      </c>
      <c r="K62" s="54">
        <f t="shared" si="3"/>
        <v>374895049.15914398</v>
      </c>
      <c r="L62" s="54">
        <f t="shared" si="3"/>
        <v>62069897.433316804</v>
      </c>
      <c r="M62" s="54">
        <f t="shared" si="3"/>
        <v>436964946.59246081</v>
      </c>
      <c r="N62" s="54">
        <f ca="1">IFERROR(M62/C3,0)</f>
        <v>8739298.931849217</v>
      </c>
    </row>
    <row r="63" spans="2:14" ht="20.100000000000001" customHeight="1" x14ac:dyDescent="0.25">
      <c r="B63" s="201" t="s">
        <v>86</v>
      </c>
      <c r="C63" s="202" t="s">
        <v>87</v>
      </c>
      <c r="D63" s="205">
        <f>TARGETS!L17</f>
        <v>583350942</v>
      </c>
      <c r="E63" s="205">
        <f>TARGETS!M17</f>
        <v>329806944.99271739</v>
      </c>
      <c r="F63" s="205">
        <f t="shared" si="0"/>
        <v>913157886.99271739</v>
      </c>
      <c r="G63" s="122">
        <f>M18</f>
        <v>28789378.789965</v>
      </c>
      <c r="H63" s="122">
        <f t="shared" si="5"/>
        <v>0</v>
      </c>
      <c r="I63" s="122">
        <f t="shared" si="1"/>
        <v>28789378.789965</v>
      </c>
      <c r="J63" s="61">
        <f t="shared" si="2"/>
        <v>3.1527273870213639E-2</v>
      </c>
      <c r="K63" s="54">
        <f t="shared" si="3"/>
        <v>554561563.21003497</v>
      </c>
      <c r="L63" s="54">
        <f t="shared" si="3"/>
        <v>329806944.99271739</v>
      </c>
      <c r="M63" s="54">
        <f t="shared" si="3"/>
        <v>884368508.20275235</v>
      </c>
      <c r="N63" s="54">
        <f ca="1">IFERROR(M63/C3,0)</f>
        <v>17687370.164055046</v>
      </c>
    </row>
    <row r="64" spans="2:14" ht="20.100000000000001" customHeight="1" x14ac:dyDescent="0.25">
      <c r="B64" s="201" t="s">
        <v>88</v>
      </c>
      <c r="C64" s="202" t="s">
        <v>89</v>
      </c>
      <c r="D64" s="205">
        <f>TARGETS!L18</f>
        <v>259525689</v>
      </c>
      <c r="E64" s="205">
        <f>TARGETS!M18</f>
        <v>257970031.90788639</v>
      </c>
      <c r="F64" s="205">
        <f t="shared" si="0"/>
        <v>517495720.90788639</v>
      </c>
      <c r="G64" s="122">
        <f>M19</f>
        <v>23545355.999937002</v>
      </c>
      <c r="H64" s="122">
        <f t="shared" si="5"/>
        <v>3740334.9659799999</v>
      </c>
      <c r="I64" s="122">
        <f t="shared" si="1"/>
        <v>27285690.965917002</v>
      </c>
      <c r="J64" s="61">
        <f t="shared" si="2"/>
        <v>5.2726408863917586E-2</v>
      </c>
      <c r="K64" s="54">
        <f t="shared" si="3"/>
        <v>235980333.000063</v>
      </c>
      <c r="L64" s="54">
        <f t="shared" si="3"/>
        <v>254229696.94190639</v>
      </c>
      <c r="M64" s="54">
        <f t="shared" si="3"/>
        <v>490210029.94196939</v>
      </c>
      <c r="N64" s="54">
        <f ca="1">IFERROR(M64/C3,0)</f>
        <v>9804200.5988393873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443765625.95609993</v>
      </c>
      <c r="H65" s="152">
        <f>SUM(H51:H64)</f>
        <v>61816921.087029003</v>
      </c>
      <c r="I65" s="152">
        <f>SUM(I51:I64)</f>
        <v>505582547.04312903</v>
      </c>
      <c r="J65" s="153">
        <f>IFERROR(I65/F65,0)</f>
        <v>6.0807007280716335E-2</v>
      </c>
      <c r="K65" s="154">
        <f>SUM(K51:K64)</f>
        <v>6395513706.0439005</v>
      </c>
      <c r="L65" s="154">
        <f>SUM(L51:L64)</f>
        <v>1413447903.1333327</v>
      </c>
      <c r="M65" s="154">
        <f>SUM(M51:M64)</f>
        <v>7808961609.1772327</v>
      </c>
      <c r="N65" s="154">
        <f ca="1">IFERROR(M65/C3,0)</f>
        <v>156179232.18354467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172</v>
      </c>
    </row>
    <row r="70" spans="2:14" ht="20.100000000000001" customHeight="1" x14ac:dyDescent="0.25">
      <c r="B70" s="201" t="s">
        <v>67</v>
      </c>
      <c r="C70" s="202" t="s">
        <v>68</v>
      </c>
      <c r="D70" s="204">
        <f>IF(E24="",0,E24)</f>
        <v>2526126.0800000001</v>
      </c>
    </row>
    <row r="71" spans="2:14" ht="20.100000000000001" customHeight="1" x14ac:dyDescent="0.25">
      <c r="B71" s="201" t="s">
        <v>69</v>
      </c>
      <c r="C71" s="202" t="s">
        <v>70</v>
      </c>
      <c r="D71" s="204">
        <f>IF(E12="",0,E12)+IF(E13="",0,E13)</f>
        <v>2252252.2000000002</v>
      </c>
    </row>
    <row r="72" spans="2:14" ht="20.100000000000001" customHeight="1" x14ac:dyDescent="0.25">
      <c r="B72" s="201" t="s">
        <v>176</v>
      </c>
      <c r="C72" s="202" t="s">
        <v>177</v>
      </c>
      <c r="D72" s="204">
        <f>IF(E22="",0,E22)</f>
        <v>0</v>
      </c>
    </row>
    <row r="73" spans="2:14" ht="20.100000000000001" customHeight="1" x14ac:dyDescent="0.25">
      <c r="B73" s="201" t="s">
        <v>71</v>
      </c>
      <c r="C73" s="202" t="s">
        <v>72</v>
      </c>
      <c r="D73" s="204">
        <f>IF(E14="",0,E14)</f>
        <v>3936936.9</v>
      </c>
    </row>
    <row r="74" spans="2:14" ht="20.100000000000001" customHeight="1" x14ac:dyDescent="0.25">
      <c r="B74" s="201" t="s">
        <v>73</v>
      </c>
      <c r="C74" s="202" t="s">
        <v>74</v>
      </c>
      <c r="D74" s="204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204">
        <v>3932432.4</v>
      </c>
    </row>
    <row r="76" spans="2:14" ht="20.100000000000001" customHeight="1" x14ac:dyDescent="0.25">
      <c r="B76" s="201" t="s">
        <v>76</v>
      </c>
      <c r="C76" s="202" t="s">
        <v>77</v>
      </c>
      <c r="D76" s="204">
        <f>IF(E19="",0,E19)</f>
        <v>145055877.39998001</v>
      </c>
    </row>
    <row r="77" spans="2:14" ht="20.100000000000001" customHeight="1" x14ac:dyDescent="0.25">
      <c r="B77" s="201" t="s">
        <v>78</v>
      </c>
      <c r="C77" s="202" t="s">
        <v>79</v>
      </c>
      <c r="D77" s="204">
        <f>IF(E25="",0,E25)</f>
        <v>1945945.92</v>
      </c>
    </row>
    <row r="78" spans="2:14" ht="20.100000000000001" customHeight="1" x14ac:dyDescent="0.25">
      <c r="B78" s="201" t="s">
        <v>176</v>
      </c>
      <c r="C78" s="202" t="s">
        <v>178</v>
      </c>
      <c r="D78" s="204">
        <f>IF(E23="",0,E23)</f>
        <v>1441441.4</v>
      </c>
    </row>
    <row r="79" spans="2:14" ht="20.100000000000001" customHeight="1" x14ac:dyDescent="0.25">
      <c r="B79" s="201" t="s">
        <v>80</v>
      </c>
      <c r="C79" s="202" t="s">
        <v>81</v>
      </c>
      <c r="D79" s="204">
        <f>IF(E11="",0,E11)</f>
        <v>0</v>
      </c>
    </row>
    <row r="80" spans="2:14" ht="20.100000000000001" customHeight="1" x14ac:dyDescent="0.25">
      <c r="B80" s="201" t="s">
        <v>82</v>
      </c>
      <c r="C80" s="202" t="s">
        <v>83</v>
      </c>
      <c r="D80" s="204">
        <f>IF(E26="",0,E26)</f>
        <v>13705405.279999999</v>
      </c>
    </row>
    <row r="81" spans="2:9" ht="20.100000000000001" customHeight="1" x14ac:dyDescent="0.25">
      <c r="B81" s="201" t="s">
        <v>84</v>
      </c>
      <c r="C81" s="202" t="s">
        <v>85</v>
      </c>
      <c r="D81" s="204">
        <f>IF(E10="",0,E10)</f>
        <v>13660359.880000001</v>
      </c>
    </row>
    <row r="82" spans="2:9" ht="20.100000000000001" customHeight="1" x14ac:dyDescent="0.25">
      <c r="B82" s="201" t="s">
        <v>86</v>
      </c>
      <c r="C82" s="202" t="s">
        <v>87</v>
      </c>
      <c r="D82" s="204">
        <f>0</f>
        <v>0</v>
      </c>
    </row>
    <row r="83" spans="2:9" ht="20.100000000000001" customHeight="1" x14ac:dyDescent="0.25">
      <c r="B83" s="201" t="s">
        <v>88</v>
      </c>
      <c r="C83" s="202" t="s">
        <v>89</v>
      </c>
      <c r="D83" s="204">
        <v>12518919.199999999</v>
      </c>
    </row>
    <row r="84" spans="2:9" ht="20.100000000000001" customHeight="1" x14ac:dyDescent="0.25">
      <c r="B84" s="57" t="s">
        <v>152</v>
      </c>
      <c r="C84" s="58"/>
      <c r="D84" s="129">
        <f>SUM(D70:D83)</f>
        <v>200975696.65998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57813761.925821997</v>
      </c>
      <c r="F89" s="61">
        <f t="shared" ref="F89:F94" si="7">IFERROR(E89/D89,0)</f>
        <v>0.20791484497944379</v>
      </c>
      <c r="G89" s="125">
        <f>D89-E89</f>
        <v>220250855.97838756</v>
      </c>
      <c r="H89" s="125">
        <f ca="1">IFERROR(G89/C3,0)</f>
        <v>4405017.119567751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7874081.4339800002</v>
      </c>
      <c r="F90" s="61">
        <f t="shared" si="7"/>
        <v>1.8854721309431832E-2</v>
      </c>
      <c r="G90" s="126">
        <f>D90-E90</f>
        <v>409744471.7525416</v>
      </c>
      <c r="H90" s="126">
        <f ca="1">IFERROR(G90/C3,0)</f>
        <v>8194889.4350508321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41768477.379684001</v>
      </c>
      <c r="F91" s="61">
        <f t="shared" si="7"/>
        <v>3.8415017233179985E-2</v>
      </c>
      <c r="G91" s="125">
        <f>D91-E91</f>
        <v>1045527074.9338408</v>
      </c>
      <c r="H91" s="125">
        <f ca="1">IFERROR(G91/C3,0)</f>
        <v>20910541.498676814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107456320.73948601</v>
      </c>
      <c r="F94" s="43">
        <f t="shared" si="7"/>
        <v>6.0267864853888319E-2</v>
      </c>
      <c r="G94" s="119">
        <f>SUM(G89:G93)</f>
        <v>1675522402.6647699</v>
      </c>
      <c r="H94" s="119">
        <f ca="1">IFERROR(G94/C3,0)</f>
        <v>33510448.053295396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NETWORKDAYS.INTL(TODAY(),EOMONTH(TODAY(),2),11)</f>
        <v>77</v>
      </c>
      <c r="D3" s="79" t="s">
        <v>104</v>
      </c>
      <c r="E3" s="80">
        <f ca="1">DAY(EOMONTH(TODAY(),2))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160</v>
      </c>
      <c r="C41" s="226"/>
      <c r="D41" s="227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NETWORKDAYS.INTL(TODAY(),EOMONTH(TODAY(),3),11)</f>
        <v>103</v>
      </c>
      <c r="D3" s="79" t="s">
        <v>104</v>
      </c>
      <c r="E3" s="80">
        <f ca="1">DAY(EOMONTH(TODAY(),3))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179</v>
      </c>
      <c r="C41" s="226"/>
      <c r="D41" s="227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NETWORKDAYS.INTL(TODAY(),EOMONTH(TODAY(),4),11)</f>
        <v>129</v>
      </c>
      <c r="D3" s="79" t="s">
        <v>104</v>
      </c>
      <c r="E3" s="80">
        <f ca="1">DAY(EOMONTH(TODAY(),4))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163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NETWORKDAYS.INTL(TODAY(),EOMONTH(TODAY(),5),11)</f>
        <v>156</v>
      </c>
      <c r="D3" s="79" t="s">
        <v>104</v>
      </c>
      <c r="E3" s="80">
        <f ca="1">DAY(EOMONTH(TODAY(),5))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165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NETWORKDAYS.INTL(TODAY(),EOMONTH(TODAY(),6),11)</f>
        <v>181</v>
      </c>
      <c r="D3" s="79" t="s">
        <v>104</v>
      </c>
      <c r="E3" s="80">
        <f ca="1">DAY(EOMONTH(TODAY(),6))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167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NETWORKDAYS.INTL(TODAY(),EOMONTH(TODAY(),7),11)</f>
        <v>208</v>
      </c>
      <c r="D3" s="79" t="s">
        <v>104</v>
      </c>
      <c r="E3" s="80">
        <f ca="1">DAY(EOMONTH(TODAY(),7))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NETWORKDAYS.INTL(TODAY(),EOMONTH(TODAY(),8),11)</f>
        <v>234</v>
      </c>
      <c r="D3" s="79" t="s">
        <v>104</v>
      </c>
      <c r="E3" s="80">
        <f ca="1">DAY(EOMONTH(TODAY(),8))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182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2026-05-04T01:06:13Z</dcterms:modified>
  <dc:language>en-US</dc:language>
</cp:coreProperties>
</file>