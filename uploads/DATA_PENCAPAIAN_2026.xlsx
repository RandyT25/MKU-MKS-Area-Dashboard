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randy/Downloads/"/>
    </mc:Choice>
  </mc:AlternateContent>
  <xr:revisionPtr revIDLastSave="0" documentId="13_ncr:1_{7816F44B-92B7-FF46-B3FD-5849B3C55829}" xr6:coauthVersionLast="47" xr6:coauthVersionMax="47" xr10:uidLastSave="{00000000-0000-0000-0000-000000000000}"/>
  <bookViews>
    <workbookView xWindow="0" yWindow="600" windowWidth="28800" windowHeight="16320" tabRatio="500" activeTab="6" xr2:uid="{00000000-000D-0000-FFFF-FFFF00000000}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19" i="7" l="1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F41" i="14"/>
  <c r="E3" i="14"/>
  <c r="C3" i="14"/>
  <c r="D93" i="13"/>
  <c r="D92" i="13"/>
  <c r="D91" i="13"/>
  <c r="D90" i="13"/>
  <c r="D89" i="13"/>
  <c r="D45" i="13"/>
  <c r="D44" i="13"/>
  <c r="D43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F41" i="13"/>
  <c r="E3" i="13"/>
  <c r="C3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F41" i="12"/>
  <c r="E3" i="12"/>
  <c r="C3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65" i="11" s="1"/>
  <c r="E56" i="11"/>
  <c r="E55" i="11"/>
  <c r="E54" i="11"/>
  <c r="E53" i="11"/>
  <c r="E52" i="11"/>
  <c r="E51" i="11"/>
  <c r="D64" i="11"/>
  <c r="D63" i="11"/>
  <c r="D62" i="11"/>
  <c r="D61" i="11"/>
  <c r="D60" i="11"/>
  <c r="D59" i="11"/>
  <c r="D58" i="11"/>
  <c r="D57" i="11"/>
  <c r="D56" i="11"/>
  <c r="D55" i="11"/>
  <c r="F55" i="11" s="1"/>
  <c r="D54" i="11"/>
  <c r="D53" i="11"/>
  <c r="D52" i="11"/>
  <c r="D51" i="11"/>
  <c r="F41" i="11"/>
  <c r="E3" i="11"/>
  <c r="C3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D64" i="10"/>
  <c r="D63" i="10"/>
  <c r="D62" i="10"/>
  <c r="D61" i="10"/>
  <c r="D60" i="10"/>
  <c r="D59" i="10"/>
  <c r="D58" i="10"/>
  <c r="D57" i="10"/>
  <c r="D56" i="10"/>
  <c r="D55" i="10"/>
  <c r="D54" i="10"/>
  <c r="D65" i="10" s="1"/>
  <c r="D53" i="10"/>
  <c r="D52" i="10"/>
  <c r="D51" i="10"/>
  <c r="F41" i="10"/>
  <c r="E3" i="10"/>
  <c r="C3" i="10"/>
  <c r="D93" i="9"/>
  <c r="D92" i="9"/>
  <c r="D94" i="9" s="1"/>
  <c r="D91" i="9"/>
  <c r="D90" i="9"/>
  <c r="D89" i="9"/>
  <c r="D45" i="9"/>
  <c r="D44" i="9"/>
  <c r="D43" i="9"/>
  <c r="E64" i="9"/>
  <c r="E63" i="9"/>
  <c r="F63" i="9" s="1"/>
  <c r="M63" i="9" s="1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65" i="9" s="1"/>
  <c r="D52" i="9"/>
  <c r="D51" i="9"/>
  <c r="F41" i="9"/>
  <c r="E3" i="9"/>
  <c r="C3" i="9"/>
  <c r="D93" i="8"/>
  <c r="D92" i="8"/>
  <c r="D91" i="8"/>
  <c r="D94" i="8" s="1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F54" i="8" s="1"/>
  <c r="E53" i="8"/>
  <c r="E52" i="8"/>
  <c r="E51" i="8"/>
  <c r="D64" i="8"/>
  <c r="D63" i="8"/>
  <c r="D62" i="8"/>
  <c r="D61" i="8"/>
  <c r="D60" i="8"/>
  <c r="F60" i="8" s="1"/>
  <c r="D59" i="8"/>
  <c r="D58" i="8"/>
  <c r="D57" i="8"/>
  <c r="D56" i="8"/>
  <c r="D55" i="8"/>
  <c r="D54" i="8"/>
  <c r="D53" i="8"/>
  <c r="D52" i="8"/>
  <c r="D65" i="8" s="1"/>
  <c r="D51" i="8"/>
  <c r="F41" i="8"/>
  <c r="E3" i="8"/>
  <c r="C3" i="8"/>
  <c r="D93" i="7"/>
  <c r="D92" i="7"/>
  <c r="D91" i="7"/>
  <c r="D90" i="7"/>
  <c r="D8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F53" i="7" s="1"/>
  <c r="E52" i="7"/>
  <c r="E51" i="7"/>
  <c r="E65" i="7" s="1"/>
  <c r="D64" i="7"/>
  <c r="D63" i="7"/>
  <c r="D62" i="7"/>
  <c r="D61" i="7"/>
  <c r="D60" i="7"/>
  <c r="D59" i="7"/>
  <c r="F59" i="7" s="1"/>
  <c r="D58" i="7"/>
  <c r="D57" i="7"/>
  <c r="F57" i="7" s="1"/>
  <c r="D56" i="7"/>
  <c r="F56" i="7" s="1"/>
  <c r="D55" i="7"/>
  <c r="D54" i="7"/>
  <c r="D53" i="7"/>
  <c r="D52" i="7"/>
  <c r="D51" i="7"/>
  <c r="F41" i="7"/>
  <c r="E3" i="7"/>
  <c r="D94" i="14"/>
  <c r="E93" i="14"/>
  <c r="F93" i="14" s="1"/>
  <c r="E92" i="14"/>
  <c r="G92" i="14" s="1"/>
  <c r="G90" i="14"/>
  <c r="F90" i="14"/>
  <c r="E90" i="14"/>
  <c r="F89" i="14"/>
  <c r="E89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K59" i="14"/>
  <c r="I59" i="14"/>
  <c r="M59" i="14" s="1"/>
  <c r="H59" i="14"/>
  <c r="L59" i="14" s="1"/>
  <c r="G59" i="14"/>
  <c r="F59" i="14"/>
  <c r="H58" i="14"/>
  <c r="L58" i="14" s="1"/>
  <c r="F58" i="14"/>
  <c r="F57" i="14"/>
  <c r="F56" i="14"/>
  <c r="F55" i="14"/>
  <c r="F54" i="14"/>
  <c r="H53" i="14"/>
  <c r="L53" i="14" s="1"/>
  <c r="G53" i="14"/>
  <c r="K53" i="14" s="1"/>
  <c r="F53" i="14"/>
  <c r="F52" i="14"/>
  <c r="F51" i="14"/>
  <c r="F65" i="14" s="1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E44" i="14" s="1"/>
  <c r="M8" i="14"/>
  <c r="G51" i="14" s="1"/>
  <c r="N7" i="14"/>
  <c r="M7" i="14"/>
  <c r="D94" i="13"/>
  <c r="E93" i="13"/>
  <c r="G93" i="13" s="1"/>
  <c r="E92" i="13"/>
  <c r="E90" i="13"/>
  <c r="G89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E65" i="13"/>
  <c r="D65" i="13"/>
  <c r="F64" i="13"/>
  <c r="F63" i="13"/>
  <c r="F62" i="13"/>
  <c r="F61" i="13"/>
  <c r="F60" i="13"/>
  <c r="H59" i="13"/>
  <c r="L59" i="13" s="1"/>
  <c r="G59" i="13"/>
  <c r="F59" i="13"/>
  <c r="F58" i="13"/>
  <c r="F57" i="13"/>
  <c r="F56" i="13"/>
  <c r="F55" i="13"/>
  <c r="F54" i="13"/>
  <c r="H53" i="13"/>
  <c r="L53" i="13" s="1"/>
  <c r="G53" i="13"/>
  <c r="F53" i="13"/>
  <c r="F52" i="13"/>
  <c r="F51" i="13"/>
  <c r="D46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I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K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I51" i="13" s="1"/>
  <c r="N7" i="13"/>
  <c r="M7" i="13"/>
  <c r="D94" i="12"/>
  <c r="E93" i="12"/>
  <c r="F93" i="12" s="1"/>
  <c r="E92" i="12"/>
  <c r="G92" i="12" s="1"/>
  <c r="E90" i="12"/>
  <c r="G90" i="12" s="1"/>
  <c r="G89" i="12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E65" i="12"/>
  <c r="D65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2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L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F92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5" i="11"/>
  <c r="F64" i="11"/>
  <c r="F63" i="11"/>
  <c r="F62" i="11"/>
  <c r="F61" i="11"/>
  <c r="F60" i="11"/>
  <c r="H59" i="11"/>
  <c r="L59" i="11" s="1"/>
  <c r="G59" i="11"/>
  <c r="K59" i="11" s="1"/>
  <c r="F59" i="11"/>
  <c r="F58" i="11"/>
  <c r="F57" i="11"/>
  <c r="F56" i="11"/>
  <c r="F54" i="11"/>
  <c r="H53" i="11"/>
  <c r="L53" i="11" s="1"/>
  <c r="G53" i="11"/>
  <c r="F53" i="11"/>
  <c r="F52" i="11"/>
  <c r="F51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E65" i="10"/>
  <c r="F63" i="10"/>
  <c r="F62" i="10"/>
  <c r="F61" i="10"/>
  <c r="K60" i="10"/>
  <c r="F60" i="10"/>
  <c r="H59" i="10"/>
  <c r="L59" i="10" s="1"/>
  <c r="G59" i="10"/>
  <c r="F59" i="10"/>
  <c r="F58" i="10"/>
  <c r="F57" i="10"/>
  <c r="F56" i="10"/>
  <c r="G55" i="10"/>
  <c r="I55" i="10" s="1"/>
  <c r="F55" i="10"/>
  <c r="H53" i="10"/>
  <c r="L53" i="10" s="1"/>
  <c r="G53" i="10"/>
  <c r="K53" i="10" s="1"/>
  <c r="F53" i="10"/>
  <c r="F52" i="10"/>
  <c r="F51" i="10"/>
  <c r="D46" i="10"/>
  <c r="M20" i="10"/>
  <c r="M21" i="10" s="1"/>
  <c r="E45" i="10" s="1"/>
  <c r="F45" i="10" s="1"/>
  <c r="N19" i="10"/>
  <c r="H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L62" i="10" s="1"/>
  <c r="M17" i="10"/>
  <c r="G62" i="10" s="1"/>
  <c r="K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I60" i="10" s="1"/>
  <c r="N14" i="10"/>
  <c r="H58" i="10" s="1"/>
  <c r="L58" i="10" s="1"/>
  <c r="M14" i="10"/>
  <c r="G58" i="10" s="1"/>
  <c r="N13" i="10"/>
  <c r="H57" i="10" s="1"/>
  <c r="L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N10" i="10"/>
  <c r="H54" i="10" s="1"/>
  <c r="L54" i="10" s="1"/>
  <c r="M10" i="10"/>
  <c r="G54" i="10" s="1"/>
  <c r="N9" i="10"/>
  <c r="H52" i="10" s="1"/>
  <c r="L52" i="10" s="1"/>
  <c r="M9" i="10"/>
  <c r="G52" i="10" s="1"/>
  <c r="K52" i="10" s="1"/>
  <c r="N8" i="10"/>
  <c r="E44" i="10" s="1"/>
  <c r="G44" i="10" s="1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F64" i="9"/>
  <c r="F62" i="9"/>
  <c r="F61" i="9"/>
  <c r="F60" i="9"/>
  <c r="H59" i="9"/>
  <c r="L59" i="9" s="1"/>
  <c r="G59" i="9"/>
  <c r="K59" i="9" s="1"/>
  <c r="F59" i="9"/>
  <c r="F58" i="9"/>
  <c r="F57" i="9"/>
  <c r="F56" i="9"/>
  <c r="F55" i="9"/>
  <c r="F54" i="9"/>
  <c r="L53" i="9"/>
  <c r="H53" i="9"/>
  <c r="G53" i="9"/>
  <c r="F52" i="9"/>
  <c r="F51" i="9"/>
  <c r="D46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M18" i="9"/>
  <c r="G63" i="9" s="1"/>
  <c r="I63" i="9" s="1"/>
  <c r="N17" i="9"/>
  <c r="H62" i="9" s="1"/>
  <c r="L62" i="9" s="1"/>
  <c r="M17" i="9"/>
  <c r="G62" i="9" s="1"/>
  <c r="I62" i="9" s="1"/>
  <c r="M62" i="9" s="1"/>
  <c r="N16" i="9"/>
  <c r="H61" i="9" s="1"/>
  <c r="L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M11" i="9"/>
  <c r="G55" i="9" s="1"/>
  <c r="K55" i="9" s="1"/>
  <c r="N10" i="9"/>
  <c r="H54" i="9" s="1"/>
  <c r="L54" i="9" s="1"/>
  <c r="M10" i="9"/>
  <c r="G54" i="9" s="1"/>
  <c r="I54" i="9" s="1"/>
  <c r="N9" i="9"/>
  <c r="M9" i="9"/>
  <c r="G52" i="9" s="1"/>
  <c r="N8" i="9"/>
  <c r="H51" i="9" s="1"/>
  <c r="L51" i="9" s="1"/>
  <c r="M8" i="9"/>
  <c r="G51" i="9" s="1"/>
  <c r="N7" i="9"/>
  <c r="M7" i="9"/>
  <c r="E93" i="8"/>
  <c r="G93" i="8" s="1"/>
  <c r="E92" i="8"/>
  <c r="G92" i="8" s="1"/>
  <c r="G90" i="8"/>
  <c r="F90" i="8"/>
  <c r="E90" i="8"/>
  <c r="E89" i="8"/>
  <c r="G89" i="8" s="1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F64" i="8"/>
  <c r="F63" i="8"/>
  <c r="F62" i="8"/>
  <c r="F61" i="8"/>
  <c r="H59" i="8"/>
  <c r="L59" i="8" s="1"/>
  <c r="G59" i="8"/>
  <c r="K59" i="8" s="1"/>
  <c r="F59" i="8"/>
  <c r="F58" i="8"/>
  <c r="F57" i="8"/>
  <c r="F56" i="8"/>
  <c r="F55" i="8"/>
  <c r="H53" i="8"/>
  <c r="L53" i="8" s="1"/>
  <c r="G53" i="8"/>
  <c r="F53" i="8"/>
  <c r="F52" i="8"/>
  <c r="H51" i="8"/>
  <c r="F51" i="8"/>
  <c r="D46" i="8"/>
  <c r="M20" i="8"/>
  <c r="M21" i="8" s="1"/>
  <c r="E45" i="8" s="1"/>
  <c r="F45" i="8" s="1"/>
  <c r="N19" i="8"/>
  <c r="H64" i="8" s="1"/>
  <c r="L64" i="8" s="1"/>
  <c r="M19" i="8"/>
  <c r="G64" i="8" s="1"/>
  <c r="K64" i="8" s="1"/>
  <c r="N18" i="8"/>
  <c r="H63" i="8" s="1"/>
  <c r="L63" i="8" s="1"/>
  <c r="M18" i="8"/>
  <c r="G63" i="8" s="1"/>
  <c r="K63" i="8" s="1"/>
  <c r="N17" i="8"/>
  <c r="H62" i="8" s="1"/>
  <c r="L62" i="8" s="1"/>
  <c r="M17" i="8"/>
  <c r="G62" i="8" s="1"/>
  <c r="K62" i="8" s="1"/>
  <c r="N16" i="8"/>
  <c r="H61" i="8" s="1"/>
  <c r="L61" i="8" s="1"/>
  <c r="M16" i="8"/>
  <c r="G61" i="8" s="1"/>
  <c r="K61" i="8" s="1"/>
  <c r="N15" i="8"/>
  <c r="H60" i="8" s="1"/>
  <c r="L60" i="8" s="1"/>
  <c r="M15" i="8"/>
  <c r="G60" i="8" s="1"/>
  <c r="N14" i="8"/>
  <c r="H58" i="8" s="1"/>
  <c r="L58" i="8" s="1"/>
  <c r="M14" i="8"/>
  <c r="G58" i="8" s="1"/>
  <c r="K58" i="8" s="1"/>
  <c r="N13" i="8"/>
  <c r="H57" i="8" s="1"/>
  <c r="M13" i="8"/>
  <c r="G57" i="8" s="1"/>
  <c r="K57" i="8" s="1"/>
  <c r="N12" i="8"/>
  <c r="H56" i="8" s="1"/>
  <c r="L56" i="8" s="1"/>
  <c r="M12" i="8"/>
  <c r="G56" i="8" s="1"/>
  <c r="K56" i="8" s="1"/>
  <c r="N11" i="8"/>
  <c r="H55" i="8" s="1"/>
  <c r="L55" i="8" s="1"/>
  <c r="M11" i="8"/>
  <c r="G55" i="8" s="1"/>
  <c r="I55" i="8" s="1"/>
  <c r="N10" i="8"/>
  <c r="H54" i="8" s="1"/>
  <c r="L54" i="8" s="1"/>
  <c r="M10" i="8"/>
  <c r="G54" i="8" s="1"/>
  <c r="K54" i="8" s="1"/>
  <c r="N9" i="8"/>
  <c r="M9" i="8"/>
  <c r="G52" i="8" s="1"/>
  <c r="N8" i="8"/>
  <c r="M8" i="8"/>
  <c r="G51" i="8" s="1"/>
  <c r="N7" i="8"/>
  <c r="M7" i="8"/>
  <c r="E93" i="7"/>
  <c r="G93" i="7" s="1"/>
  <c r="E92" i="7"/>
  <c r="G92" i="7" s="1"/>
  <c r="E90" i="7"/>
  <c r="E89" i="7"/>
  <c r="D79" i="7"/>
  <c r="D74" i="7"/>
  <c r="F63" i="7"/>
  <c r="F62" i="7"/>
  <c r="F61" i="7"/>
  <c r="F60" i="7"/>
  <c r="H59" i="7"/>
  <c r="G59" i="7"/>
  <c r="F58" i="7"/>
  <c r="F55" i="7"/>
  <c r="F54" i="7"/>
  <c r="H53" i="7"/>
  <c r="L53" i="7" s="1"/>
  <c r="G53" i="7"/>
  <c r="K53" i="7" s="1"/>
  <c r="F52" i="7"/>
  <c r="M20" i="7"/>
  <c r="M21" i="7" s="1"/>
  <c r="E45" i="7" s="1"/>
  <c r="H64" i="7"/>
  <c r="L64" i="7" s="1"/>
  <c r="M19" i="7"/>
  <c r="G64" i="7" s="1"/>
  <c r="N18" i="7"/>
  <c r="H63" i="7" s="1"/>
  <c r="L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L60" i="7" s="1"/>
  <c r="M15" i="7"/>
  <c r="G60" i="7" s="1"/>
  <c r="K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L54" i="7" s="1"/>
  <c r="M10" i="7"/>
  <c r="G54" i="7" s="1"/>
  <c r="N9" i="7"/>
  <c r="H52" i="7" s="1"/>
  <c r="L52" i="7" s="1"/>
  <c r="M9" i="7"/>
  <c r="G52" i="7" s="1"/>
  <c r="N8" i="7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9" i="6"/>
  <c r="D77" i="6"/>
  <c r="D76" i="6"/>
  <c r="D74" i="6"/>
  <c r="D73" i="6"/>
  <c r="D71" i="6"/>
  <c r="D70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F54" i="3" s="1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L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41" i="6"/>
  <c r="D94" i="7" l="1"/>
  <c r="F93" i="8"/>
  <c r="J63" i="9"/>
  <c r="F93" i="9"/>
  <c r="F60" i="3"/>
  <c r="F92" i="7"/>
  <c r="G66" i="3"/>
  <c r="H66" i="3" s="1"/>
  <c r="M55" i="8"/>
  <c r="L63" i="9"/>
  <c r="F53" i="9"/>
  <c r="F92" i="12"/>
  <c r="F92" i="14"/>
  <c r="K58" i="3"/>
  <c r="L61" i="7"/>
  <c r="E65" i="8"/>
  <c r="F89" i="8"/>
  <c r="K63" i="9"/>
  <c r="J60" i="10"/>
  <c r="G90" i="11"/>
  <c r="F65" i="13"/>
  <c r="F68" i="3"/>
  <c r="L51" i="3"/>
  <c r="L59" i="3"/>
  <c r="L55" i="9"/>
  <c r="L64" i="10"/>
  <c r="G93" i="12"/>
  <c r="J55" i="10"/>
  <c r="K59" i="6"/>
  <c r="J54" i="9"/>
  <c r="F90" i="7"/>
  <c r="I56" i="9"/>
  <c r="F54" i="10"/>
  <c r="F65" i="10" s="1"/>
  <c r="F64" i="7"/>
  <c r="D84" i="7"/>
  <c r="H55" i="7"/>
  <c r="L55" i="7" s="1"/>
  <c r="E44" i="7"/>
  <c r="I54" i="7"/>
  <c r="J54" i="7" s="1"/>
  <c r="I52" i="7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H92" i="14"/>
  <c r="N59" i="14"/>
  <c r="L60" i="13"/>
  <c r="I60" i="13"/>
  <c r="J60" i="13" s="1"/>
  <c r="I55" i="11"/>
  <c r="K55" i="11"/>
  <c r="K51" i="9"/>
  <c r="I51" i="9"/>
  <c r="G45" i="9"/>
  <c r="F45" i="9"/>
  <c r="I53" i="7"/>
  <c r="J53" i="7" s="1"/>
  <c r="K54" i="7"/>
  <c r="D84" i="8"/>
  <c r="H51" i="10"/>
  <c r="H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F93" i="10"/>
  <c r="I59" i="11"/>
  <c r="J59" i="11" s="1"/>
  <c r="I63" i="11"/>
  <c r="J63" i="11" s="1"/>
  <c r="I53" i="14"/>
  <c r="M53" i="14" s="1"/>
  <c r="N53" i="14" s="1"/>
  <c r="H93" i="13"/>
  <c r="F66" i="3"/>
  <c r="K57" i="3"/>
  <c r="I56" i="10"/>
  <c r="J56" i="10" s="1"/>
  <c r="I59" i="12"/>
  <c r="J59" i="12" s="1"/>
  <c r="K53" i="3"/>
  <c r="G65" i="7"/>
  <c r="E43" i="7" s="1"/>
  <c r="G43" i="7" s="1"/>
  <c r="I64" i="11"/>
  <c r="J64" i="11" s="1"/>
  <c r="D84" i="14"/>
  <c r="H92" i="11"/>
  <c r="M52" i="7"/>
  <c r="N52" i="7" s="1"/>
  <c r="F92" i="8"/>
  <c r="I59" i="9"/>
  <c r="J59" i="9" s="1"/>
  <c r="I57" i="10"/>
  <c r="J57" i="10" s="1"/>
  <c r="G45" i="10"/>
  <c r="H45" i="10" s="1"/>
  <c r="I58" i="11"/>
  <c r="M58" i="11" s="1"/>
  <c r="N58" i="11" s="1"/>
  <c r="D84" i="11"/>
  <c r="I53" i="12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M54" i="9"/>
  <c r="N54" i="9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45" i="9"/>
  <c r="N63" i="9"/>
  <c r="H92" i="9"/>
  <c r="H90" i="11"/>
  <c r="N55" i="8"/>
  <c r="H89" i="8"/>
  <c r="H93" i="8"/>
  <c r="H44" i="10"/>
  <c r="H45" i="8"/>
  <c r="H90" i="8"/>
  <c r="H90" i="10"/>
  <c r="H89" i="12"/>
  <c r="H92" i="12"/>
  <c r="H93" i="12"/>
  <c r="H90" i="14"/>
  <c r="L57" i="8"/>
  <c r="I57" i="8"/>
  <c r="L56" i="7"/>
  <c r="I56" i="7"/>
  <c r="J56" i="7" s="1"/>
  <c r="G45" i="7"/>
  <c r="H45" i="7" s="1"/>
  <c r="F45" i="7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F65" i="7"/>
  <c r="I61" i="9"/>
  <c r="J61" i="9" s="1"/>
  <c r="K61" i="9"/>
  <c r="I52" i="12"/>
  <c r="J52" i="12" s="1"/>
  <c r="K52" i="12"/>
  <c r="G65" i="12"/>
  <c r="E43" i="12" s="1"/>
  <c r="H65" i="8"/>
  <c r="L51" i="8"/>
  <c r="L65" i="8" s="1"/>
  <c r="I62" i="8"/>
  <c r="I58" i="9"/>
  <c r="J58" i="9" s="1"/>
  <c r="K61" i="10"/>
  <c r="I61" i="10"/>
  <c r="L51" i="10"/>
  <c r="L65" i="10" s="1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94" i="14" s="1"/>
  <c r="F94" i="14" s="1"/>
  <c r="E45" i="14"/>
  <c r="I64" i="8"/>
  <c r="J64" i="8" s="1"/>
  <c r="H51" i="7"/>
  <c r="I51" i="7" s="1"/>
  <c r="K52" i="8"/>
  <c r="I52" i="8"/>
  <c r="J52" i="8" s="1"/>
  <c r="J55" i="8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J52" i="7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4" i="9"/>
  <c r="N64" i="9" s="1"/>
  <c r="J64" i="9"/>
  <c r="J53" i="12"/>
  <c r="M53" i="12"/>
  <c r="N53" i="12" s="1"/>
  <c r="M60" i="8"/>
  <c r="N60" i="8" s="1"/>
  <c r="D84" i="9"/>
  <c r="K51" i="7"/>
  <c r="K58" i="7"/>
  <c r="I58" i="7"/>
  <c r="E91" i="8"/>
  <c r="K52" i="9"/>
  <c r="K62" i="9"/>
  <c r="G91" i="9"/>
  <c r="H91" i="9" s="1"/>
  <c r="G89" i="10"/>
  <c r="F89" i="10"/>
  <c r="I60" i="7"/>
  <c r="K61" i="7"/>
  <c r="I64" i="7"/>
  <c r="J64" i="7" s="1"/>
  <c r="G89" i="7"/>
  <c r="I54" i="8"/>
  <c r="J54" i="8" s="1"/>
  <c r="I51" i="8"/>
  <c r="M51" i="8" s="1"/>
  <c r="I53" i="8"/>
  <c r="K53" i="8"/>
  <c r="I59" i="8"/>
  <c r="J59" i="8" s="1"/>
  <c r="E94" i="8"/>
  <c r="F94" i="8" s="1"/>
  <c r="E44" i="9"/>
  <c r="H52" i="9"/>
  <c r="M55" i="9"/>
  <c r="N55" i="9" s="1"/>
  <c r="G65" i="10"/>
  <c r="E43" i="10" s="1"/>
  <c r="K51" i="10"/>
  <c r="I51" i="10"/>
  <c r="M51" i="10" s="1"/>
  <c r="K55" i="10"/>
  <c r="I62" i="10"/>
  <c r="J62" i="10" s="1"/>
  <c r="K61" i="11"/>
  <c r="I61" i="11"/>
  <c r="J61" i="11" s="1"/>
  <c r="M63" i="8"/>
  <c r="N63" i="8" s="1"/>
  <c r="K56" i="9"/>
  <c r="K57" i="10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M52" i="12"/>
  <c r="N52" i="12" s="1"/>
  <c r="L58" i="12"/>
  <c r="I58" i="12"/>
  <c r="J58" i="12" s="1"/>
  <c r="G44" i="14"/>
  <c r="H44" i="14" s="1"/>
  <c r="F44" i="14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F44" i="13"/>
  <c r="G65" i="9"/>
  <c r="E43" i="9" s="1"/>
  <c r="E91" i="10"/>
  <c r="E94" i="10" s="1"/>
  <c r="F94" i="10" s="1"/>
  <c r="M59" i="11"/>
  <c r="N59" i="11" s="1"/>
  <c r="H65" i="12"/>
  <c r="I58" i="13"/>
  <c r="J58" i="13" s="1"/>
  <c r="K58" i="13"/>
  <c r="K63" i="13"/>
  <c r="I63" i="13"/>
  <c r="J63" i="13" s="1"/>
  <c r="F45" i="13"/>
  <c r="G45" i="13"/>
  <c r="H45" i="13" s="1"/>
  <c r="K59" i="13"/>
  <c r="I59" i="13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4" i="12"/>
  <c r="I55" i="12"/>
  <c r="I60" i="12"/>
  <c r="J60" i="12" s="1"/>
  <c r="K60" i="12"/>
  <c r="G90" i="13"/>
  <c r="F90" i="13"/>
  <c r="K54" i="14"/>
  <c r="I54" i="14"/>
  <c r="J54" i="14" s="1"/>
  <c r="K58" i="14"/>
  <c r="I58" i="14"/>
  <c r="F90" i="9"/>
  <c r="F92" i="9"/>
  <c r="L65" i="12"/>
  <c r="K56" i="13"/>
  <c r="I56" i="13"/>
  <c r="E91" i="13"/>
  <c r="I55" i="13"/>
  <c r="K61" i="13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M51" i="3" s="1"/>
  <c r="N51" i="3" s="1"/>
  <c r="F69" i="3"/>
  <c r="L53" i="3"/>
  <c r="L57" i="3"/>
  <c r="D61" i="3"/>
  <c r="D44" i="3"/>
  <c r="I49" i="3"/>
  <c r="I54" i="3"/>
  <c r="J54" i="3" s="1"/>
  <c r="K54" i="3"/>
  <c r="I57" i="3"/>
  <c r="E70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J53" i="3" s="1"/>
  <c r="E42" i="3"/>
  <c r="F42" i="3" s="1"/>
  <c r="F49" i="3"/>
  <c r="L55" i="3"/>
  <c r="M53" i="3" l="1"/>
  <c r="N53" i="3" s="1"/>
  <c r="M64" i="10"/>
  <c r="N64" i="10" s="1"/>
  <c r="M62" i="14"/>
  <c r="N62" i="14" s="1"/>
  <c r="M52" i="10"/>
  <c r="N52" i="10" s="1"/>
  <c r="M58" i="3"/>
  <c r="N58" i="3" s="1"/>
  <c r="M63" i="11"/>
  <c r="N63" i="11" s="1"/>
  <c r="G42" i="3"/>
  <c r="H42" i="3" s="1"/>
  <c r="M62" i="13"/>
  <c r="N62" i="13" s="1"/>
  <c r="M57" i="11"/>
  <c r="N57" i="11" s="1"/>
  <c r="M60" i="14"/>
  <c r="N60" i="14" s="1"/>
  <c r="M59" i="10"/>
  <c r="N59" i="10" s="1"/>
  <c r="K65" i="9"/>
  <c r="M64" i="8"/>
  <c r="N64" i="8" s="1"/>
  <c r="M52" i="13"/>
  <c r="N52" i="13" s="1"/>
  <c r="M59" i="3"/>
  <c r="N59" i="3" s="1"/>
  <c r="M56" i="8"/>
  <c r="N56" i="8" s="1"/>
  <c r="M61" i="7"/>
  <c r="N61" i="7" s="1"/>
  <c r="I55" i="7"/>
  <c r="J55" i="7" s="1"/>
  <c r="M54" i="7"/>
  <c r="N54" i="7" s="1"/>
  <c r="F43" i="7"/>
  <c r="M59" i="7"/>
  <c r="N59" i="7" s="1"/>
  <c r="J63" i="7"/>
  <c r="H65" i="7"/>
  <c r="M55" i="7"/>
  <c r="N55" i="7" s="1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M54" i="12"/>
  <c r="N54" i="12" s="1"/>
  <c r="J54" i="12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43" i="7"/>
  <c r="G46" i="7"/>
  <c r="H46" i="7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G94" i="13"/>
  <c r="H94" i="13" s="1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I65" i="7" l="1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C3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E67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4" l="1"/>
  <c r="F67" i="4" s="1"/>
  <c r="E43" i="5"/>
  <c r="E41" i="4"/>
  <c r="G66" i="4"/>
  <c r="H66" i="4" s="1"/>
  <c r="E70" i="5"/>
  <c r="M54" i="4"/>
  <c r="N54" i="4" s="1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M60" i="4"/>
  <c r="N60" i="4" s="1"/>
  <c r="E70" i="4"/>
  <c r="K57" i="4"/>
  <c r="I57" i="4"/>
  <c r="J57" i="4" s="1"/>
  <c r="H65" i="4"/>
  <c r="H61" i="4"/>
  <c r="L49" i="4"/>
  <c r="L61" i="4" s="1"/>
  <c r="G41" i="4"/>
  <c r="F41" i="4"/>
  <c r="J54" i="4"/>
  <c r="K52" i="4"/>
  <c r="I52" i="4"/>
  <c r="J52" i="4" s="1"/>
  <c r="G61" i="4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E44" i="5" l="1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<sst xmlns="http://schemas.openxmlformats.org/spreadsheetml/2006/main" count="1875" uniqueCount="185">
  <si>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</si>
  <si>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</si>
  <si>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</si>
  <si>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</si>
  <si>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</si>
  <si>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</si>
  <si>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</si>
  <si>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</si>
  <si>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</si>
  <si>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</si>
  <si>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</si>
  <si>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</si>
  <si>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</si>
  <si>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</si>
  <si>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</si>
  <si>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</si>
  <si>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</si>
  <si>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</si>
  <si>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</si>
  <si>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</si>
  <si>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</si>
  <si>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</si>
  <si>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</si>
  <si>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</si>
  <si>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</si>
  <si>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</si>
  <si>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</si>
  <si>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</si>
  <si>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</si>
  <si>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</si>
  <si>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</si>
  <si>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</si>
  <si>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</si>
  <si>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</si>
  <si>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</si>
  <si>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</si>
  <si>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</si>
  <si>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</si>
  <si>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</si>
  <si>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</si>
  <si>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</si>
  <si>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</si>
  <si>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</si>
  <si>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</si>
  <si>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</si>
  <si>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</si>
  <si>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</si>
  <si>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</si>
  <si>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</si>
  <si>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</si>
  <si>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</si>
  <si>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</si>
  <si>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</si>
  <si>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</si>
  <si>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</si>
  <si>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</si>
  <si>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</si>
  <si>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</si>
  <si>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</si>
  <si>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</si>
  <si>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</si>
  <si>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</si>
  <si>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</si>
  <si>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</si>
  <si>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</si>
  <si>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</si>
  <si>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</si>
  <si>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</si>
  <si>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</si>
  <si>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</si>
  <si>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</si>
  <si>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</si>
  <si>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</si>
  <si>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</si>
  <si>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</si>
  <si>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</si>
  <si>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</si>
  <si>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</si>
  <si>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</si>
  <si>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</si>
  <si>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</si>
  <si>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</si>
  <si>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</si>
  <si>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</si>
  <si>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</si>
  <si>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</si>
  <si>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</si>
  <si>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</si>
  <si>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</si>
  <si>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</si>
  <si>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</si>
  <si>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</si>
  <si>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</si>
  <si>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</si>
  <si>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</si>
  <si>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</si>
  <si>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</si>
  <si>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</si>
  <si>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</si>
  <si>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</si>
  <si>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</si>
  <si>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</si>
  <si>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</si>
  <si>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</si>
  <si>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</si>
  <si>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</si>
  <si>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</si>
  <si>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</si>
  <si>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</si>
  <si>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</si>
  <si>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</si>
  <si>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</si>
  <si>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</si>
  <si>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</si>
  <si>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</si>
  <si>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</si>
  <si>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</si>
  <si>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</si>
  <si>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</si>
  <si>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</si>
  <si>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</si>
  <si>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</si>
  <si>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</si>
  <si>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</si>
  <si>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</si>
  <si>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</si>
  <si>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</si>
  <si>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</si>
  <si>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</si>
  <si>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</si>
  <si>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</si>
  <si>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</si>
  <si>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</si>
  <si>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</si>
  <si>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</si>
  <si>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</si>
  <si>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</si>
  <si>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</si>
  <si>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</si>
  <si>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</si>
  <si>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</si>
  <si>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</si>
  <si>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</si>
  <si>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</si>
  <si>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</si>
  <si>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</si>
  <si>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</si>
  <si>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</si>
  <si>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</si>
  <si>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</si>
  <si>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</si>
  <si>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</si>
  <si>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</si>
  <si>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</si>
  <si>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</si>
  <si>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</si>
  <si>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</si>
  <si>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</si>
  <si>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</si>
  <si>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</si>
  <si>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GLOBAL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</si>
  <si>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</si>
  <si>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</si>
  <si>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</si>
  <si>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</si>
  <si>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</si>
  <si>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</si>
  <si>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</si>
  <si>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</si>
  <si>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</si>
  <si>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</si>
  <si>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</si>
  <si>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</si>
  <si>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</si>
  <si>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</si>
  <si>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</si>
  <si>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</si>
  <si>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</si>
  <si>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</si>
  <si>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</si>
  <si>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</si>
  <si>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</si>
  <si>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</si>
  <si>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</si>
  <si>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06 MEI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</si>
</sst>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20" borderId="1" xfId="0" applyNumberFormat="1" applyFont="1" applyFill="1" applyBorder="1" applyAlignment="1">
      <alignment horizontal="center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8"/>
  <sheetViews>
    <sheetView showGridLines="0" zoomScale="110" zoomScaleNormal="110" workbookViewId="0">
      <selection activeCell="B10" sqref="B10:C18"/>
    </sheetView>
  </sheetViews>
  <sheetFormatPr baseColWidth="10" defaultColWidth="8.6640625" defaultRowHeight="15" x14ac:dyDescent="0.2"/>
  <cols>
    <col min="1" max="1" width="3" customWidth="1"/>
    <col min="2" max="2" width="17.5" bestFit="1" customWidth="1"/>
    <col min="3" max="3" width="64.83203125" bestFit="1" customWidth="1"/>
  </cols>
  <sheetData>
    <row r="1" spans="2:3" ht="18" x14ac:dyDescent="0.2">
      <c r="B1" s="226" t="s">
        <v>0</v>
      </c>
      <c r="C1" s="226"/>
    </row>
    <row r="3" spans="2:3" x14ac:dyDescent="0.2">
      <c r="B3" s="227" t="s">
        <v>1</v>
      </c>
      <c r="C3" s="227"/>
    </row>
    <row r="4" spans="2:3" x14ac:dyDescent="0.2">
      <c r="B4" s="1" t="s">
        <v>2</v>
      </c>
      <c r="C4" s="2" t="s">
        <v>3</v>
      </c>
    </row>
    <row r="5" spans="2:3" x14ac:dyDescent="0.2">
      <c r="B5" s="1" t="s">
        <v>4</v>
      </c>
      <c r="C5" s="2" t="s">
        <v>5</v>
      </c>
    </row>
    <row r="6" spans="2:3" x14ac:dyDescent="0.2">
      <c r="B6" s="1" t="s">
        <v>6</v>
      </c>
      <c r="C6" s="2" t="s">
        <v>7</v>
      </c>
    </row>
    <row r="7" spans="2:3" x14ac:dyDescent="0.2">
      <c r="B7" s="1" t="s">
        <v>8</v>
      </c>
      <c r="C7" s="2" t="s">
        <v>9</v>
      </c>
    </row>
    <row r="8" spans="2:3" x14ac:dyDescent="0.2">
      <c r="B8" s="1" t="s">
        <v>10</v>
      </c>
      <c r="C8" s="2" t="s">
        <v>11</v>
      </c>
    </row>
    <row r="9" spans="2:3" x14ac:dyDescent="0.2">
      <c r="B9" s="1" t="s">
        <v>12</v>
      </c>
      <c r="C9" s="2" t="s">
        <v>13</v>
      </c>
    </row>
    <row r="11" spans="2:3" x14ac:dyDescent="0.2">
      <c r="B11" s="228" t="s">
        <v>14</v>
      </c>
      <c r="C11" s="228"/>
    </row>
    <row r="12" spans="2:3" x14ac:dyDescent="0.2">
      <c r="B12" s="1" t="s">
        <v>15</v>
      </c>
      <c r="C12" s="2" t="s">
        <v>16</v>
      </c>
    </row>
    <row r="13" spans="2:3" x14ac:dyDescent="0.2">
      <c r="B13" s="1" t="s">
        <v>15</v>
      </c>
      <c r="C13" s="2" t="s">
        <v>17</v>
      </c>
    </row>
    <row r="14" spans="2:3" x14ac:dyDescent="0.2">
      <c r="B14" s="1" t="s">
        <v>18</v>
      </c>
      <c r="C14" s="2" t="s">
        <v>19</v>
      </c>
    </row>
    <row r="15" spans="2:3" x14ac:dyDescent="0.2">
      <c r="B15" s="1" t="s">
        <v>18</v>
      </c>
      <c r="C15" s="2" t="s">
        <v>20</v>
      </c>
    </row>
    <row r="16" spans="2:3" x14ac:dyDescent="0.2">
      <c r="B16" s="1" t="s">
        <v>21</v>
      </c>
      <c r="C16" s="2" t="s">
        <v>22</v>
      </c>
    </row>
    <row r="17" spans="2:3" x14ac:dyDescent="0.2">
      <c r="B17" s="1" t="s">
        <v>23</v>
      </c>
      <c r="C17" s="2" t="s">
        <v>24</v>
      </c>
    </row>
    <row r="18" spans="2:3" x14ac:dyDescent="0.2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29"/>
  <sheetViews>
    <sheetView showGridLines="0" topLeftCell="E4" zoomScale="165" zoomScaleNormal="100" workbookViewId="0">
      <selection activeCell="H22" sqref="H22:H24"/>
    </sheetView>
  </sheetViews>
  <sheetFormatPr baseColWidth="10" defaultColWidth="8.6640625" defaultRowHeight="15" x14ac:dyDescent="0.2"/>
  <cols>
    <col min="1" max="1" width="2" customWidth="1"/>
    <col min="2" max="2" width="32" customWidth="1"/>
    <col min="3" max="3" width="14.33203125" bestFit="1" customWidth="1"/>
    <col min="4" max="6" width="12.6640625" bestFit="1" customWidth="1"/>
    <col min="7" max="7" width="12.83203125" bestFit="1" customWidth="1"/>
    <col min="8" max="8" width="12.6640625" bestFit="1" customWidth="1"/>
    <col min="9" max="9" width="11.1640625" bestFit="1" customWidth="1"/>
    <col min="10" max="11" width="11.33203125" bestFit="1" customWidth="1"/>
    <col min="12" max="12" width="9.5" bestFit="1" customWidth="1"/>
    <col min="13" max="13" width="8.1640625" bestFit="1" customWidth="1"/>
    <col min="14" max="14" width="9.83203125" bestFit="1" customWidth="1"/>
    <col min="15" max="15" width="8.5" bestFit="1" customWidth="1"/>
    <col min="16" max="16" width="9.6640625" bestFit="1" customWidth="1"/>
    <col min="17" max="17" width="8.33203125" bestFit="1" customWidth="1"/>
    <col min="18" max="18" width="10.33203125" bestFit="1" customWidth="1"/>
    <col min="19" max="19" width="8.83203125" bestFit="1" customWidth="1"/>
    <col min="20" max="20" width="10" bestFit="1" customWidth="1"/>
    <col min="22" max="22" width="10.1640625" bestFit="1" customWidth="1"/>
    <col min="24" max="24" width="10.1640625" bestFit="1" customWidth="1"/>
    <col min="25" max="25" width="8.83203125" bestFit="1" customWidth="1"/>
    <col min="26" max="26" width="10" bestFit="1" customWidth="1"/>
  </cols>
  <sheetData>
    <row r="1" spans="2:27" ht="18" x14ac:dyDescent="0.2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">
      <c r="B3" s="227" t="s">
        <v>28</v>
      </c>
      <c r="C3" s="227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x14ac:dyDescent="0.2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">
      <c r="B7" s="145" t="s">
        <v>176</v>
      </c>
      <c r="C7" s="146" t="s">
        <v>177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">
      <c r="B13" s="145" t="s">
        <v>176</v>
      </c>
      <c r="C13" s="146" t="s">
        <v>178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x14ac:dyDescent="0.2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">
      <c r="B29" s="229" t="s">
        <v>102</v>
      </c>
      <c r="C29" s="229"/>
      <c r="D29" s="229"/>
      <c r="E29" s="229"/>
      <c r="F29" s="229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70"/>
  <sheetViews>
    <sheetView showGridLines="0" zoomScaleNormal="100" workbookViewId="0">
      <selection activeCell="C3" sqref="C3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6" width="12.6640625" bestFit="1" customWidth="1"/>
    <col min="7" max="7" width="13.6640625" bestFit="1" customWidth="1"/>
    <col min="8" max="8" width="9" bestFit="1" customWidth="1"/>
    <col min="9" max="9" width="4.83203125" bestFit="1" customWidth="1"/>
    <col min="10" max="10" width="3.5" bestFit="1" customWidth="1"/>
    <col min="11" max="13" width="12.6640625" bestFit="1" customWidth="1"/>
    <col min="14" max="14" width="8.1640625" bestFit="1" customWidth="1"/>
    <col min="16" max="16" width="13.33203125" bestFit="1" customWidth="1"/>
    <col min="17" max="17" width="12" bestFit="1" customWidth="1"/>
  </cols>
  <sheetData>
    <row r="1" spans="2:17" ht="19" x14ac:dyDescent="0.2">
      <c r="B1" s="86" t="s">
        <v>171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6" x14ac:dyDescent="0.2">
      <c r="B3" s="77" t="s">
        <v>103</v>
      </c>
      <c r="C3" s="78">
        <v>0</v>
      </c>
      <c r="D3" s="79" t="s">
        <v>104</v>
      </c>
      <c r="E3" s="80">
        <v>30</v>
      </c>
    </row>
    <row r="6" spans="2:17" x14ac:dyDescent="0.2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">
      <c r="B22" s="84" t="s">
        <v>125</v>
      </c>
      <c r="C22" s="85"/>
      <c r="D22" s="85"/>
      <c r="E22" s="85"/>
    </row>
    <row r="23" spans="2:17" x14ac:dyDescent="0.2">
      <c r="B23" s="84" t="s">
        <v>126</v>
      </c>
      <c r="C23" s="85"/>
      <c r="D23" s="85"/>
      <c r="E23" s="85"/>
    </row>
    <row r="24" spans="2:17" x14ac:dyDescent="0.2">
      <c r="B24" s="84" t="s">
        <v>127</v>
      </c>
      <c r="C24" s="85"/>
      <c r="D24" s="85"/>
      <c r="E24" s="85"/>
    </row>
    <row r="25" spans="2:17" x14ac:dyDescent="0.2">
      <c r="B25" s="84" t="s">
        <v>128</v>
      </c>
      <c r="C25" s="85"/>
      <c r="D25" s="85"/>
      <c r="E25" s="85"/>
    </row>
    <row r="27" spans="2:17" x14ac:dyDescent="0.2">
      <c r="B27" s="82" t="s">
        <v>129</v>
      </c>
      <c r="C27" s="82"/>
    </row>
    <row r="28" spans="2:17" x14ac:dyDescent="0.2">
      <c r="B28" s="83" t="s">
        <v>130</v>
      </c>
      <c r="C28" s="83" t="s">
        <v>131</v>
      </c>
    </row>
    <row r="29" spans="2:17" x14ac:dyDescent="0.2">
      <c r="B29" s="76"/>
      <c r="C29" s="85"/>
    </row>
    <row r="30" spans="2:17" x14ac:dyDescent="0.2">
      <c r="B30" s="84" t="s">
        <v>132</v>
      </c>
      <c r="C30" s="85"/>
    </row>
    <row r="31" spans="2:17" x14ac:dyDescent="0.2">
      <c r="B31" s="84" t="s">
        <v>133</v>
      </c>
      <c r="C31" s="85"/>
    </row>
    <row r="32" spans="2:17" x14ac:dyDescent="0.2">
      <c r="B32" s="84" t="s">
        <v>134</v>
      </c>
      <c r="C32" s="85"/>
    </row>
    <row r="33" spans="2:14" x14ac:dyDescent="0.2">
      <c r="B33" s="84" t="s">
        <v>135</v>
      </c>
      <c r="C33" s="85"/>
    </row>
    <row r="34" spans="2:14" x14ac:dyDescent="0.2">
      <c r="B34" s="84" t="s">
        <v>136</v>
      </c>
      <c r="C34" s="85"/>
    </row>
    <row r="35" spans="2:14" x14ac:dyDescent="0.2">
      <c r="B35" s="84"/>
      <c r="C35" s="85"/>
    </row>
    <row r="36" spans="2:14" x14ac:dyDescent="0.2">
      <c r="B36" s="76"/>
      <c r="C36" s="85"/>
    </row>
    <row r="39" spans="2:14" ht="20" customHeight="1" x14ac:dyDescent="0.2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6" x14ac:dyDescent="0.2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>IFERROR(G41/C3,0)</f>
        <v>0</v>
      </c>
    </row>
    <row r="42" spans="2:14" x14ac:dyDescent="0.2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>IFERROR(G42/C3,0)</f>
        <v>0</v>
      </c>
    </row>
    <row r="43" spans="2:14" x14ac:dyDescent="0.2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>IFERROR(G43/C3,0)</f>
        <v>0</v>
      </c>
    </row>
    <row r="44" spans="2:14" x14ac:dyDescent="0.2">
      <c r="B44" s="231" t="s">
        <v>146</v>
      </c>
      <c r="C44" s="232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>IFERROR(G44/C3,0)</f>
        <v>0</v>
      </c>
    </row>
    <row r="46" spans="2:14" ht="19" x14ac:dyDescent="0.2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" customHeight="1" x14ac:dyDescent="0.2">
      <c r="B47" s="233" t="s">
        <v>41</v>
      </c>
      <c r="C47" s="233" t="s">
        <v>42</v>
      </c>
      <c r="D47" s="234" t="s">
        <v>138</v>
      </c>
      <c r="E47" s="235"/>
      <c r="F47" s="236"/>
      <c r="G47" s="101" t="s">
        <v>139</v>
      </c>
      <c r="H47" s="101"/>
      <c r="I47" s="101"/>
      <c r="J47" s="233" t="s">
        <v>140</v>
      </c>
      <c r="K47" s="102" t="s">
        <v>148</v>
      </c>
      <c r="L47" s="102"/>
      <c r="M47" s="102"/>
      <c r="N47" s="230" t="s">
        <v>149</v>
      </c>
    </row>
    <row r="48" spans="2:14" ht="16" x14ac:dyDescent="0.2">
      <c r="B48" s="233"/>
      <c r="C48" s="23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33"/>
      <c r="K48" s="104" t="s">
        <v>143</v>
      </c>
      <c r="L48" s="104" t="s">
        <v>111</v>
      </c>
      <c r="M48" s="104" t="s">
        <v>146</v>
      </c>
      <c r="N48" s="230"/>
    </row>
    <row r="49" spans="2:14" x14ac:dyDescent="0.2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>IFERROR(M49/C3,0)</f>
        <v>0</v>
      </c>
    </row>
    <row r="50" spans="2:14" x14ac:dyDescent="0.2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>IFERROR(M50/C3,0)</f>
        <v>0</v>
      </c>
    </row>
    <row r="51" spans="2:14" x14ac:dyDescent="0.2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>IFERROR(M51/C3,0)</f>
        <v>0</v>
      </c>
    </row>
    <row r="52" spans="2:14" x14ac:dyDescent="0.2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>IFERROR(M52/C3,0)</f>
        <v>0</v>
      </c>
    </row>
    <row r="53" spans="2:14" x14ac:dyDescent="0.2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>IFERROR(M53/C3,0)</f>
        <v>0</v>
      </c>
    </row>
    <row r="54" spans="2:14" x14ac:dyDescent="0.2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>IFERROR(M54/C3,0)</f>
        <v>0</v>
      </c>
    </row>
    <row r="55" spans="2:14" x14ac:dyDescent="0.2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>IFERROR(M55/C3,0)</f>
        <v>0</v>
      </c>
    </row>
    <row r="56" spans="2:14" x14ac:dyDescent="0.2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>IFERROR(M56/C3,0)</f>
        <v>0</v>
      </c>
    </row>
    <row r="57" spans="2:14" x14ac:dyDescent="0.2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>IFERROR(M57/C3,0)</f>
        <v>0</v>
      </c>
    </row>
    <row r="58" spans="2:14" x14ac:dyDescent="0.2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>IFERROR(M58/C3,0)</f>
        <v>0</v>
      </c>
    </row>
    <row r="59" spans="2:14" x14ac:dyDescent="0.2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>IFERROR(M59/C3,0)</f>
        <v>0</v>
      </c>
    </row>
    <row r="60" spans="2:14" x14ac:dyDescent="0.2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>IFERROR(M60/C3,0)</f>
        <v>0</v>
      </c>
    </row>
    <row r="61" spans="2:14" x14ac:dyDescent="0.2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>IFERROR(M61/C3,0)</f>
        <v>0</v>
      </c>
    </row>
    <row r="63" spans="2:14" ht="19" x14ac:dyDescent="0.2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>IFERROR(G65/C3,0)</f>
        <v>0</v>
      </c>
    </row>
    <row r="66" spans="2:8" x14ac:dyDescent="0.2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>IFERROR(G66/C3,0)</f>
        <v>0</v>
      </c>
    </row>
    <row r="67" spans="2:8" x14ac:dyDescent="0.2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>IFERROR(G67/C3,0)</f>
        <v>0</v>
      </c>
    </row>
    <row r="68" spans="2:8" x14ac:dyDescent="0.2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>IFERROR(G68/C3,0)</f>
        <v>0</v>
      </c>
    </row>
    <row r="69" spans="2:8" x14ac:dyDescent="0.2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>IFERROR(G69/C3,0)</f>
        <v>0</v>
      </c>
    </row>
    <row r="70" spans="2:8" x14ac:dyDescent="0.2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70"/>
  <sheetViews>
    <sheetView showGridLines="0" zoomScale="85" zoomScaleNormal="100" workbookViewId="0">
      <selection activeCell="D35" sqref="D35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4.1640625" bestFit="1" customWidth="1"/>
    <col min="4" max="4" width="38.33203125" bestFit="1" customWidth="1"/>
    <col min="5" max="7" width="12.6640625" bestFit="1" customWidth="1"/>
    <col min="8" max="8" width="9.1640625" bestFit="1" customWidth="1"/>
    <col min="9" max="9" width="5.33203125" bestFit="1" customWidth="1"/>
    <col min="10" max="10" width="3.6640625" bestFit="1" customWidth="1"/>
    <col min="11" max="13" width="12.6640625" bestFit="1" customWidth="1"/>
    <col min="14" max="14" width="8.33203125" bestFit="1" customWidth="1"/>
    <col min="16" max="16" width="14.1640625" bestFit="1" customWidth="1"/>
    <col min="17" max="17" width="13.33203125" bestFit="1" customWidth="1"/>
  </cols>
  <sheetData>
    <row r="1" spans="2:17" ht="19" x14ac:dyDescent="0.2">
      <c r="B1" s="86" t="s">
        <v>171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6" x14ac:dyDescent="0.2">
      <c r="B3" s="77" t="s">
        <v>103</v>
      </c>
      <c r="C3" s="78">
        <v>0</v>
      </c>
      <c r="D3" s="79" t="s">
        <v>104</v>
      </c>
      <c r="E3" s="80">
        <v>30</v>
      </c>
    </row>
    <row r="6" spans="2:17" x14ac:dyDescent="0.2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">
      <c r="B22" s="84" t="s">
        <v>125</v>
      </c>
      <c r="C22" s="85"/>
      <c r="D22" s="85"/>
      <c r="E22" s="85"/>
    </row>
    <row r="23" spans="2:17" x14ac:dyDescent="0.2">
      <c r="B23" s="84" t="s">
        <v>126</v>
      </c>
      <c r="C23" s="85"/>
      <c r="D23" s="85"/>
      <c r="E23" s="85"/>
    </row>
    <row r="24" spans="2:17" x14ac:dyDescent="0.2">
      <c r="B24" s="84" t="s">
        <v>127</v>
      </c>
      <c r="C24" s="85"/>
      <c r="D24" s="85"/>
      <c r="E24" s="85"/>
    </row>
    <row r="25" spans="2:17" x14ac:dyDescent="0.2">
      <c r="B25" s="84" t="s">
        <v>128</v>
      </c>
      <c r="C25" s="85"/>
      <c r="D25" s="85"/>
      <c r="E25" s="85"/>
    </row>
    <row r="27" spans="2:17" x14ac:dyDescent="0.2">
      <c r="B27" s="82" t="s">
        <v>129</v>
      </c>
      <c r="C27" s="82"/>
    </row>
    <row r="28" spans="2:17" x14ac:dyDescent="0.2">
      <c r="B28" s="83" t="s">
        <v>130</v>
      </c>
      <c r="C28" s="83" t="s">
        <v>131</v>
      </c>
    </row>
    <row r="29" spans="2:17" x14ac:dyDescent="0.2">
      <c r="B29" s="76"/>
      <c r="C29" s="85"/>
    </row>
    <row r="30" spans="2:17" x14ac:dyDescent="0.2">
      <c r="B30" s="84" t="s">
        <v>132</v>
      </c>
      <c r="C30" s="85"/>
    </row>
    <row r="31" spans="2:17" x14ac:dyDescent="0.2">
      <c r="B31" s="84" t="s">
        <v>133</v>
      </c>
      <c r="C31" s="85"/>
    </row>
    <row r="32" spans="2:17" x14ac:dyDescent="0.2">
      <c r="B32" s="84" t="s">
        <v>134</v>
      </c>
      <c r="C32" s="85"/>
    </row>
    <row r="33" spans="2:14" x14ac:dyDescent="0.2">
      <c r="B33" s="84" t="s">
        <v>135</v>
      </c>
      <c r="C33" s="85"/>
    </row>
    <row r="34" spans="2:14" x14ac:dyDescent="0.2">
      <c r="B34" s="84" t="s">
        <v>136</v>
      </c>
      <c r="C34" s="85"/>
    </row>
    <row r="35" spans="2:14" x14ac:dyDescent="0.2">
      <c r="B35" s="84"/>
      <c r="C35" s="85"/>
    </row>
    <row r="36" spans="2:14" x14ac:dyDescent="0.2">
      <c r="B36" s="76"/>
      <c r="C36" s="85"/>
    </row>
    <row r="39" spans="2:14" ht="20" customHeight="1" x14ac:dyDescent="0.2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6" x14ac:dyDescent="0.2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>IFERROR(G41/C3,0)</f>
        <v>0</v>
      </c>
    </row>
    <row r="42" spans="2:14" x14ac:dyDescent="0.2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>IFERROR(G42/C3,0)</f>
        <v>0</v>
      </c>
    </row>
    <row r="43" spans="2:14" x14ac:dyDescent="0.2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>IFERROR(G43/C3,0)</f>
        <v>0</v>
      </c>
    </row>
    <row r="44" spans="2:14" x14ac:dyDescent="0.2">
      <c r="B44" s="231" t="s">
        <v>146</v>
      </c>
      <c r="C44" s="232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>IFERROR(G44/C3,0)</f>
        <v>0</v>
      </c>
    </row>
    <row r="46" spans="2:14" ht="19" x14ac:dyDescent="0.2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" customHeight="1" x14ac:dyDescent="0.2">
      <c r="B47" s="233" t="s">
        <v>41</v>
      </c>
      <c r="C47" s="233" t="s">
        <v>42</v>
      </c>
      <c r="D47" s="234" t="s">
        <v>138</v>
      </c>
      <c r="E47" s="235"/>
      <c r="F47" s="236"/>
      <c r="G47" s="101" t="s">
        <v>139</v>
      </c>
      <c r="H47" s="101"/>
      <c r="I47" s="101"/>
      <c r="J47" s="233" t="s">
        <v>140</v>
      </c>
      <c r="K47" s="102" t="s">
        <v>148</v>
      </c>
      <c r="L47" s="102"/>
      <c r="M47" s="102"/>
      <c r="N47" s="230" t="s">
        <v>149</v>
      </c>
    </row>
    <row r="48" spans="2:14" ht="16" x14ac:dyDescent="0.2">
      <c r="B48" s="233"/>
      <c r="C48" s="23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33"/>
      <c r="K48" s="104" t="s">
        <v>143</v>
      </c>
      <c r="L48" s="104" t="s">
        <v>111</v>
      </c>
      <c r="M48" s="104" t="s">
        <v>146</v>
      </c>
      <c r="N48" s="230"/>
    </row>
    <row r="49" spans="2:14" x14ac:dyDescent="0.2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>IFERROR(M49/C3,0)</f>
        <v>0</v>
      </c>
    </row>
    <row r="50" spans="2:14" x14ac:dyDescent="0.2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>IFERROR(M50/C3,0)</f>
        <v>0</v>
      </c>
    </row>
    <row r="51" spans="2:14" x14ac:dyDescent="0.2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>IFERROR(M51/C3,0)</f>
        <v>0</v>
      </c>
    </row>
    <row r="52" spans="2:14" x14ac:dyDescent="0.2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>IFERROR(M52/C3,0)</f>
        <v>0</v>
      </c>
    </row>
    <row r="53" spans="2:14" x14ac:dyDescent="0.2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>IFERROR(M53/C3,0)</f>
        <v>0</v>
      </c>
    </row>
    <row r="54" spans="2:14" x14ac:dyDescent="0.2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>IFERROR(M54/C3,0)</f>
        <v>0</v>
      </c>
    </row>
    <row r="55" spans="2:14" x14ac:dyDescent="0.2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>IFERROR(M55/C3,0)</f>
        <v>0</v>
      </c>
    </row>
    <row r="56" spans="2:14" x14ac:dyDescent="0.2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>IFERROR(M56/C3,0)</f>
        <v>0</v>
      </c>
    </row>
    <row r="57" spans="2:14" x14ac:dyDescent="0.2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>IFERROR(M57/C3,0)</f>
        <v>0</v>
      </c>
    </row>
    <row r="58" spans="2:14" x14ac:dyDescent="0.2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>IFERROR(M58/C3,0)</f>
        <v>0</v>
      </c>
    </row>
    <row r="59" spans="2:14" x14ac:dyDescent="0.2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>IFERROR(M59/C3,0)</f>
        <v>0</v>
      </c>
    </row>
    <row r="60" spans="2:14" x14ac:dyDescent="0.2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>IFERROR(M60/C3,0)</f>
        <v>0</v>
      </c>
    </row>
    <row r="61" spans="2:14" x14ac:dyDescent="0.2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>IFERROR(M61/C3,0)</f>
        <v>0</v>
      </c>
    </row>
    <row r="63" spans="2:14" ht="19" x14ac:dyDescent="0.2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>IFERROR(G65/C3,0)</f>
        <v>0</v>
      </c>
    </row>
    <row r="66" spans="2:8" x14ac:dyDescent="0.2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>IFERROR(G66/C3,0)</f>
        <v>0</v>
      </c>
    </row>
    <row r="67" spans="2:8" x14ac:dyDescent="0.2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>IFERROR(G67/C3,0)</f>
        <v>0</v>
      </c>
    </row>
    <row r="68" spans="2:8" x14ac:dyDescent="0.2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>IFERROR(G68/C3,0)</f>
        <v>0</v>
      </c>
    </row>
    <row r="69" spans="2:8" x14ac:dyDescent="0.2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>IFERROR(G69/C3,0)</f>
        <v>0</v>
      </c>
    </row>
    <row r="70" spans="2:8" x14ac:dyDescent="0.2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70"/>
  <sheetViews>
    <sheetView showGridLines="0" zoomScale="108" zoomScaleNormal="100" workbookViewId="0">
      <selection activeCell="D41" sqref="D41"/>
    </sheetView>
  </sheetViews>
  <sheetFormatPr baseColWidth="10" defaultColWidth="8.6640625" defaultRowHeight="15" x14ac:dyDescent="0.2"/>
  <cols>
    <col min="1" max="1" width="2" customWidth="1"/>
    <col min="2" max="2" width="29.83203125" bestFit="1" customWidth="1"/>
    <col min="3" max="3" width="17.33203125" bestFit="1" customWidth="1"/>
    <col min="4" max="4" width="22.5" customWidth="1"/>
    <col min="5" max="5" width="16.5" bestFit="1" customWidth="1"/>
    <col min="6" max="7" width="15.5" bestFit="1" customWidth="1"/>
    <col min="8" max="8" width="13.5" bestFit="1" customWidth="1"/>
    <col min="9" max="9" width="15.5" bestFit="1" customWidth="1"/>
    <col min="10" max="10" width="7.1640625" bestFit="1" customWidth="1"/>
    <col min="11" max="11" width="15.5" bestFit="1" customWidth="1"/>
    <col min="12" max="12" width="13.5" bestFit="1" customWidth="1"/>
    <col min="13" max="13" width="15.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7" ht="20" x14ac:dyDescent="0.2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6" x14ac:dyDescent="0.2">
      <c r="B3" s="22" t="s">
        <v>103</v>
      </c>
      <c r="C3" s="8">
        <v>0</v>
      </c>
      <c r="D3" s="23" t="s">
        <v>104</v>
      </c>
      <c r="E3" s="9">
        <v>31</v>
      </c>
    </row>
    <row r="6" spans="2:17" x14ac:dyDescent="0.2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">
      <c r="B9" s="74" t="s">
        <v>170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">
      <c r="B15" s="74" t="s">
        <v>117</v>
      </c>
      <c r="C15" s="15">
        <v>282161.88</v>
      </c>
      <c r="D15" s="15" t="s">
        <v>169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">
      <c r="B27" s="82" t="s">
        <v>129</v>
      </c>
      <c r="C27" s="16"/>
    </row>
    <row r="28" spans="2:17" x14ac:dyDescent="0.2">
      <c r="B28" s="12" t="s">
        <v>130</v>
      </c>
      <c r="C28" s="12" t="s">
        <v>131</v>
      </c>
    </row>
    <row r="29" spans="2:17" x14ac:dyDescent="0.2">
      <c r="B29" s="74" t="s">
        <v>169</v>
      </c>
      <c r="C29" s="15">
        <v>3087270.2699850001</v>
      </c>
    </row>
    <row r="30" spans="2:17" x14ac:dyDescent="0.2">
      <c r="B30" s="74" t="s">
        <v>132</v>
      </c>
      <c r="C30" s="15">
        <v>174213927.33888301</v>
      </c>
    </row>
    <row r="31" spans="2:17" x14ac:dyDescent="0.2">
      <c r="B31" s="74" t="s">
        <v>133</v>
      </c>
      <c r="C31" s="15">
        <v>309778739.936719</v>
      </c>
    </row>
    <row r="32" spans="2:17" x14ac:dyDescent="0.2">
      <c r="B32" s="74" t="s">
        <v>134</v>
      </c>
      <c r="C32" s="15">
        <v>276397406.795636</v>
      </c>
    </row>
    <row r="33" spans="2:17" x14ac:dyDescent="0.2">
      <c r="B33" s="74" t="s">
        <v>135</v>
      </c>
      <c r="C33" s="15">
        <v>399290297.73101801</v>
      </c>
    </row>
    <row r="34" spans="2:17" x14ac:dyDescent="0.2">
      <c r="B34" s="74" t="s">
        <v>136</v>
      </c>
      <c r="C34" s="15">
        <v>8321067.1999199996</v>
      </c>
    </row>
    <row r="35" spans="2:17" x14ac:dyDescent="0.2">
      <c r="B35" s="13"/>
      <c r="C35" s="15"/>
    </row>
    <row r="36" spans="2:17" x14ac:dyDescent="0.2">
      <c r="B36" s="13"/>
      <c r="C36" s="15"/>
    </row>
    <row r="38" spans="2:17" ht="29.25" customHeight="1" x14ac:dyDescent="0.2">
      <c r="E38" s="29"/>
    </row>
    <row r="39" spans="2:17" ht="24.75" customHeight="1" x14ac:dyDescent="0.2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6" x14ac:dyDescent="0.2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ht="16" x14ac:dyDescent="0.2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>IFERROR(G41/C3,0)</f>
        <v>0</v>
      </c>
      <c r="I41" s="24"/>
      <c r="J41" s="24"/>
      <c r="K41" s="24"/>
      <c r="L41" s="24"/>
      <c r="M41" s="24"/>
      <c r="N41" s="24"/>
    </row>
    <row r="42" spans="2:17" ht="16" x14ac:dyDescent="0.2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>IFERROR(G42/C3,0)</f>
        <v>0</v>
      </c>
      <c r="I42" s="24"/>
      <c r="J42" s="24"/>
      <c r="K42" s="24"/>
      <c r="L42" s="24"/>
      <c r="M42" s="24"/>
      <c r="N42" s="24"/>
    </row>
    <row r="43" spans="2:17" ht="16" x14ac:dyDescent="0.2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>IFERROR(G43/C3,0)</f>
        <v>0</v>
      </c>
      <c r="I43" s="24"/>
      <c r="J43" s="24"/>
      <c r="K43" s="24"/>
      <c r="L43" s="24"/>
      <c r="M43" s="24"/>
      <c r="N43" s="24"/>
    </row>
    <row r="44" spans="2:17" x14ac:dyDescent="0.2">
      <c r="B44" s="213" t="s">
        <v>146</v>
      </c>
      <c r="C44" s="214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>IFERROR(G44/C3,0)</f>
        <v>0</v>
      </c>
      <c r="I44" s="24"/>
      <c r="J44" s="24"/>
      <c r="K44" s="24"/>
      <c r="L44" s="24"/>
      <c r="M44" s="24"/>
      <c r="N44" s="24"/>
    </row>
    <row r="45" spans="2:17" s="48" customFormat="1" ht="25" customHeight="1" x14ac:dyDescent="0.25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25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">
      <c r="B47" s="215" t="s">
        <v>41</v>
      </c>
      <c r="C47" s="215" t="s">
        <v>42</v>
      </c>
      <c r="D47" s="222" t="s">
        <v>138</v>
      </c>
      <c r="E47" s="223"/>
      <c r="F47" s="224"/>
      <c r="G47" s="70" t="s">
        <v>139</v>
      </c>
      <c r="H47" s="70"/>
      <c r="I47" s="70"/>
      <c r="J47" s="215" t="s">
        <v>140</v>
      </c>
      <c r="K47" s="35" t="s">
        <v>148</v>
      </c>
      <c r="L47" s="35"/>
      <c r="M47" s="35"/>
      <c r="N47" s="237" t="s">
        <v>149</v>
      </c>
    </row>
    <row r="48" spans="2:17" ht="17" x14ac:dyDescent="0.2">
      <c r="B48" s="215"/>
      <c r="C48" s="215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15"/>
      <c r="K48" s="34" t="s">
        <v>143</v>
      </c>
      <c r="L48" s="34" t="s">
        <v>111</v>
      </c>
      <c r="M48" s="34" t="s">
        <v>146</v>
      </c>
      <c r="N48" s="237"/>
    </row>
    <row r="49" spans="2:14" ht="16" x14ac:dyDescent="0.2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>IFERROR(M49/C3,0)</f>
        <v>0</v>
      </c>
    </row>
    <row r="50" spans="2:14" ht="16" x14ac:dyDescent="0.2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>IFERROR(M50/C3,0)</f>
        <v>0</v>
      </c>
    </row>
    <row r="51" spans="2:14" ht="16" x14ac:dyDescent="0.2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>IFERROR(M51/C3,0)</f>
        <v>0</v>
      </c>
    </row>
    <row r="52" spans="2:14" ht="16" x14ac:dyDescent="0.2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>IFERROR(M52/C3,0)</f>
        <v>0</v>
      </c>
    </row>
    <row r="53" spans="2:14" ht="16" x14ac:dyDescent="0.2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>IFERROR(M53/C3,0)</f>
        <v>0</v>
      </c>
    </row>
    <row r="54" spans="2:14" ht="16" x14ac:dyDescent="0.2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>IFERROR(M54/C3,0)</f>
        <v>0</v>
      </c>
    </row>
    <row r="55" spans="2:14" ht="16" x14ac:dyDescent="0.2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>IFERROR(M55/C3,0)</f>
        <v>0</v>
      </c>
    </row>
    <row r="56" spans="2:14" ht="16" x14ac:dyDescent="0.2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>IFERROR(M56/C3,0)</f>
        <v>0</v>
      </c>
    </row>
    <row r="57" spans="2:14" ht="16" x14ac:dyDescent="0.2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>IFERROR(M57/C3,0)</f>
        <v>0</v>
      </c>
    </row>
    <row r="58" spans="2:14" ht="16" x14ac:dyDescent="0.2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>IFERROR(M58/C3,0)</f>
        <v>0</v>
      </c>
    </row>
    <row r="59" spans="2:14" ht="16" x14ac:dyDescent="0.2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>IFERROR(M59/C3,0)</f>
        <v>0</v>
      </c>
    </row>
    <row r="60" spans="2:14" ht="16" x14ac:dyDescent="0.2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>IFERROR(M60/C3,0)</f>
        <v>0</v>
      </c>
    </row>
    <row r="61" spans="2:14" ht="16" x14ac:dyDescent="0.2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>IFERROR(M61/C3,0)</f>
        <v>0</v>
      </c>
    </row>
    <row r="62" spans="2:14" x14ac:dyDescent="0.2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ht="16" x14ac:dyDescent="0.2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>IFERROR(G65/C3,0)</f>
        <v>0</v>
      </c>
      <c r="I65" s="24"/>
      <c r="J65" s="24"/>
      <c r="K65" s="24"/>
      <c r="L65" s="24"/>
      <c r="M65" s="24"/>
      <c r="N65" s="24"/>
    </row>
    <row r="66" spans="2:14" x14ac:dyDescent="0.2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>IFERROR(G66/C3,0)</f>
        <v>0</v>
      </c>
      <c r="I66" s="24"/>
      <c r="J66" s="24"/>
      <c r="K66" s="24"/>
      <c r="L66" s="24"/>
      <c r="M66" s="24"/>
      <c r="N66" s="24"/>
    </row>
    <row r="67" spans="2:14" x14ac:dyDescent="0.2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>IFERROR(G67/C3,0)</f>
        <v>0</v>
      </c>
      <c r="I67" s="24"/>
      <c r="J67" s="24"/>
      <c r="K67" s="24"/>
      <c r="L67" s="24"/>
      <c r="M67" s="24"/>
      <c r="N67" s="24"/>
    </row>
    <row r="68" spans="2:14" x14ac:dyDescent="0.2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>IFERROR(G68/C3,0)</f>
        <v>0</v>
      </c>
      <c r="I68" s="24"/>
      <c r="J68" s="24"/>
      <c r="K68" s="24"/>
      <c r="L68" s="24"/>
      <c r="M68" s="24"/>
      <c r="N68" s="24"/>
    </row>
    <row r="69" spans="2:14" x14ac:dyDescent="0.2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>IFERROR(G69/C3,0)</f>
        <v>0</v>
      </c>
      <c r="I69" s="24"/>
      <c r="J69" s="24"/>
      <c r="K69" s="24"/>
      <c r="L69" s="24"/>
      <c r="M69" s="24"/>
      <c r="N69" s="24"/>
    </row>
    <row r="70" spans="2:14" x14ac:dyDescent="0.2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R94"/>
  <sheetViews>
    <sheetView showGridLines="0" topLeftCell="A46" zoomScaleNormal="100" workbookViewId="0">
      <selection activeCell="E46" sqref="E46"/>
    </sheetView>
  </sheetViews>
  <sheetFormatPr baseColWidth="10" defaultColWidth="8.6640625" defaultRowHeight="15" x14ac:dyDescent="0.2"/>
  <cols>
    <col min="1" max="1" width="2" customWidth="1"/>
    <col min="2" max="2" width="33.6640625" customWidth="1"/>
    <col min="3" max="3" width="17" customWidth="1"/>
    <col min="4" max="4" width="15.83203125" customWidth="1"/>
    <col min="5" max="5" width="15.5" customWidth="1"/>
    <col min="6" max="6" width="15.6640625" bestFit="1" customWidth="1"/>
    <col min="7" max="7" width="15.6640625" style="116" bestFit="1" customWidth="1"/>
    <col min="8" max="8" width="14" style="116" bestFit="1" customWidth="1"/>
    <col min="9" max="9" width="15.6640625" style="116" bestFit="1" customWidth="1"/>
    <col min="10" max="10" width="9.5" customWidth="1"/>
    <col min="11" max="11" width="14.33203125" bestFit="1" customWidth="1"/>
    <col min="12" max="12" width="12.1640625" customWidth="1"/>
    <col min="13" max="13" width="14.33203125" bestFit="1" customWidth="1"/>
    <col min="14" max="14" width="12.5" bestFit="1" customWidth="1"/>
    <col min="16" max="16" width="13.33203125" bestFit="1" customWidth="1"/>
    <col min="17" max="17" width="12.1640625" bestFit="1" customWidth="1"/>
    <col min="18" max="18" width="13.33203125" bestFit="1" customWidth="1"/>
  </cols>
  <sheetData>
    <row r="1" spans="2:14" ht="19" x14ac:dyDescent="0.2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6" x14ac:dyDescent="0.2">
      <c r="B3" s="77" t="s">
        <v>103</v>
      </c>
      <c r="C3" s="78">
        <f ca="1">NETWORKDAYS.INTL(TODAY(),EOMONTH(TODAY(),0),11)</f>
        <v>22</v>
      </c>
      <c r="D3" s="79" t="s">
        <v>104</v>
      </c>
      <c r="E3" s="80">
        <v>30</v>
      </c>
    </row>
    <row r="6" spans="2:14" x14ac:dyDescent="0.2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">
      <c r="B15" s="84" t="s">
        <v>117</v>
      </c>
      <c r="C15" s="150"/>
      <c r="D15" s="150" t="s">
        <v>169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">
      <c r="B17" s="74" t="s">
        <v>118</v>
      </c>
      <c r="C17" s="15">
        <v>355626119.92999297</v>
      </c>
      <c r="D17" s="15">
        <v>44657675.509999998</v>
      </c>
      <c r="E17" s="15" t="s">
        <v>169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">
      <c r="B20" s="74" t="s">
        <v>123</v>
      </c>
      <c r="C20" s="15">
        <v>105315057.62759601</v>
      </c>
      <c r="D20" s="15">
        <v>16467727.799813</v>
      </c>
      <c r="E20" s="15" t="s">
        <v>169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">
      <c r="B21" s="74" t="s">
        <v>124</v>
      </c>
      <c r="C21" s="15">
        <v>57359939.420000002</v>
      </c>
      <c r="D21" s="15">
        <v>136240384.927111</v>
      </c>
      <c r="E21" s="15" t="s">
        <v>169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">
      <c r="B22" s="74" t="s">
        <v>173</v>
      </c>
      <c r="C22" s="15">
        <v>38884328.600000001</v>
      </c>
      <c r="D22" s="15" t="s">
        <v>169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">
      <c r="B23" s="74" t="s">
        <v>174</v>
      </c>
      <c r="C23" s="15">
        <v>120550492.72</v>
      </c>
      <c r="D23" s="15" t="s">
        <v>169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">
      <c r="B27" s="74" t="s">
        <v>128</v>
      </c>
      <c r="C27" s="15">
        <v>663559823.79009497</v>
      </c>
      <c r="D27" s="15">
        <v>200253231.98958299</v>
      </c>
      <c r="E27" s="15" t="s">
        <v>169</v>
      </c>
      <c r="F27" s="15">
        <v>863813055.77967799</v>
      </c>
      <c r="G27"/>
      <c r="J27" s="116"/>
    </row>
    <row r="29" spans="2:18" x14ac:dyDescent="0.2">
      <c r="B29" s="82" t="s">
        <v>129</v>
      </c>
      <c r="C29" s="82"/>
    </row>
    <row r="30" spans="2:18" x14ac:dyDescent="0.2">
      <c r="B30" s="83" t="s">
        <v>130</v>
      </c>
      <c r="C30" s="83" t="s">
        <v>131</v>
      </c>
    </row>
    <row r="31" spans="2:18" x14ac:dyDescent="0.2">
      <c r="B31" s="76"/>
      <c r="C31" s="15"/>
    </row>
    <row r="32" spans="2:18" x14ac:dyDescent="0.2">
      <c r="B32" s="84" t="s">
        <v>132</v>
      </c>
      <c r="C32" s="15">
        <v>240237597.65824801</v>
      </c>
    </row>
    <row r="33" spans="2:14" x14ac:dyDescent="0.2">
      <c r="B33" s="84" t="s">
        <v>133</v>
      </c>
      <c r="C33" s="15">
        <v>449933743.924721</v>
      </c>
    </row>
    <row r="34" spans="2:14" x14ac:dyDescent="0.2">
      <c r="B34" s="84" t="s">
        <v>134</v>
      </c>
      <c r="C34" s="15">
        <v>318278585.086043</v>
      </c>
    </row>
    <row r="35" spans="2:14" x14ac:dyDescent="0.2">
      <c r="B35" s="84" t="s">
        <v>135</v>
      </c>
      <c r="C35" s="15">
        <v>267561093.287265</v>
      </c>
    </row>
    <row r="36" spans="2:14" x14ac:dyDescent="0.2">
      <c r="B36" s="84" t="s">
        <v>136</v>
      </c>
      <c r="C36" s="15">
        <v>311290805.19997603</v>
      </c>
    </row>
    <row r="37" spans="2:14" x14ac:dyDescent="0.2">
      <c r="B37" s="84"/>
      <c r="C37" s="85"/>
    </row>
    <row r="38" spans="2:14" x14ac:dyDescent="0.2">
      <c r="B38" s="76"/>
      <c r="C38" s="85"/>
    </row>
    <row r="41" spans="2:14" ht="20" customHeight="1" x14ac:dyDescent="0.2">
      <c r="B41" s="238" t="s">
        <v>183</v>
      </c>
      <c r="C41" s="239"/>
      <c r="D41" s="240"/>
      <c r="E41" s="67" t="s">
        <v>138</v>
      </c>
      <c r="F41" s="73">
        <f ca="1">DAY(TODAY())/DAY(EOMONTH(TODAY(),0))</f>
        <v>0.19354838709677419</v>
      </c>
      <c r="G41" s="117"/>
      <c r="H41" s="117"/>
    </row>
    <row r="42" spans="2:14" ht="20" customHeight="1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" customHeight="1" x14ac:dyDescent="0.2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45560199.321416683</v>
      </c>
    </row>
    <row r="44" spans="2:14" ht="20" customHeight="1" x14ac:dyDescent="0.2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13333089.021218864</v>
      </c>
    </row>
    <row r="45" spans="2:14" ht="20" customHeight="1" x14ac:dyDescent="0.2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9281251.6611761618</v>
      </c>
    </row>
    <row r="46" spans="2:14" ht="20" customHeight="1" x14ac:dyDescent="0.2">
      <c r="B46" s="213" t="s">
        <v>146</v>
      </c>
      <c r="C46" s="214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68174540.003811702</v>
      </c>
    </row>
    <row r="48" spans="2:14" s="158" customFormat="1" ht="20" customHeight="1" x14ac:dyDescent="0.2">
      <c r="B48" s="210" t="s">
        <v>147</v>
      </c>
      <c r="C48" s="211"/>
      <c r="D48" s="211"/>
      <c r="E48" s="211"/>
      <c r="F48" s="211"/>
      <c r="G48" s="211"/>
      <c r="H48" s="211"/>
      <c r="I48" s="211"/>
      <c r="J48" s="212"/>
      <c r="K48" s="246"/>
      <c r="L48" s="247"/>
      <c r="M48" s="247"/>
      <c r="N48" s="248"/>
    </row>
    <row r="49" spans="2:14" s="158" customFormat="1" ht="20" customHeight="1" x14ac:dyDescent="0.2">
      <c r="B49" s="245" t="s">
        <v>41</v>
      </c>
      <c r="C49" s="245" t="s">
        <v>42</v>
      </c>
      <c r="D49" s="242" t="s">
        <v>138</v>
      </c>
      <c r="E49" s="243"/>
      <c r="F49" s="244"/>
      <c r="G49" s="159" t="s">
        <v>139</v>
      </c>
      <c r="H49" s="159"/>
      <c r="I49" s="159"/>
      <c r="J49" s="245" t="s">
        <v>140</v>
      </c>
      <c r="K49" s="160" t="s">
        <v>148</v>
      </c>
      <c r="L49" s="160"/>
      <c r="M49" s="160"/>
      <c r="N49" s="241" t="s">
        <v>149</v>
      </c>
    </row>
    <row r="50" spans="2:14" s="158" customFormat="1" ht="20" customHeight="1" x14ac:dyDescent="0.2">
      <c r="B50" s="245"/>
      <c r="C50" s="24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45"/>
      <c r="K50" s="163" t="s">
        <v>143</v>
      </c>
      <c r="L50" s="163" t="s">
        <v>111</v>
      </c>
      <c r="M50" s="163" t="s">
        <v>146</v>
      </c>
      <c r="N50" s="241"/>
    </row>
    <row r="51" spans="2:14" s="158" customFormat="1" ht="20" customHeight="1" x14ac:dyDescent="0.2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4596659.6988119427</v>
      </c>
    </row>
    <row r="52" spans="2:14" s="158" customFormat="1" ht="20" customHeight="1" x14ac:dyDescent="0.2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4369521.0890863156</v>
      </c>
    </row>
    <row r="53" spans="2:14" s="158" customFormat="1" ht="20" customHeight="1" x14ac:dyDescent="0.2">
      <c r="B53" s="187" t="s">
        <v>176</v>
      </c>
      <c r="C53" s="188" t="s">
        <v>177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9208588.1545454543</v>
      </c>
    </row>
    <row r="54" spans="2:14" s="158" customFormat="1" ht="20" customHeight="1" x14ac:dyDescent="0.2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2714072.2890579645</v>
      </c>
    </row>
    <row r="55" spans="2:14" s="158" customFormat="1" ht="20" customHeight="1" x14ac:dyDescent="0.2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3104907.1705241445</v>
      </c>
    </row>
    <row r="56" spans="2:14" s="158" customFormat="1" ht="20" customHeight="1" x14ac:dyDescent="0.2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1164962.5776151635</v>
      </c>
    </row>
    <row r="57" spans="2:14" s="158" customFormat="1" ht="20" customHeight="1" x14ac:dyDescent="0.2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-3427667.4398785126</v>
      </c>
    </row>
    <row r="58" spans="2:14" s="158" customFormat="1" ht="20" customHeight="1" x14ac:dyDescent="0.2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4061238.5852035908</v>
      </c>
    </row>
    <row r="59" spans="2:14" s="158" customFormat="1" ht="20" customHeight="1" x14ac:dyDescent="0.2">
      <c r="B59" s="187" t="s">
        <v>176</v>
      </c>
      <c r="C59" s="188" t="s">
        <v>178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12890144.149090908</v>
      </c>
    </row>
    <row r="60" spans="2:14" s="158" customFormat="1" ht="20" customHeight="1" x14ac:dyDescent="0.2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3634323.3749203058</v>
      </c>
    </row>
    <row r="61" spans="2:14" s="158" customFormat="1" ht="20" customHeight="1" x14ac:dyDescent="0.2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5034917.1446279343</v>
      </c>
    </row>
    <row r="62" spans="2:14" s="158" customFormat="1" ht="20" customHeight="1" x14ac:dyDescent="0.2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3628255.2509607347</v>
      </c>
    </row>
    <row r="63" spans="2:14" s="158" customFormat="1" ht="20" customHeight="1" x14ac:dyDescent="0.2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484688.15084553306</v>
      </c>
    </row>
    <row r="64" spans="2:14" s="158" customFormat="1" ht="20" customHeight="1" x14ac:dyDescent="0.2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7428678.1472240333</v>
      </c>
    </row>
    <row r="65" spans="2:14" s="158" customFormat="1" ht="20" customHeight="1" x14ac:dyDescent="0.2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58893288.342635505</v>
      </c>
    </row>
    <row r="67" spans="2:14" ht="20" customHeight="1" x14ac:dyDescent="0.2">
      <c r="B67" s="135" t="s">
        <v>175</v>
      </c>
      <c r="C67" s="136"/>
      <c r="D67" s="137"/>
      <c r="G67"/>
      <c r="H67"/>
      <c r="I67"/>
    </row>
    <row r="68" spans="2:14" ht="20" customHeight="1" x14ac:dyDescent="0.2">
      <c r="B68" s="215" t="s">
        <v>41</v>
      </c>
      <c r="C68" s="215" t="s">
        <v>42</v>
      </c>
      <c r="D68" s="134" t="s">
        <v>139</v>
      </c>
      <c r="G68"/>
      <c r="H68"/>
      <c r="I68"/>
    </row>
    <row r="69" spans="2:14" ht="20" customHeight="1" x14ac:dyDescent="0.2">
      <c r="B69" s="215"/>
      <c r="C69" s="215"/>
      <c r="D69" s="71" t="s">
        <v>172</v>
      </c>
      <c r="G69"/>
      <c r="H69"/>
      <c r="I69"/>
    </row>
    <row r="70" spans="2:14" s="158" customFormat="1" ht="20" customHeight="1" x14ac:dyDescent="0.2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" customHeight="1" x14ac:dyDescent="0.2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" customHeight="1" x14ac:dyDescent="0.2">
      <c r="B72" s="185" t="s">
        <v>176</v>
      </c>
      <c r="C72" s="186" t="s">
        <v>177</v>
      </c>
      <c r="D72" s="192">
        <f>IF(E22="",0,E22)</f>
        <v>12315315.119999999</v>
      </c>
    </row>
    <row r="73" spans="2:14" s="158" customFormat="1" ht="20" customHeight="1" x14ac:dyDescent="0.2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" customHeight="1" x14ac:dyDescent="0.2">
      <c r="B74" s="185" t="s">
        <v>73</v>
      </c>
      <c r="C74" s="186" t="s">
        <v>74</v>
      </c>
      <c r="D74" s="192">
        <f>0</f>
        <v>0</v>
      </c>
    </row>
    <row r="75" spans="2:14" s="158" customFormat="1" ht="20" customHeight="1" x14ac:dyDescent="0.2">
      <c r="B75" s="183" t="s">
        <v>75</v>
      </c>
      <c r="C75" s="184" t="s">
        <v>74</v>
      </c>
      <c r="D75" s="191">
        <v>2883783.76</v>
      </c>
    </row>
    <row r="76" spans="2:14" s="158" customFormat="1" ht="20" customHeight="1" x14ac:dyDescent="0.2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" customHeight="1" x14ac:dyDescent="0.2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" customHeight="1" x14ac:dyDescent="0.2">
      <c r="B78" s="185" t="s">
        <v>176</v>
      </c>
      <c r="C78" s="186" t="s">
        <v>178</v>
      </c>
      <c r="D78" s="192">
        <f>IF(E23="",0,E23)</f>
        <v>17151621.32</v>
      </c>
    </row>
    <row r="79" spans="2:14" s="158" customFormat="1" ht="20" customHeight="1" x14ac:dyDescent="0.2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" customHeight="1" x14ac:dyDescent="0.2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" customHeight="1" x14ac:dyDescent="0.2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" customHeight="1" x14ac:dyDescent="0.2">
      <c r="B82" s="183" t="s">
        <v>86</v>
      </c>
      <c r="C82" s="184" t="s">
        <v>87</v>
      </c>
      <c r="D82" s="191">
        <f>0</f>
        <v>0</v>
      </c>
    </row>
    <row r="83" spans="2:9" s="158" customFormat="1" ht="20" customHeight="1" x14ac:dyDescent="0.2">
      <c r="B83" s="185" t="s">
        <v>88</v>
      </c>
      <c r="C83" s="186" t="s">
        <v>89</v>
      </c>
      <c r="D83" s="192">
        <f>0</f>
        <v>0</v>
      </c>
    </row>
    <row r="84" spans="2:9" s="158" customFormat="1" ht="20" customHeight="1" x14ac:dyDescent="0.2">
      <c r="B84" s="189" t="s">
        <v>152</v>
      </c>
      <c r="C84" s="190"/>
      <c r="D84" s="193">
        <f>SUM(D70:D83)</f>
        <v>726140776.47983217</v>
      </c>
    </row>
    <row r="87" spans="2:9" s="158" customFormat="1" ht="20" customHeight="1" x14ac:dyDescent="0.2">
      <c r="B87" s="210" t="s">
        <v>145</v>
      </c>
      <c r="C87" s="211"/>
      <c r="D87" s="211"/>
      <c r="E87" s="211"/>
      <c r="F87" s="212"/>
      <c r="G87" s="167"/>
      <c r="H87" s="167"/>
      <c r="I87" s="168"/>
    </row>
    <row r="88" spans="2:9" s="158" customFormat="1" ht="20" customHeight="1" x14ac:dyDescent="0.2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" customHeight="1" x14ac:dyDescent="0.2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1779740.8026541905</v>
      </c>
      <c r="I89" s="168"/>
    </row>
    <row r="90" spans="2:9" s="158" customFormat="1" ht="20" customHeight="1" x14ac:dyDescent="0.2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-1378262.9434728243</v>
      </c>
      <c r="I90" s="168"/>
    </row>
    <row r="91" spans="2:9" s="158" customFormat="1" ht="20" customHeight="1" x14ac:dyDescent="0.2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8879773.8019947894</v>
      </c>
      <c r="I91" s="168"/>
    </row>
    <row r="92" spans="2:9" s="158" customFormat="1" ht="20" hidden="1" customHeight="1" x14ac:dyDescent="0.2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" hidden="1" customHeight="1" x14ac:dyDescent="0.2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" customHeight="1" x14ac:dyDescent="0.2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9281251.6611761563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N94"/>
  <sheetViews>
    <sheetView showGridLines="0" tabSelected="1" zoomScaleNormal="100" workbookViewId="0">
      <selection activeCell="F29" sqref="F29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7" width="13.6640625" bestFit="1" customWidth="1"/>
    <col min="8" max="8" width="12.1640625" bestFit="1" customWidth="1"/>
    <col min="9" max="9" width="13.6640625" bestFit="1" customWidth="1"/>
    <col min="10" max="10" width="4.5" bestFit="1" customWidth="1"/>
    <col min="11" max="12" width="12.6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v>22</v>
      </c>
      <c r="D3" s="79" t="s">
        <v>104</v>
      </c>
      <c r="E3" s="80">
        <f ca="1">DAY(EOMONTH(TODAY(),1))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32709858.660574999</v>
      </c>
      <c r="N8" s="11">
        <f>D24</f>
        <v>9597998.5084819999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81423428.073637992</v>
      </c>
      <c r="N9" s="11">
        <f>D12+D13</f>
        <v>17193208.630292002</v>
      </c>
    </row>
    <row r="10" spans="2:14" x14ac:dyDescent="0.2">
      <c r="B10" s="74" t="s">
        <v>113</v>
      </c>
      <c r="C10" s="15">
        <v>47271367.069149002</v>
      </c>
      <c r="D10" s="15">
        <v>3968008.6203959999</v>
      </c>
      <c r="E10" s="15">
        <v>39231530.520000003</v>
      </c>
      <c r="F10" s="15">
        <v>90470906.209545001</v>
      </c>
      <c r="H10" s="116"/>
      <c r="I10" s="116"/>
      <c r="J10" s="116"/>
      <c r="M10" s="11">
        <f>C14</f>
        <v>93242063.585198998</v>
      </c>
      <c r="N10" s="11">
        <f>D14</f>
        <v>9773879.4739570003</v>
      </c>
    </row>
    <row r="11" spans="2:14" x14ac:dyDescent="0.2">
      <c r="B11" s="74" t="s">
        <v>114</v>
      </c>
      <c r="C11" s="15">
        <v>78951925.710300997</v>
      </c>
      <c r="D11" s="15">
        <v>14526745.840333</v>
      </c>
      <c r="E11" s="15" t="s">
        <v>169</v>
      </c>
      <c r="F11" s="15">
        <v>93478671.550633997</v>
      </c>
      <c r="H11" s="116"/>
      <c r="I11" s="116"/>
      <c r="J11" s="116"/>
      <c r="M11" s="11">
        <f>C17</f>
        <v>21387387.039999999</v>
      </c>
      <c r="N11" s="11">
        <f>D17</f>
        <v>594594.6</v>
      </c>
    </row>
    <row r="12" spans="2:14" x14ac:dyDescent="0.2">
      <c r="B12" s="74" t="s">
        <v>70</v>
      </c>
      <c r="C12" s="15">
        <v>34317464.039976001</v>
      </c>
      <c r="D12" s="15">
        <v>11865672.590298001</v>
      </c>
      <c r="E12" s="15" t="s">
        <v>169</v>
      </c>
      <c r="F12" s="15">
        <v>46183136.630273998</v>
      </c>
      <c r="H12" s="116"/>
      <c r="I12" s="116"/>
      <c r="J12" s="116"/>
      <c r="M12" s="11">
        <f>C16</f>
        <v>48103144.068025999</v>
      </c>
      <c r="N12" s="11">
        <f>D16</f>
        <v>18718384.409876999</v>
      </c>
    </row>
    <row r="13" spans="2:14" x14ac:dyDescent="0.2">
      <c r="B13" s="74" t="s">
        <v>115</v>
      </c>
      <c r="C13" s="15">
        <v>47105964.033661999</v>
      </c>
      <c r="D13" s="15">
        <v>5327536.0399940005</v>
      </c>
      <c r="E13" s="15">
        <v>7495495.4000000004</v>
      </c>
      <c r="F13" s="15">
        <v>59928995.473655999</v>
      </c>
      <c r="H13" s="116"/>
      <c r="I13" s="116"/>
      <c r="J13" s="116"/>
      <c r="M13" s="11">
        <f>C19</f>
        <v>117065779.879189</v>
      </c>
      <c r="N13" s="11">
        <f>D19</f>
        <v>14545481.789966</v>
      </c>
    </row>
    <row r="14" spans="2:14" x14ac:dyDescent="0.2">
      <c r="B14" s="74" t="s">
        <v>116</v>
      </c>
      <c r="C14" s="15">
        <v>93242063.585198998</v>
      </c>
      <c r="D14" s="15">
        <v>9773879.4739570003</v>
      </c>
      <c r="E14" s="15">
        <v>13097297.140000001</v>
      </c>
      <c r="F14" s="15">
        <v>116113240.199156</v>
      </c>
      <c r="H14" s="116"/>
      <c r="I14" s="116"/>
      <c r="J14" s="116"/>
      <c r="M14" s="11">
        <f>C25</f>
        <v>78677946.036803007</v>
      </c>
      <c r="N14" s="11">
        <f>D25</f>
        <v>20233135.109866001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78951925.710300997</v>
      </c>
      <c r="N15" s="11">
        <f>D11</f>
        <v>14526745.840333</v>
      </c>
    </row>
    <row r="16" spans="2:14" x14ac:dyDescent="0.2">
      <c r="B16" s="74" t="s">
        <v>74</v>
      </c>
      <c r="C16" s="15">
        <v>48103144.068025999</v>
      </c>
      <c r="D16" s="15">
        <v>18718384.409876999</v>
      </c>
      <c r="E16" s="15">
        <v>3932432.4</v>
      </c>
      <c r="F16" s="15">
        <v>70753960.877903</v>
      </c>
      <c r="H16" s="116"/>
      <c r="I16" s="116"/>
      <c r="J16" s="116"/>
      <c r="M16" s="11">
        <f>C26</f>
        <v>68670310.1743</v>
      </c>
      <c r="N16" s="11">
        <f>D26</f>
        <v>14865583.799972</v>
      </c>
    </row>
    <row r="17" spans="2:14" x14ac:dyDescent="0.2">
      <c r="B17" s="74" t="s">
        <v>118</v>
      </c>
      <c r="C17" s="15">
        <v>21387387.039999999</v>
      </c>
      <c r="D17" s="15">
        <v>594594.6</v>
      </c>
      <c r="E17" s="15" t="s">
        <v>169</v>
      </c>
      <c r="F17" s="15">
        <v>21981981.640000001</v>
      </c>
      <c r="H17" s="116"/>
      <c r="I17" s="116"/>
      <c r="J17" s="116"/>
      <c r="M17" s="11">
        <f>C10</f>
        <v>47271367.069149002</v>
      </c>
      <c r="N17" s="11">
        <f>D10</f>
        <v>3968008.6203959999</v>
      </c>
    </row>
    <row r="18" spans="2:14" x14ac:dyDescent="0.2">
      <c r="B18" s="74" t="s">
        <v>119</v>
      </c>
      <c r="C18" s="15">
        <v>380995257.12396801</v>
      </c>
      <c r="D18" s="15">
        <v>1368617.12</v>
      </c>
      <c r="E18" s="15">
        <v>972972.96</v>
      </c>
      <c r="F18" s="15">
        <v>383336847.20396799</v>
      </c>
      <c r="H18" s="116"/>
      <c r="I18" s="116"/>
      <c r="J18" s="116"/>
      <c r="M18" s="11">
        <f>C27</f>
        <v>106086123.63008501</v>
      </c>
      <c r="N18" s="11">
        <f>D27</f>
        <v>84961944.838635996</v>
      </c>
    </row>
    <row r="19" spans="2:14" x14ac:dyDescent="0.2">
      <c r="B19" s="74" t="s">
        <v>121</v>
      </c>
      <c r="C19" s="15">
        <v>117065779.879189</v>
      </c>
      <c r="D19" s="15">
        <v>14545481.789966</v>
      </c>
      <c r="E19" s="15">
        <v>229879300.729956</v>
      </c>
      <c r="F19" s="15">
        <v>361490562.39911097</v>
      </c>
      <c r="H19" s="116"/>
      <c r="I19" s="116"/>
      <c r="J19" s="116"/>
      <c r="M19" s="11">
        <f>C20+C21</f>
        <v>38070114.355120003</v>
      </c>
      <c r="N19" s="11">
        <f>D20+D21</f>
        <v>32251926.952272002</v>
      </c>
    </row>
    <row r="20" spans="2:14" x14ac:dyDescent="0.2">
      <c r="B20" s="74" t="s">
        <v>123</v>
      </c>
      <c r="C20" s="15">
        <v>28613114.355119999</v>
      </c>
      <c r="D20" s="15">
        <v>8237791.0899999999</v>
      </c>
      <c r="E20" s="15" t="s">
        <v>169</v>
      </c>
      <c r="F20" s="15">
        <v>36850905.445119999</v>
      </c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>
        <v>9457000</v>
      </c>
      <c r="D21" s="15">
        <v>24014135.862272002</v>
      </c>
      <c r="E21" s="15">
        <v>12518919.199999999</v>
      </c>
      <c r="F21" s="15">
        <v>45990055.062271997</v>
      </c>
      <c r="H21" s="116"/>
      <c r="I21" s="116"/>
      <c r="J21" s="116"/>
      <c r="M21" s="14">
        <f>IFERROR(C34,0)+IFERROR(C35,0)+M20</f>
        <v>94960806.617712989</v>
      </c>
      <c r="N21" s="10" t="s">
        <v>122</v>
      </c>
    </row>
    <row r="22" spans="2:14" x14ac:dyDescent="0.2">
      <c r="B22" s="74" t="s">
        <v>173</v>
      </c>
      <c r="C22" s="15">
        <v>32194810</v>
      </c>
      <c r="D22" s="15" t="s">
        <v>169</v>
      </c>
      <c r="E22" s="15">
        <v>4036035.92</v>
      </c>
      <c r="F22" s="15">
        <v>36230845.920000002</v>
      </c>
      <c r="H22" s="116"/>
      <c r="I22" s="116"/>
      <c r="J22" s="116"/>
    </row>
    <row r="23" spans="2:14" x14ac:dyDescent="0.2">
      <c r="B23" s="74" t="s">
        <v>174</v>
      </c>
      <c r="C23" s="15">
        <v>38412458.249975003</v>
      </c>
      <c r="D23" s="15" t="s">
        <v>169</v>
      </c>
      <c r="E23" s="15">
        <v>1441441.4</v>
      </c>
      <c r="F23" s="15">
        <v>39853899.649975002</v>
      </c>
      <c r="H23" s="116"/>
      <c r="I23" s="116"/>
      <c r="J23" s="116"/>
    </row>
    <row r="24" spans="2:14" x14ac:dyDescent="0.2">
      <c r="B24" s="74" t="s">
        <v>125</v>
      </c>
      <c r="C24" s="15">
        <v>32709858.660574999</v>
      </c>
      <c r="D24" s="15">
        <v>9597998.5084819999</v>
      </c>
      <c r="E24" s="15">
        <v>8219819.6200000001</v>
      </c>
      <c r="F24" s="15">
        <v>50527676.789057001</v>
      </c>
      <c r="H24" s="116"/>
      <c r="I24" s="116"/>
      <c r="J24" s="116"/>
    </row>
    <row r="25" spans="2:14" x14ac:dyDescent="0.2">
      <c r="B25" s="74" t="s">
        <v>126</v>
      </c>
      <c r="C25" s="15">
        <v>78677946.036803007</v>
      </c>
      <c r="D25" s="15">
        <v>20233135.109866001</v>
      </c>
      <c r="E25" s="15">
        <v>10536035.92</v>
      </c>
      <c r="F25" s="15">
        <v>109447117.066669</v>
      </c>
      <c r="H25" s="116"/>
      <c r="I25" s="116"/>
      <c r="J25" s="116"/>
    </row>
    <row r="26" spans="2:14" x14ac:dyDescent="0.2">
      <c r="B26" s="74" t="s">
        <v>127</v>
      </c>
      <c r="C26" s="15">
        <v>68670310.1743</v>
      </c>
      <c r="D26" s="15">
        <v>14865583.799972</v>
      </c>
      <c r="E26" s="15">
        <v>40603603.649999999</v>
      </c>
      <c r="F26" s="15">
        <v>124139497.624272</v>
      </c>
      <c r="H26" s="116"/>
      <c r="I26" s="116"/>
      <c r="J26" s="116"/>
    </row>
    <row r="27" spans="2:14" x14ac:dyDescent="0.2">
      <c r="B27" s="74" t="s">
        <v>128</v>
      </c>
      <c r="C27" s="15">
        <v>106086123.63008501</v>
      </c>
      <c r="D27" s="15">
        <v>84961944.838635996</v>
      </c>
      <c r="E27" s="15">
        <v>4259459.54</v>
      </c>
      <c r="F27" s="15">
        <v>195307528.00872099</v>
      </c>
      <c r="H27" s="116"/>
      <c r="I27" s="116"/>
      <c r="J27" s="116"/>
    </row>
    <row r="28" spans="2:14" x14ac:dyDescent="0.2">
      <c r="C28" s="15"/>
      <c r="D28" s="15"/>
      <c r="E28" s="15"/>
      <c r="F28" s="15"/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206">
        <v>87095406.395739004</v>
      </c>
      <c r="G32" s="116"/>
      <c r="H32" s="116"/>
      <c r="I32" s="116"/>
    </row>
    <row r="33" spans="2:14" x14ac:dyDescent="0.2">
      <c r="B33" s="84" t="s">
        <v>133</v>
      </c>
      <c r="C33" s="15">
        <v>13891811.213934001</v>
      </c>
      <c r="G33" s="116"/>
      <c r="H33" s="116"/>
      <c r="I33" s="116"/>
    </row>
    <row r="34" spans="2:14" x14ac:dyDescent="0.2">
      <c r="B34" s="84" t="s">
        <v>134</v>
      </c>
      <c r="C34" s="15">
        <v>83461473.297760993</v>
      </c>
      <c r="G34" s="116"/>
      <c r="H34" s="116"/>
      <c r="I34" s="116"/>
    </row>
    <row r="35" spans="2:14" x14ac:dyDescent="0.2">
      <c r="B35" s="84" t="s">
        <v>135</v>
      </c>
      <c r="C35" s="15">
        <v>11499333.319952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4" customHeight="1" x14ac:dyDescent="0.2">
      <c r="B41" s="207" t="s">
        <v>184</v>
      </c>
      <c r="C41" s="208"/>
      <c r="D41" s="209"/>
      <c r="E41" s="67" t="s">
        <v>138</v>
      </c>
      <c r="F41" s="73">
        <f ca="1">IF(MONTH(TODAY())=5,DAY(TODAY())/DAY(EOMONTH(TODAY(),0)),IF(MONTH(TODAY())&gt;5,1,0))</f>
        <v>0.19354838709677419</v>
      </c>
      <c r="G41" s="117"/>
      <c r="H41" s="117"/>
      <c r="I41" s="116"/>
    </row>
    <row r="42" spans="2:14" ht="18" customHeight="1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" customHeight="1" x14ac:dyDescent="0.2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882266716.53236008</v>
      </c>
      <c r="F43" s="44">
        <f>IFERROR(E43/D43,0)</f>
        <v>0.12899995360686053</v>
      </c>
      <c r="G43" s="118">
        <f>D43-E43</f>
        <v>5957012615.4676399</v>
      </c>
      <c r="H43" s="118">
        <f>IFERROR(G43/C3,0)</f>
        <v>270773300.70307451</v>
      </c>
      <c r="I43" s="116"/>
    </row>
    <row r="44" spans="2:14" ht="20" customHeight="1" x14ac:dyDescent="0.2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241230892.574049</v>
      </c>
      <c r="F44" s="44">
        <f>IFERROR(E44/D44,0)</f>
        <v>0.16351700970131455</v>
      </c>
      <c r="G44" s="118">
        <f>D44-E44</f>
        <v>1234033931.6463127</v>
      </c>
      <c r="H44" s="118">
        <f>IFERROR(G44/C3,0)</f>
        <v>56092451.438468762</v>
      </c>
      <c r="I44" s="116"/>
    </row>
    <row r="45" spans="2:14" ht="20" customHeight="1" x14ac:dyDescent="0.2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195948024.227386</v>
      </c>
      <c r="F45" s="44">
        <f>IFERROR(E45/D45,0)</f>
        <v>0.10989924986500166</v>
      </c>
      <c r="G45" s="118">
        <f>D45-E45</f>
        <v>1587030699.1768699</v>
      </c>
      <c r="H45" s="118">
        <f>IFERROR(G45/C3,0)</f>
        <v>72137759.053494081</v>
      </c>
      <c r="I45" s="116"/>
    </row>
    <row r="46" spans="2:14" ht="18.75" customHeight="1" x14ac:dyDescent="0.2">
      <c r="B46" s="213" t="s">
        <v>146</v>
      </c>
      <c r="C46" s="214"/>
      <c r="D46" s="47">
        <f>D43+D44+D45</f>
        <v>10097522879.624619</v>
      </c>
      <c r="E46" s="47">
        <f>E43+E44+E45</f>
        <v>1319445633.3337951</v>
      </c>
      <c r="F46" s="43">
        <f>IFERROR(E46/D46,0)</f>
        <v>0.13067022962594627</v>
      </c>
      <c r="G46" s="119">
        <f>G43+G44+G45</f>
        <v>8778077246.290823</v>
      </c>
      <c r="H46" s="119">
        <f>IFERROR(G46/C3,0)</f>
        <v>399003511.19503742</v>
      </c>
      <c r="I46" s="116"/>
    </row>
    <row r="47" spans="2:14" x14ac:dyDescent="0.2">
      <c r="G47" s="116"/>
      <c r="H47" s="116"/>
      <c r="I47" s="116"/>
    </row>
    <row r="48" spans="2:14" ht="25.5" customHeight="1" x14ac:dyDescent="0.2">
      <c r="B48" s="210" t="s">
        <v>147</v>
      </c>
      <c r="C48" s="211"/>
      <c r="D48" s="211"/>
      <c r="E48" s="211"/>
      <c r="F48" s="211"/>
      <c r="G48" s="211"/>
      <c r="H48" s="211"/>
      <c r="I48" s="211"/>
      <c r="J48" s="212"/>
      <c r="K48" s="219"/>
      <c r="L48" s="220"/>
      <c r="M48" s="220"/>
      <c r="N48" s="221"/>
    </row>
    <row r="49" spans="2:14" ht="20" customHeight="1" x14ac:dyDescent="0.2">
      <c r="B49" s="215" t="s">
        <v>41</v>
      </c>
      <c r="C49" s="215" t="s">
        <v>42</v>
      </c>
      <c r="D49" s="222" t="s">
        <v>138</v>
      </c>
      <c r="E49" s="223"/>
      <c r="F49" s="224"/>
      <c r="G49" s="120" t="s">
        <v>139</v>
      </c>
      <c r="H49" s="120"/>
      <c r="I49" s="120"/>
      <c r="J49" s="215" t="s">
        <v>140</v>
      </c>
      <c r="K49" s="132" t="s">
        <v>148</v>
      </c>
      <c r="L49" s="132"/>
      <c r="M49" s="132"/>
      <c r="N49" s="225" t="s">
        <v>149</v>
      </c>
    </row>
    <row r="50" spans="2:14" ht="22.5" customHeight="1" x14ac:dyDescent="0.2">
      <c r="B50" s="215"/>
      <c r="C50" s="21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5"/>
      <c r="K50" s="133" t="s">
        <v>143</v>
      </c>
      <c r="L50" s="133" t="s">
        <v>111</v>
      </c>
      <c r="M50" s="133" t="s">
        <v>146</v>
      </c>
      <c r="N50" s="225"/>
    </row>
    <row r="51" spans="2:14" ht="20" customHeight="1" x14ac:dyDescent="0.2">
      <c r="B51" s="201" t="s">
        <v>67</v>
      </c>
      <c r="C51" s="202" t="s">
        <v>68</v>
      </c>
      <c r="D51" s="205">
        <f>TARGETS!L5</f>
        <v>416683478</v>
      </c>
      <c r="E51" s="205">
        <f>TARGETS!M5</f>
        <v>68270401.220654309</v>
      </c>
      <c r="F51" s="205">
        <f t="shared" ref="F51:F64" si="0">D51+E51</f>
        <v>484953879.22065431</v>
      </c>
      <c r="G51" s="122">
        <f>M8</f>
        <v>32709858.660574999</v>
      </c>
      <c r="H51" s="122">
        <f>N8</f>
        <v>9597998.5084819999</v>
      </c>
      <c r="I51" s="122">
        <f t="shared" ref="I51:I64" si="1">G51+H51</f>
        <v>42307857.169056997</v>
      </c>
      <c r="J51" s="61">
        <f t="shared" ref="J51:J64" si="2">IFERROR(I51/F51,0)</f>
        <v>8.7240991322819997E-2</v>
      </c>
      <c r="K51" s="51">
        <f t="shared" ref="K51:M64" si="3">D51-G51</f>
        <v>383973619.33942503</v>
      </c>
      <c r="L51" s="51">
        <f t="shared" si="3"/>
        <v>58672402.712172307</v>
      </c>
      <c r="M51" s="51">
        <f t="shared" si="3"/>
        <v>442646022.0515973</v>
      </c>
      <c r="N51" s="51">
        <f>IFERROR(M51/C3,0)</f>
        <v>20120273.729618058</v>
      </c>
    </row>
    <row r="52" spans="2:14" ht="20" customHeight="1" x14ac:dyDescent="0.2">
      <c r="B52" s="201" t="s">
        <v>69</v>
      </c>
      <c r="C52" s="202" t="s">
        <v>70</v>
      </c>
      <c r="D52" s="205">
        <f>TARGETS!L6</f>
        <v>555182371</v>
      </c>
      <c r="E52" s="205">
        <f>TARGETS!M6</f>
        <v>191546784</v>
      </c>
      <c r="F52" s="205">
        <f t="shared" si="0"/>
        <v>746729155</v>
      </c>
      <c r="G52" s="122">
        <f>M9</f>
        <v>81423428.073637992</v>
      </c>
      <c r="H52" s="122">
        <f>N9</f>
        <v>17193208.630292002</v>
      </c>
      <c r="I52" s="122">
        <f t="shared" si="1"/>
        <v>98616636.703929991</v>
      </c>
      <c r="J52" s="61">
        <f t="shared" si="2"/>
        <v>0.13206480026071835</v>
      </c>
      <c r="K52" s="54">
        <f t="shared" si="3"/>
        <v>473758942.92636204</v>
      </c>
      <c r="L52" s="54">
        <f t="shared" si="3"/>
        <v>174353575.369708</v>
      </c>
      <c r="M52" s="54">
        <f t="shared" si="3"/>
        <v>648112518.29606998</v>
      </c>
      <c r="N52" s="54">
        <f>IFERROR(M52/C3,0)</f>
        <v>29459659.922548637</v>
      </c>
    </row>
    <row r="53" spans="2:14" ht="20" customHeight="1" x14ac:dyDescent="0.2">
      <c r="B53" s="155" t="s">
        <v>176</v>
      </c>
      <c r="C53" s="156" t="s">
        <v>177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32194810</v>
      </c>
      <c r="H53" s="122">
        <f>IF(D22="",0,D22)</f>
        <v>0</v>
      </c>
      <c r="I53" s="122">
        <f>G53+H53</f>
        <v>32194810</v>
      </c>
      <c r="J53" s="61">
        <f>IFERROR(I53/F53,0)</f>
        <v>0.1333266007730512</v>
      </c>
      <c r="K53" s="54">
        <f>D53-G53</f>
        <v>209278458</v>
      </c>
      <c r="L53" s="54">
        <f>E53-H53</f>
        <v>0</v>
      </c>
      <c r="M53" s="54">
        <f>F53-I53</f>
        <v>209278458</v>
      </c>
      <c r="N53" s="54">
        <f>IFERROR(M53/C3,0)</f>
        <v>9512657.1818181816</v>
      </c>
    </row>
    <row r="54" spans="2:14" ht="20" customHeight="1" x14ac:dyDescent="0.2">
      <c r="B54" s="201" t="s">
        <v>71</v>
      </c>
      <c r="C54" s="202" t="s">
        <v>72</v>
      </c>
      <c r="D54" s="205">
        <f>TARGETS!L8</f>
        <v>610712472</v>
      </c>
      <c r="E54" s="205">
        <f>TARGETS!M8</f>
        <v>46881826.81733489</v>
      </c>
      <c r="F54" s="205">
        <f t="shared" si="0"/>
        <v>657594298.81733489</v>
      </c>
      <c r="G54" s="122">
        <f>M10</f>
        <v>93242063.585198998</v>
      </c>
      <c r="H54" s="122">
        <f t="shared" ref="H54:H58" si="4">N10</f>
        <v>9773879.4739570003</v>
      </c>
      <c r="I54" s="122">
        <f t="shared" si="1"/>
        <v>103015943.059156</v>
      </c>
      <c r="J54" s="61">
        <f t="shared" si="2"/>
        <v>0.15665577278335185</v>
      </c>
      <c r="K54" s="54">
        <f>D54-G54</f>
        <v>517470408.414801</v>
      </c>
      <c r="L54" s="54">
        <f t="shared" si="3"/>
        <v>37107947.343377888</v>
      </c>
      <c r="M54" s="54">
        <f t="shared" si="3"/>
        <v>554578355.75817895</v>
      </c>
      <c r="N54" s="54">
        <f>IFERROR(M54/C3,0)</f>
        <v>25208107.079917226</v>
      </c>
    </row>
    <row r="55" spans="2:14" ht="20" customHeight="1" x14ac:dyDescent="0.2">
      <c r="B55" s="201" t="s">
        <v>73</v>
      </c>
      <c r="C55" s="202" t="s">
        <v>74</v>
      </c>
      <c r="D55" s="205">
        <f>TARGETS!L9</f>
        <v>405063284</v>
      </c>
      <c r="E55" s="205">
        <f>TARGETS!M9</f>
        <v>82869315.191524148</v>
      </c>
      <c r="F55" s="205">
        <f t="shared" si="0"/>
        <v>487932599.19152415</v>
      </c>
      <c r="G55" s="122">
        <f>M11</f>
        <v>21387387.039999999</v>
      </c>
      <c r="H55" s="122">
        <f t="shared" si="4"/>
        <v>594594.6</v>
      </c>
      <c r="I55" s="122">
        <f t="shared" si="1"/>
        <v>21981981.640000001</v>
      </c>
      <c r="J55" s="61">
        <f t="shared" si="2"/>
        <v>4.5051266663516359E-2</v>
      </c>
      <c r="K55" s="54">
        <f t="shared" si="3"/>
        <v>383675896.95999998</v>
      </c>
      <c r="L55" s="54">
        <f t="shared" si="3"/>
        <v>82274720.591524154</v>
      </c>
      <c r="M55" s="54">
        <f t="shared" si="3"/>
        <v>465950617.55152416</v>
      </c>
      <c r="N55" s="54">
        <f>IFERROR(M55/C3,0)</f>
        <v>21179573.525069281</v>
      </c>
    </row>
    <row r="56" spans="2:14" ht="20" customHeight="1" x14ac:dyDescent="0.2">
      <c r="B56" s="201" t="s">
        <v>75</v>
      </c>
      <c r="C56" s="202" t="s">
        <v>74</v>
      </c>
      <c r="D56" s="205">
        <f>TARGETS!L10</f>
        <v>473918832</v>
      </c>
      <c r="E56" s="205">
        <f>TARGETS!M10</f>
        <v>81239394.122653604</v>
      </c>
      <c r="F56" s="205">
        <f t="shared" si="0"/>
        <v>555158226.1226536</v>
      </c>
      <c r="G56" s="122">
        <f>M12</f>
        <v>48103144.068025999</v>
      </c>
      <c r="H56" s="122">
        <f t="shared" si="4"/>
        <v>18718384.409876999</v>
      </c>
      <c r="I56" s="122">
        <f t="shared" si="1"/>
        <v>66821528.477902994</v>
      </c>
      <c r="J56" s="61">
        <f t="shared" si="2"/>
        <v>0.12036483534540982</v>
      </c>
      <c r="K56" s="54">
        <f t="shared" si="3"/>
        <v>425815687.93197399</v>
      </c>
      <c r="L56" s="54">
        <f t="shared" si="3"/>
        <v>62521009.712776601</v>
      </c>
      <c r="M56" s="54">
        <f t="shared" si="3"/>
        <v>488336697.6447506</v>
      </c>
      <c r="N56" s="54">
        <f>IFERROR(M56/C3,0)</f>
        <v>22197122.620215937</v>
      </c>
    </row>
    <row r="57" spans="2:14" ht="20" customHeight="1" x14ac:dyDescent="0.2">
      <c r="B57" s="201" t="s">
        <v>76</v>
      </c>
      <c r="C57" s="202" t="s">
        <v>77</v>
      </c>
      <c r="D57" s="205">
        <f>TARGETS!L11</f>
        <v>961758345</v>
      </c>
      <c r="E57" s="205">
        <f>TARGETS!M11</f>
        <v>91928576.339156389</v>
      </c>
      <c r="F57" s="205">
        <f t="shared" si="0"/>
        <v>1053686921.3391564</v>
      </c>
      <c r="G57" s="122">
        <f>M13</f>
        <v>117065779.879189</v>
      </c>
      <c r="H57" s="122">
        <f t="shared" si="4"/>
        <v>14545481.789966</v>
      </c>
      <c r="I57" s="122">
        <f t="shared" si="1"/>
        <v>131611261.669155</v>
      </c>
      <c r="J57" s="61">
        <f t="shared" si="2"/>
        <v>0.12490547144866052</v>
      </c>
      <c r="K57" s="54">
        <f t="shared" si="3"/>
        <v>844692565.12081099</v>
      </c>
      <c r="L57" s="54">
        <f t="shared" si="3"/>
        <v>77383094.549190387</v>
      </c>
      <c r="M57" s="54">
        <f t="shared" si="3"/>
        <v>922075659.67000139</v>
      </c>
      <c r="N57" s="54">
        <f>IFERROR(M57/C3,0)</f>
        <v>41912529.985000066</v>
      </c>
    </row>
    <row r="58" spans="2:14" ht="20" customHeight="1" x14ac:dyDescent="0.2">
      <c r="B58" s="201" t="s">
        <v>78</v>
      </c>
      <c r="C58" s="202" t="s">
        <v>79</v>
      </c>
      <c r="D58" s="205">
        <f>TARGETS!L12</f>
        <v>505287059</v>
      </c>
      <c r="E58" s="205">
        <f>TARGETS!M12</f>
        <v>63781404</v>
      </c>
      <c r="F58" s="205">
        <f t="shared" si="0"/>
        <v>569068463</v>
      </c>
      <c r="G58" s="122">
        <f>M14</f>
        <v>78677946.036803007</v>
      </c>
      <c r="H58" s="122">
        <f t="shared" si="4"/>
        <v>20233135.109866001</v>
      </c>
      <c r="I58" s="122">
        <f>G58+H58</f>
        <v>98911081.146669</v>
      </c>
      <c r="J58" s="61">
        <f>IFERROR(I58/F58,0)</f>
        <v>0.17381226966124988</v>
      </c>
      <c r="K58" s="54">
        <f t="shared" si="3"/>
        <v>426609112.96319699</v>
      </c>
      <c r="L58" s="54">
        <f t="shared" si="3"/>
        <v>43548268.890133999</v>
      </c>
      <c r="M58" s="54">
        <f t="shared" si="3"/>
        <v>470157381.85333097</v>
      </c>
      <c r="N58" s="54">
        <f>IFERROR(M58/C3,0)</f>
        <v>21370790.084242318</v>
      </c>
    </row>
    <row r="59" spans="2:14" ht="20" customHeight="1" x14ac:dyDescent="0.2">
      <c r="B59" s="155" t="s">
        <v>176</v>
      </c>
      <c r="C59" s="156" t="s">
        <v>178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38412458.249975003</v>
      </c>
      <c r="H59" s="122">
        <f>IF(D23="",0,D23)</f>
        <v>0</v>
      </c>
      <c r="I59" s="122">
        <f>G59+H59</f>
        <v>38412458.249975003</v>
      </c>
      <c r="J59" s="61">
        <f>IFERROR(I59/F59,0)</f>
        <v>9.5048895134791353E-2</v>
      </c>
      <c r="K59" s="54">
        <f>D59-G59</f>
        <v>365721205.75002497</v>
      </c>
      <c r="L59" s="54">
        <f>E59-H59</f>
        <v>0</v>
      </c>
      <c r="M59" s="54">
        <f>F59-I59</f>
        <v>365721205.75002497</v>
      </c>
      <c r="N59" s="54">
        <f>IFERROR(M59/C3,0)</f>
        <v>16623691.170455681</v>
      </c>
    </row>
    <row r="60" spans="2:14" ht="20" customHeight="1" x14ac:dyDescent="0.2">
      <c r="B60" s="201" t="s">
        <v>80</v>
      </c>
      <c r="C60" s="202" t="s">
        <v>81</v>
      </c>
      <c r="D60" s="205">
        <f>TARGETS!L14</f>
        <v>404017309</v>
      </c>
      <c r="E60" s="205">
        <f>TARGETS!M14</f>
        <v>138464390.21799541</v>
      </c>
      <c r="F60" s="205">
        <f t="shared" si="0"/>
        <v>542481699.21799541</v>
      </c>
      <c r="G60" s="122">
        <f>M15</f>
        <v>78951925.710300997</v>
      </c>
      <c r="H60" s="122">
        <f t="shared" ref="H60:H64" si="5">N15</f>
        <v>14526745.840333</v>
      </c>
      <c r="I60" s="122">
        <f t="shared" si="1"/>
        <v>93478671.550633997</v>
      </c>
      <c r="J60" s="61">
        <f t="shared" si="2"/>
        <v>0.17231672826085465</v>
      </c>
      <c r="K60" s="54">
        <f t="shared" si="3"/>
        <v>325065383.28969902</v>
      </c>
      <c r="L60" s="54">
        <f t="shared" si="3"/>
        <v>123937644.37766241</v>
      </c>
      <c r="M60" s="54">
        <f t="shared" si="3"/>
        <v>449003027.66736138</v>
      </c>
      <c r="N60" s="54">
        <f>IFERROR(M60/C3,0)</f>
        <v>20409228.530334607</v>
      </c>
    </row>
    <row r="61" spans="2:14" ht="20" customHeight="1" x14ac:dyDescent="0.2">
      <c r="B61" s="201" t="s">
        <v>82</v>
      </c>
      <c r="C61" s="202" t="s">
        <v>83</v>
      </c>
      <c r="D61" s="205">
        <f>TARGETS!L15</f>
        <v>631629596</v>
      </c>
      <c r="E61" s="205">
        <f>TARGETS!M15</f>
        <v>58741600.610625267</v>
      </c>
      <c r="F61" s="205">
        <f t="shared" si="0"/>
        <v>690371196.61062527</v>
      </c>
      <c r="G61" s="122">
        <f>M16</f>
        <v>68670310.1743</v>
      </c>
      <c r="H61" s="122">
        <f t="shared" si="5"/>
        <v>14865583.799972</v>
      </c>
      <c r="I61" s="122">
        <f t="shared" si="1"/>
        <v>83535893.974271998</v>
      </c>
      <c r="J61" s="61">
        <f t="shared" si="2"/>
        <v>0.12100141834478488</v>
      </c>
      <c r="K61" s="54">
        <f t="shared" si="3"/>
        <v>562959285.82570004</v>
      </c>
      <c r="L61" s="54">
        <f t="shared" si="3"/>
        <v>43876016.810653269</v>
      </c>
      <c r="M61" s="54">
        <f t="shared" si="3"/>
        <v>606835302.63635325</v>
      </c>
      <c r="N61" s="54">
        <f>IFERROR(M61/C3,0)</f>
        <v>27583422.847106967</v>
      </c>
    </row>
    <row r="62" spans="2:14" ht="20" customHeight="1" x14ac:dyDescent="0.2">
      <c r="B62" s="201" t="s">
        <v>84</v>
      </c>
      <c r="C62" s="202" t="s">
        <v>85</v>
      </c>
      <c r="D62" s="205">
        <f>TARGETS!L16</f>
        <v>386543023</v>
      </c>
      <c r="E62" s="205">
        <f>TARGETS!M16</f>
        <v>63764154.799813807</v>
      </c>
      <c r="F62" s="205">
        <f t="shared" si="0"/>
        <v>450307177.79981381</v>
      </c>
      <c r="G62" s="122">
        <f>M17</f>
        <v>47271367.069149002</v>
      </c>
      <c r="H62" s="122">
        <f t="shared" si="5"/>
        <v>3968008.6203959999</v>
      </c>
      <c r="I62" s="122">
        <f t="shared" si="1"/>
        <v>51239375.689545006</v>
      </c>
      <c r="J62" s="61">
        <f t="shared" si="2"/>
        <v>0.11378760591802894</v>
      </c>
      <c r="K62" s="54">
        <f t="shared" si="3"/>
        <v>339271655.93085098</v>
      </c>
      <c r="L62" s="54">
        <f t="shared" si="3"/>
        <v>59796146.179417804</v>
      </c>
      <c r="M62" s="54">
        <f t="shared" si="3"/>
        <v>399067802.11026883</v>
      </c>
      <c r="N62" s="54">
        <f>IFERROR(M62/C3,0)</f>
        <v>18139445.550466765</v>
      </c>
    </row>
    <row r="63" spans="2:14" ht="20" customHeight="1" x14ac:dyDescent="0.2">
      <c r="B63" s="201" t="s">
        <v>86</v>
      </c>
      <c r="C63" s="202" t="s">
        <v>87</v>
      </c>
      <c r="D63" s="205">
        <f>TARGETS!L17</f>
        <v>583350942</v>
      </c>
      <c r="E63" s="205">
        <f>TARGETS!M17</f>
        <v>329806944.99271739</v>
      </c>
      <c r="F63" s="205">
        <f t="shared" si="0"/>
        <v>913157886.99271739</v>
      </c>
      <c r="G63" s="122">
        <f>M18</f>
        <v>106086123.63008501</v>
      </c>
      <c r="H63" s="122">
        <f t="shared" si="5"/>
        <v>84961944.838635996</v>
      </c>
      <c r="I63" s="122">
        <f t="shared" si="1"/>
        <v>191048068.468721</v>
      </c>
      <c r="J63" s="61">
        <f t="shared" si="2"/>
        <v>0.20921690672562154</v>
      </c>
      <c r="K63" s="54">
        <f t="shared" si="3"/>
        <v>477264818.36991501</v>
      </c>
      <c r="L63" s="54">
        <f t="shared" si="3"/>
        <v>244845000.1540814</v>
      </c>
      <c r="M63" s="54">
        <f t="shared" si="3"/>
        <v>722109818.52399635</v>
      </c>
      <c r="N63" s="54">
        <f>IFERROR(M63/C3,0)</f>
        <v>32823173.569272563</v>
      </c>
    </row>
    <row r="64" spans="2:14" ht="20" customHeight="1" x14ac:dyDescent="0.2">
      <c r="B64" s="201" t="s">
        <v>88</v>
      </c>
      <c r="C64" s="202" t="s">
        <v>89</v>
      </c>
      <c r="D64" s="205">
        <f>TARGETS!L18</f>
        <v>259525689</v>
      </c>
      <c r="E64" s="205">
        <f>TARGETS!M18</f>
        <v>257970031.90788639</v>
      </c>
      <c r="F64" s="205">
        <f t="shared" si="0"/>
        <v>517495720.90788639</v>
      </c>
      <c r="G64" s="122">
        <f>M19</f>
        <v>38070114.355120003</v>
      </c>
      <c r="H64" s="122">
        <f t="shared" si="5"/>
        <v>32251926.952272002</v>
      </c>
      <c r="I64" s="122">
        <f t="shared" si="1"/>
        <v>70322041.307392001</v>
      </c>
      <c r="J64" s="61">
        <f t="shared" si="2"/>
        <v>0.13588912616324655</v>
      </c>
      <c r="K64" s="54">
        <f t="shared" si="3"/>
        <v>221455574.64488</v>
      </c>
      <c r="L64" s="54">
        <f t="shared" si="3"/>
        <v>225718104.95561439</v>
      </c>
      <c r="M64" s="54">
        <f t="shared" si="3"/>
        <v>447173679.60049438</v>
      </c>
      <c r="N64" s="54">
        <f>IFERROR(M64/C3,0)</f>
        <v>20326076.345477019</v>
      </c>
    </row>
    <row r="65" spans="2:14" ht="20" customHeight="1" x14ac:dyDescent="0.2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882266716.53236008</v>
      </c>
      <c r="H65" s="152">
        <f>SUM(H51:H64)</f>
        <v>241230892.574049</v>
      </c>
      <c r="I65" s="152">
        <f>SUM(I51:I64)</f>
        <v>1123497609.1064091</v>
      </c>
      <c r="J65" s="153">
        <f>IFERROR(I65/F65,0)</f>
        <v>0.13512437819767742</v>
      </c>
      <c r="K65" s="154">
        <f>SUM(K51:K64)</f>
        <v>5957012615.4676399</v>
      </c>
      <c r="L65" s="154">
        <f>SUM(L51:L64)</f>
        <v>1234033931.6463125</v>
      </c>
      <c r="M65" s="154">
        <f>SUM(M51:M64)</f>
        <v>7191046547.1139526</v>
      </c>
      <c r="N65" s="154">
        <f>IFERROR(M65/C3,0)</f>
        <v>326865752.14154333</v>
      </c>
    </row>
    <row r="66" spans="2:14" x14ac:dyDescent="0.2">
      <c r="G66" s="116"/>
      <c r="H66" s="116"/>
      <c r="I66" s="116"/>
    </row>
    <row r="67" spans="2:14" ht="20" x14ac:dyDescent="0.2">
      <c r="B67" s="135" t="s">
        <v>175</v>
      </c>
      <c r="C67" s="136"/>
      <c r="D67" s="137"/>
    </row>
    <row r="68" spans="2:14" ht="18.75" customHeight="1" x14ac:dyDescent="0.2">
      <c r="B68" s="215" t="s">
        <v>41</v>
      </c>
      <c r="C68" s="215" t="s">
        <v>42</v>
      </c>
      <c r="D68" s="134" t="s">
        <v>139</v>
      </c>
    </row>
    <row r="69" spans="2:14" ht="18" customHeight="1" x14ac:dyDescent="0.2">
      <c r="B69" s="215"/>
      <c r="C69" s="215"/>
      <c r="D69" s="71" t="s">
        <v>172</v>
      </c>
    </row>
    <row r="70" spans="2:14" ht="20" customHeight="1" x14ac:dyDescent="0.2">
      <c r="B70" s="201" t="s">
        <v>67</v>
      </c>
      <c r="C70" s="202" t="s">
        <v>68</v>
      </c>
      <c r="D70" s="204">
        <v>8219819.6200000001</v>
      </c>
    </row>
    <row r="71" spans="2:14" ht="20" customHeight="1" x14ac:dyDescent="0.2">
      <c r="B71" s="201" t="s">
        <v>69</v>
      </c>
      <c r="C71" s="202" t="s">
        <v>70</v>
      </c>
      <c r="D71" s="204">
        <v>7495495.4000000004</v>
      </c>
    </row>
    <row r="72" spans="2:14" ht="20" customHeight="1" x14ac:dyDescent="0.2">
      <c r="B72" s="201" t="s">
        <v>176</v>
      </c>
      <c r="C72" s="202" t="s">
        <v>177</v>
      </c>
      <c r="D72" s="204">
        <v>4036035.92</v>
      </c>
    </row>
    <row r="73" spans="2:14" ht="20" customHeight="1" x14ac:dyDescent="0.2">
      <c r="B73" s="201" t="s">
        <v>71</v>
      </c>
      <c r="C73" s="202" t="s">
        <v>72</v>
      </c>
      <c r="D73" s="204">
        <v>13097297.140000001</v>
      </c>
    </row>
    <row r="74" spans="2:14" ht="20" customHeight="1" x14ac:dyDescent="0.2">
      <c r="B74" s="201" t="s">
        <v>73</v>
      </c>
      <c r="C74" s="202" t="s">
        <v>74</v>
      </c>
      <c r="D74" s="204">
        <f>0</f>
        <v>0</v>
      </c>
    </row>
    <row r="75" spans="2:14" ht="20" customHeight="1" x14ac:dyDescent="0.2">
      <c r="B75" s="201" t="s">
        <v>75</v>
      </c>
      <c r="C75" s="202" t="s">
        <v>74</v>
      </c>
      <c r="D75" s="204">
        <v>3932432.4</v>
      </c>
    </row>
    <row r="76" spans="2:14" ht="20" customHeight="1" x14ac:dyDescent="0.2">
      <c r="B76" s="201" t="s">
        <v>76</v>
      </c>
      <c r="C76" s="202" t="s">
        <v>77</v>
      </c>
      <c r="D76" s="204">
        <v>229879300.729956</v>
      </c>
    </row>
    <row r="77" spans="2:14" ht="20" customHeight="1" x14ac:dyDescent="0.2">
      <c r="B77" s="201" t="s">
        <v>78</v>
      </c>
      <c r="C77" s="202" t="s">
        <v>79</v>
      </c>
      <c r="D77" s="204">
        <v>10536035.92</v>
      </c>
    </row>
    <row r="78" spans="2:14" ht="20" customHeight="1" x14ac:dyDescent="0.2">
      <c r="B78" s="201" t="s">
        <v>176</v>
      </c>
      <c r="C78" s="202" t="s">
        <v>178</v>
      </c>
      <c r="D78" s="204">
        <v>1441441.4</v>
      </c>
    </row>
    <row r="79" spans="2:14" ht="20" customHeight="1" x14ac:dyDescent="0.2">
      <c r="B79" s="201" t="s">
        <v>80</v>
      </c>
      <c r="C79" s="202" t="s">
        <v>81</v>
      </c>
      <c r="D79" s="204">
        <f>IF(E11="",0,E11)</f>
        <v>0</v>
      </c>
    </row>
    <row r="80" spans="2:14" ht="20" customHeight="1" x14ac:dyDescent="0.2">
      <c r="B80" s="201" t="s">
        <v>82</v>
      </c>
      <c r="C80" s="202" t="s">
        <v>83</v>
      </c>
      <c r="D80" s="204">
        <v>40603603.649999999</v>
      </c>
    </row>
    <row r="81" spans="2:9" ht="20" customHeight="1" x14ac:dyDescent="0.2">
      <c r="B81" s="201" t="s">
        <v>84</v>
      </c>
      <c r="C81" s="202" t="s">
        <v>85</v>
      </c>
      <c r="D81" s="204">
        <v>39231530.520000003</v>
      </c>
    </row>
    <row r="82" spans="2:9" ht="20" customHeight="1" x14ac:dyDescent="0.2">
      <c r="B82" s="201" t="s">
        <v>86</v>
      </c>
      <c r="C82" s="202" t="s">
        <v>87</v>
      </c>
      <c r="D82" s="204">
        <v>4259459.54</v>
      </c>
    </row>
    <row r="83" spans="2:9" ht="20" customHeight="1" x14ac:dyDescent="0.2">
      <c r="B83" s="201" t="s">
        <v>88</v>
      </c>
      <c r="C83" s="202" t="s">
        <v>89</v>
      </c>
      <c r="D83" s="204">
        <v>12518919.199999999</v>
      </c>
    </row>
    <row r="84" spans="2:9" ht="20" customHeight="1" x14ac:dyDescent="0.2">
      <c r="B84" s="57" t="s">
        <v>152</v>
      </c>
      <c r="C84" s="58"/>
      <c r="D84" s="129">
        <f>SUM(D70:D83)</f>
        <v>375251371.43995595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6" t="s">
        <v>145</v>
      </c>
      <c r="C87" s="217"/>
      <c r="D87" s="217"/>
      <c r="E87" s="217"/>
      <c r="F87" s="218"/>
      <c r="G87" s="124"/>
      <c r="H87" s="124"/>
      <c r="I87" s="116"/>
    </row>
    <row r="88" spans="2:9" ht="18" customHeight="1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" customHeight="1" x14ac:dyDescent="0.2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87095406.395739004</v>
      </c>
      <c r="F89" s="61">
        <f t="shared" ref="F89:F94" si="7">IFERROR(E89/D89,0)</f>
        <v>0.31322002436765434</v>
      </c>
      <c r="G89" s="125">
        <f>D89-E89</f>
        <v>190969211.50847054</v>
      </c>
      <c r="H89" s="125">
        <f>IFERROR(G89/C3,0)</f>
        <v>8680418.7049304787</v>
      </c>
      <c r="I89" s="116"/>
    </row>
    <row r="90" spans="2:9" ht="20" customHeight="1" x14ac:dyDescent="0.2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13891811.213934001</v>
      </c>
      <c r="F90" s="61">
        <f t="shared" si="7"/>
        <v>3.3264353578011371E-2</v>
      </c>
      <c r="G90" s="126">
        <f>D90-E90</f>
        <v>403726741.97258759</v>
      </c>
      <c r="H90" s="126">
        <f>IFERROR(G90/C3,0)</f>
        <v>18351215.544208527</v>
      </c>
      <c r="I90" s="116"/>
    </row>
    <row r="91" spans="2:9" ht="20" customHeight="1" x14ac:dyDescent="0.2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94960806.617712989</v>
      </c>
      <c r="F91" s="61">
        <f t="shared" si="7"/>
        <v>8.7336701061323546E-2</v>
      </c>
      <c r="G91" s="125">
        <f>D91-E91</f>
        <v>992334745.69581175</v>
      </c>
      <c r="H91" s="125">
        <f>IFERROR(G91/C3,0)</f>
        <v>45106124.804355077</v>
      </c>
      <c r="I91" s="116"/>
    </row>
    <row r="92" spans="2:9" ht="20" hidden="1" customHeight="1" x14ac:dyDescent="0.2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>IFERROR(G92/C3,0)</f>
        <v>0</v>
      </c>
      <c r="I92" s="116"/>
    </row>
    <row r="93" spans="2:9" ht="20" hidden="1" customHeight="1" x14ac:dyDescent="0.2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>IFERROR(G93/C3,0)</f>
        <v>0</v>
      </c>
      <c r="I93" s="116"/>
    </row>
    <row r="94" spans="2:9" ht="20" customHeight="1" x14ac:dyDescent="0.2">
      <c r="B94" s="57" t="s">
        <v>152</v>
      </c>
      <c r="C94" s="58"/>
      <c r="D94" s="123">
        <f>SUM(D89:D93)</f>
        <v>1782978723.4042559</v>
      </c>
      <c r="E94" s="123">
        <f>SUM(E89:E93)</f>
        <v>195948024.227386</v>
      </c>
      <c r="F94" s="43">
        <f t="shared" si="7"/>
        <v>0.10989924986500166</v>
      </c>
      <c r="G94" s="119">
        <f>SUM(G89:G93)</f>
        <v>1587030699.1768699</v>
      </c>
      <c r="H94" s="119">
        <f>IFERROR(G94/C3,0)</f>
        <v>72137759.053494081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NETWORKDAYS.INTL(TODAY(),EOMONTH(TODAY(),2),11)</f>
        <v>75</v>
      </c>
      <c r="D3" s="79" t="s">
        <v>104</v>
      </c>
      <c r="E3" s="80">
        <f ca="1">DAY(EOMONTH(TODAY(),2))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38" t="s">
        <v>160</v>
      </c>
      <c r="C41" s="239"/>
      <c r="D41" s="240"/>
      <c r="E41" s="67" t="s">
        <v>138</v>
      </c>
      <c r="F41" s="73">
        <f ca="1">IF(MONTH(TODAY())=6,DAY(TODAY())/DAY(EOMONTH(TODAY(),0)),IF(MONTH(TODAY())&gt;6,1,0))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SUM(TARGETS!N5:N7,TARGETS!N8:N13,TARGETS!N14:N18)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SUM(TARGETS!O5:O6,TARGETS!O8:O12,TARGETS!O14:O18)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SUM(TARGETS!I22:I26)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13" t="s">
        <v>146</v>
      </c>
      <c r="C46" s="21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10" t="s">
        <v>147</v>
      </c>
      <c r="C48" s="211"/>
      <c r="D48" s="211"/>
      <c r="E48" s="211"/>
      <c r="F48" s="211"/>
      <c r="G48" s="211"/>
      <c r="H48" s="211"/>
      <c r="I48" s="211"/>
      <c r="J48" s="212"/>
      <c r="K48" s="219"/>
      <c r="L48" s="220"/>
      <c r="M48" s="220"/>
      <c r="N48" s="221"/>
    </row>
    <row r="49" spans="2:14" ht="17" x14ac:dyDescent="0.2">
      <c r="B49" s="215" t="s">
        <v>41</v>
      </c>
      <c r="C49" s="215" t="s">
        <v>42</v>
      </c>
      <c r="D49" s="222" t="s">
        <v>138</v>
      </c>
      <c r="E49" s="223"/>
      <c r="F49" s="224"/>
      <c r="G49" s="120" t="s">
        <v>139</v>
      </c>
      <c r="H49" s="120"/>
      <c r="I49" s="120"/>
      <c r="J49" s="215" t="s">
        <v>140</v>
      </c>
      <c r="K49" s="132" t="s">
        <v>148</v>
      </c>
      <c r="L49" s="132"/>
      <c r="M49" s="132"/>
      <c r="N49" s="225" t="s">
        <v>149</v>
      </c>
    </row>
    <row r="50" spans="2:14" ht="51" x14ac:dyDescent="0.2">
      <c r="B50" s="215"/>
      <c r="C50" s="21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5"/>
      <c r="K50" s="133" t="s">
        <v>143</v>
      </c>
      <c r="L50" s="133" t="s">
        <v>111</v>
      </c>
      <c r="M50" s="133" t="s">
        <v>146</v>
      </c>
      <c r="N50" s="225"/>
    </row>
    <row r="51" spans="2:14" ht="16" x14ac:dyDescent="0.2">
      <c r="B51" s="50" t="s">
        <v>67</v>
      </c>
      <c r="C51" s="55" t="s">
        <v>68</v>
      </c>
      <c r="D51" s="127">
        <f>TARGETS!N5</f>
        <v>0</v>
      </c>
      <c r="E51" s="127">
        <f>TARGETS!O5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TARGETS!N6</f>
        <v>0</v>
      </c>
      <c r="E52" s="128">
        <f>TARGETS!O6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176</v>
      </c>
      <c r="C53" s="156" t="s">
        <v>177</v>
      </c>
      <c r="D53" s="157">
        <f>TARGETS!N7</f>
        <v>0</v>
      </c>
      <c r="E53" s="157">
        <f>TARGETS!O7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TARGETS!N8</f>
        <v>0</v>
      </c>
      <c r="E54" s="128">
        <f>TARGETS!O8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TARGETS!N9</f>
        <v>0</v>
      </c>
      <c r="E55" s="127">
        <f>TARGETS!O9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TARGETS!N10</f>
        <v>0</v>
      </c>
      <c r="E56" s="128">
        <f>TARGETS!O10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TARGETS!N11</f>
        <v>0</v>
      </c>
      <c r="E57" s="127">
        <f>TARGETS!O11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TARGETS!N12</f>
        <v>0</v>
      </c>
      <c r="E58" s="128">
        <f>TARGETS!O12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176</v>
      </c>
      <c r="C59" s="156" t="s">
        <v>178</v>
      </c>
      <c r="D59" s="157">
        <f>TARGETS!N13</f>
        <v>0</v>
      </c>
      <c r="E59" s="157">
        <f>TARGETS!O13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TARGETS!N14</f>
        <v>0</v>
      </c>
      <c r="E60" s="128">
        <f>TARGETS!O14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TARGETS!N15</f>
        <v>0</v>
      </c>
      <c r="E61" s="127">
        <f>TARGETS!O15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TARGETS!N16</f>
        <v>0</v>
      </c>
      <c r="E62" s="128">
        <f>TARGETS!O16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TARGETS!N17</f>
        <v>0</v>
      </c>
      <c r="E63" s="127">
        <f>TARGETS!O17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TARGETS!N18</f>
        <v>0</v>
      </c>
      <c r="E64" s="128">
        <f>TARGETS!O18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175</v>
      </c>
      <c r="C67" s="136"/>
      <c r="D67" s="137"/>
    </row>
    <row r="68" spans="2:14" ht="17" x14ac:dyDescent="0.2">
      <c r="B68" s="215" t="s">
        <v>41</v>
      </c>
      <c r="C68" s="215" t="s">
        <v>42</v>
      </c>
      <c r="D68" s="134" t="s">
        <v>139</v>
      </c>
    </row>
    <row r="69" spans="2:14" ht="17" x14ac:dyDescent="0.2">
      <c r="B69" s="215"/>
      <c r="C69" s="215"/>
      <c r="D69" s="71" t="s">
        <v>172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176</v>
      </c>
      <c r="C72" s="56" t="s">
        <v>177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176</v>
      </c>
      <c r="C78" s="56" t="s">
        <v>178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6" t="s">
        <v>145</v>
      </c>
      <c r="C87" s="217"/>
      <c r="D87" s="217"/>
      <c r="E87" s="217"/>
      <c r="F87" s="218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TARGETS!I22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TARGETS!I23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TARGETS!I24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NETWORKDAYS.INTL(TODAY(),EOMONTH(TODAY(),3),11)</f>
        <v>101</v>
      </c>
      <c r="D3" s="79" t="s">
        <v>104</v>
      </c>
      <c r="E3" s="80">
        <f ca="1">DAY(EOMONTH(TODAY(),3))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38" t="s">
        <v>179</v>
      </c>
      <c r="C41" s="239"/>
      <c r="D41" s="240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13" t="s">
        <v>146</v>
      </c>
      <c r="C46" s="21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10" t="s">
        <v>147</v>
      </c>
      <c r="C48" s="211"/>
      <c r="D48" s="211"/>
      <c r="E48" s="211"/>
      <c r="F48" s="211"/>
      <c r="G48" s="211"/>
      <c r="H48" s="211"/>
      <c r="I48" s="211"/>
      <c r="J48" s="212"/>
      <c r="K48" s="219"/>
      <c r="L48" s="220"/>
      <c r="M48" s="220"/>
      <c r="N48" s="221"/>
    </row>
    <row r="49" spans="2:14" ht="17" x14ac:dyDescent="0.2">
      <c r="B49" s="215" t="s">
        <v>41</v>
      </c>
      <c r="C49" s="215" t="s">
        <v>42</v>
      </c>
      <c r="D49" s="222" t="s">
        <v>138</v>
      </c>
      <c r="E49" s="223"/>
      <c r="F49" s="224"/>
      <c r="G49" s="120" t="s">
        <v>139</v>
      </c>
      <c r="H49" s="120"/>
      <c r="I49" s="120"/>
      <c r="J49" s="215" t="s">
        <v>140</v>
      </c>
      <c r="K49" s="132" t="s">
        <v>148</v>
      </c>
      <c r="L49" s="132"/>
      <c r="M49" s="132"/>
      <c r="N49" s="225" t="s">
        <v>149</v>
      </c>
    </row>
    <row r="50" spans="2:14" ht="51" x14ac:dyDescent="0.2">
      <c r="B50" s="215"/>
      <c r="C50" s="21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5"/>
      <c r="K50" s="133" t="s">
        <v>143</v>
      </c>
      <c r="L50" s="133" t="s">
        <v>111</v>
      </c>
      <c r="M50" s="133" t="s">
        <v>146</v>
      </c>
      <c r="N50" s="225"/>
    </row>
    <row r="51" spans="2:14" ht="16" x14ac:dyDescent="0.2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176</v>
      </c>
      <c r="C53" s="156" t="s">
        <v>177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176</v>
      </c>
      <c r="C59" s="156" t="s">
        <v>178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175</v>
      </c>
      <c r="C67" s="136"/>
      <c r="D67" s="137"/>
    </row>
    <row r="68" spans="2:14" ht="17" x14ac:dyDescent="0.2">
      <c r="B68" s="215" t="s">
        <v>41</v>
      </c>
      <c r="C68" s="215" t="s">
        <v>42</v>
      </c>
      <c r="D68" s="134" t="s">
        <v>139</v>
      </c>
    </row>
    <row r="69" spans="2:14" ht="17" x14ac:dyDescent="0.2">
      <c r="B69" s="215"/>
      <c r="C69" s="215"/>
      <c r="D69" s="71" t="s">
        <v>172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176</v>
      </c>
      <c r="C72" s="56" t="s">
        <v>177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176</v>
      </c>
      <c r="C78" s="56" t="s">
        <v>178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6" t="s">
        <v>145</v>
      </c>
      <c r="C87" s="217"/>
      <c r="D87" s="217"/>
      <c r="E87" s="217"/>
      <c r="F87" s="218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NETWORKDAYS.INTL(TODAY(),EOMONTH(TODAY(),4),11)</f>
        <v>127</v>
      </c>
      <c r="D3" s="79" t="s">
        <v>104</v>
      </c>
      <c r="E3" s="80">
        <f ca="1">DAY(EOMONTH(TODAY(),4))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38" t="s">
        <v>163</v>
      </c>
      <c r="C41" s="239"/>
      <c r="D41" s="240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13" t="s">
        <v>146</v>
      </c>
      <c r="C46" s="21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10" t="s">
        <v>147</v>
      </c>
      <c r="C48" s="211"/>
      <c r="D48" s="211"/>
      <c r="E48" s="211"/>
      <c r="F48" s="211"/>
      <c r="G48" s="211"/>
      <c r="H48" s="211"/>
      <c r="I48" s="211"/>
      <c r="J48" s="212"/>
      <c r="K48" s="219"/>
      <c r="L48" s="220"/>
      <c r="M48" s="220"/>
      <c r="N48" s="221"/>
    </row>
    <row r="49" spans="2:14" ht="17" x14ac:dyDescent="0.2">
      <c r="B49" s="215" t="s">
        <v>41</v>
      </c>
      <c r="C49" s="215" t="s">
        <v>42</v>
      </c>
      <c r="D49" s="222" t="s">
        <v>138</v>
      </c>
      <c r="E49" s="223"/>
      <c r="F49" s="224"/>
      <c r="G49" s="120" t="s">
        <v>139</v>
      </c>
      <c r="H49" s="120"/>
      <c r="I49" s="120"/>
      <c r="J49" s="215" t="s">
        <v>140</v>
      </c>
      <c r="K49" s="132" t="s">
        <v>148</v>
      </c>
      <c r="L49" s="132"/>
      <c r="M49" s="132"/>
      <c r="N49" s="225" t="s">
        <v>149</v>
      </c>
    </row>
    <row r="50" spans="2:14" ht="51" x14ac:dyDescent="0.2">
      <c r="B50" s="215"/>
      <c r="C50" s="21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5"/>
      <c r="K50" s="133" t="s">
        <v>143</v>
      </c>
      <c r="L50" s="133" t="s">
        <v>111</v>
      </c>
      <c r="M50" s="133" t="s">
        <v>146</v>
      </c>
      <c r="N50" s="225"/>
    </row>
    <row r="51" spans="2:14" ht="16" x14ac:dyDescent="0.2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176</v>
      </c>
      <c r="C53" s="156" t="s">
        <v>177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176</v>
      </c>
      <c r="C59" s="156" t="s">
        <v>178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175</v>
      </c>
      <c r="C67" s="136"/>
      <c r="D67" s="137"/>
    </row>
    <row r="68" spans="2:14" ht="17" x14ac:dyDescent="0.2">
      <c r="B68" s="215" t="s">
        <v>41</v>
      </c>
      <c r="C68" s="215" t="s">
        <v>42</v>
      </c>
      <c r="D68" s="134" t="s">
        <v>139</v>
      </c>
    </row>
    <row r="69" spans="2:14" ht="17" x14ac:dyDescent="0.2">
      <c r="B69" s="215"/>
      <c r="C69" s="215"/>
      <c r="D69" s="71" t="s">
        <v>172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176</v>
      </c>
      <c r="C72" s="56" t="s">
        <v>177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176</v>
      </c>
      <c r="C78" s="56" t="s">
        <v>178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6" t="s">
        <v>145</v>
      </c>
      <c r="C87" s="217"/>
      <c r="D87" s="217"/>
      <c r="E87" s="217"/>
      <c r="F87" s="218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164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NETWORKDAYS.INTL(TODAY(),EOMONTH(TODAY(),5),11)</f>
        <v>154</v>
      </c>
      <c r="D3" s="79" t="s">
        <v>104</v>
      </c>
      <c r="E3" s="80">
        <f ca="1">DAY(EOMONTH(TODAY(),5))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38" t="s">
        <v>165</v>
      </c>
      <c r="C41" s="239"/>
      <c r="D41" s="240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13" t="s">
        <v>146</v>
      </c>
      <c r="C46" s="21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10" t="s">
        <v>147</v>
      </c>
      <c r="C48" s="211"/>
      <c r="D48" s="211"/>
      <c r="E48" s="211"/>
      <c r="F48" s="211"/>
      <c r="G48" s="211"/>
      <c r="H48" s="211"/>
      <c r="I48" s="211"/>
      <c r="J48" s="212"/>
      <c r="K48" s="219"/>
      <c r="L48" s="220"/>
      <c r="M48" s="220"/>
      <c r="N48" s="221"/>
    </row>
    <row r="49" spans="2:14" ht="17" x14ac:dyDescent="0.2">
      <c r="B49" s="215" t="s">
        <v>41</v>
      </c>
      <c r="C49" s="215" t="s">
        <v>42</v>
      </c>
      <c r="D49" s="222" t="s">
        <v>138</v>
      </c>
      <c r="E49" s="223"/>
      <c r="F49" s="224"/>
      <c r="G49" s="120" t="s">
        <v>139</v>
      </c>
      <c r="H49" s="120"/>
      <c r="I49" s="120"/>
      <c r="J49" s="215" t="s">
        <v>140</v>
      </c>
      <c r="K49" s="132" t="s">
        <v>148</v>
      </c>
      <c r="L49" s="132"/>
      <c r="M49" s="132"/>
      <c r="N49" s="225" t="s">
        <v>149</v>
      </c>
    </row>
    <row r="50" spans="2:14" ht="51" x14ac:dyDescent="0.2">
      <c r="B50" s="215"/>
      <c r="C50" s="21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5"/>
      <c r="K50" s="133" t="s">
        <v>143</v>
      </c>
      <c r="L50" s="133" t="s">
        <v>111</v>
      </c>
      <c r="M50" s="133" t="s">
        <v>146</v>
      </c>
      <c r="N50" s="225"/>
    </row>
    <row r="51" spans="2:14" ht="16" x14ac:dyDescent="0.2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176</v>
      </c>
      <c r="C53" s="156" t="s">
        <v>177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176</v>
      </c>
      <c r="C59" s="156" t="s">
        <v>178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175</v>
      </c>
      <c r="C67" s="136"/>
      <c r="D67" s="137"/>
    </row>
    <row r="68" spans="2:14" ht="17" x14ac:dyDescent="0.2">
      <c r="B68" s="215" t="s">
        <v>41</v>
      </c>
      <c r="C68" s="215" t="s">
        <v>42</v>
      </c>
      <c r="D68" s="134" t="s">
        <v>139</v>
      </c>
    </row>
    <row r="69" spans="2:14" ht="17" x14ac:dyDescent="0.2">
      <c r="B69" s="215"/>
      <c r="C69" s="215"/>
      <c r="D69" s="71" t="s">
        <v>172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176</v>
      </c>
      <c r="C72" s="56" t="s">
        <v>177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176</v>
      </c>
      <c r="C78" s="56" t="s">
        <v>178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6" t="s">
        <v>145</v>
      </c>
      <c r="C87" s="217"/>
      <c r="D87" s="217"/>
      <c r="E87" s="217"/>
      <c r="F87" s="218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NETWORKDAYS.INTL(TODAY(),EOMONTH(TODAY(),6),11)</f>
        <v>179</v>
      </c>
      <c r="D3" s="79" t="s">
        <v>104</v>
      </c>
      <c r="E3" s="80">
        <f ca="1">DAY(EOMONTH(TODAY(),6))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38" t="s">
        <v>167</v>
      </c>
      <c r="C41" s="239"/>
      <c r="D41" s="240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13" t="s">
        <v>146</v>
      </c>
      <c r="C46" s="21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10" t="s">
        <v>147</v>
      </c>
      <c r="C48" s="211"/>
      <c r="D48" s="211"/>
      <c r="E48" s="211"/>
      <c r="F48" s="211"/>
      <c r="G48" s="211"/>
      <c r="H48" s="211"/>
      <c r="I48" s="211"/>
      <c r="J48" s="212"/>
      <c r="K48" s="219"/>
      <c r="L48" s="220"/>
      <c r="M48" s="220"/>
      <c r="N48" s="221"/>
    </row>
    <row r="49" spans="2:14" ht="17" x14ac:dyDescent="0.2">
      <c r="B49" s="215" t="s">
        <v>41</v>
      </c>
      <c r="C49" s="215" t="s">
        <v>42</v>
      </c>
      <c r="D49" s="222" t="s">
        <v>138</v>
      </c>
      <c r="E49" s="223"/>
      <c r="F49" s="224"/>
      <c r="G49" s="120" t="s">
        <v>139</v>
      </c>
      <c r="H49" s="120"/>
      <c r="I49" s="120"/>
      <c r="J49" s="215" t="s">
        <v>140</v>
      </c>
      <c r="K49" s="132" t="s">
        <v>148</v>
      </c>
      <c r="L49" s="132"/>
      <c r="M49" s="132"/>
      <c r="N49" s="225" t="s">
        <v>149</v>
      </c>
    </row>
    <row r="50" spans="2:14" ht="51" x14ac:dyDescent="0.2">
      <c r="B50" s="215"/>
      <c r="C50" s="21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5"/>
      <c r="K50" s="133" t="s">
        <v>143</v>
      </c>
      <c r="L50" s="133" t="s">
        <v>111</v>
      </c>
      <c r="M50" s="133" t="s">
        <v>146</v>
      </c>
      <c r="N50" s="225"/>
    </row>
    <row r="51" spans="2:14" ht="16" x14ac:dyDescent="0.2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176</v>
      </c>
      <c r="C53" s="156" t="s">
        <v>177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176</v>
      </c>
      <c r="C59" s="156" t="s">
        <v>178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175</v>
      </c>
      <c r="C67" s="136"/>
      <c r="D67" s="137"/>
    </row>
    <row r="68" spans="2:14" ht="17" x14ac:dyDescent="0.2">
      <c r="B68" s="215" t="s">
        <v>41</v>
      </c>
      <c r="C68" s="215" t="s">
        <v>42</v>
      </c>
      <c r="D68" s="134" t="s">
        <v>139</v>
      </c>
    </row>
    <row r="69" spans="2:14" ht="17" x14ac:dyDescent="0.2">
      <c r="B69" s="215"/>
      <c r="C69" s="215"/>
      <c r="D69" s="71" t="s">
        <v>172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176</v>
      </c>
      <c r="C72" s="56" t="s">
        <v>177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176</v>
      </c>
      <c r="C78" s="56" t="s">
        <v>178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6" t="s">
        <v>145</v>
      </c>
      <c r="C87" s="217"/>
      <c r="D87" s="217"/>
      <c r="E87" s="217"/>
      <c r="F87" s="218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NETWORKDAYS.INTL(TODAY(),EOMONTH(TODAY(),7),11)</f>
        <v>206</v>
      </c>
      <c r="D3" s="79" t="s">
        <v>104</v>
      </c>
      <c r="E3" s="80">
        <f ca="1">DAY(EOMONTH(TODAY(),7))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38" t="s">
        <v>180</v>
      </c>
      <c r="C41" s="239"/>
      <c r="D41" s="240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13" t="s">
        <v>146</v>
      </c>
      <c r="C46" s="21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10" t="s">
        <v>147</v>
      </c>
      <c r="C48" s="211"/>
      <c r="D48" s="211"/>
      <c r="E48" s="211"/>
      <c r="F48" s="211"/>
      <c r="G48" s="211"/>
      <c r="H48" s="211"/>
      <c r="I48" s="211"/>
      <c r="J48" s="212"/>
      <c r="K48" s="219"/>
      <c r="L48" s="220"/>
      <c r="M48" s="220"/>
      <c r="N48" s="221"/>
    </row>
    <row r="49" spans="2:14" ht="17" x14ac:dyDescent="0.2">
      <c r="B49" s="215" t="s">
        <v>41</v>
      </c>
      <c r="C49" s="215" t="s">
        <v>42</v>
      </c>
      <c r="D49" s="222" t="s">
        <v>138</v>
      </c>
      <c r="E49" s="223"/>
      <c r="F49" s="224"/>
      <c r="G49" s="120" t="s">
        <v>139</v>
      </c>
      <c r="H49" s="120"/>
      <c r="I49" s="120"/>
      <c r="J49" s="215" t="s">
        <v>140</v>
      </c>
      <c r="K49" s="132" t="s">
        <v>148</v>
      </c>
      <c r="L49" s="132"/>
      <c r="M49" s="132"/>
      <c r="N49" s="225" t="s">
        <v>149</v>
      </c>
    </row>
    <row r="50" spans="2:14" ht="51" x14ac:dyDescent="0.2">
      <c r="B50" s="215"/>
      <c r="C50" s="21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5"/>
      <c r="K50" s="133" t="s">
        <v>143</v>
      </c>
      <c r="L50" s="133" t="s">
        <v>111</v>
      </c>
      <c r="M50" s="133" t="s">
        <v>146</v>
      </c>
      <c r="N50" s="225"/>
    </row>
    <row r="51" spans="2:14" ht="16" x14ac:dyDescent="0.2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176</v>
      </c>
      <c r="C53" s="156" t="s">
        <v>177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176</v>
      </c>
      <c r="C59" s="156" t="s">
        <v>178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175</v>
      </c>
      <c r="C67" s="136"/>
      <c r="D67" s="137"/>
    </row>
    <row r="68" spans="2:14" ht="17" x14ac:dyDescent="0.2">
      <c r="B68" s="215" t="s">
        <v>41</v>
      </c>
      <c r="C68" s="215" t="s">
        <v>42</v>
      </c>
      <c r="D68" s="134" t="s">
        <v>139</v>
      </c>
    </row>
    <row r="69" spans="2:14" ht="17" x14ac:dyDescent="0.2">
      <c r="B69" s="215"/>
      <c r="C69" s="215"/>
      <c r="D69" s="71" t="s">
        <v>172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176</v>
      </c>
      <c r="C72" s="56" t="s">
        <v>177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176</v>
      </c>
      <c r="C78" s="56" t="s">
        <v>178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6" t="s">
        <v>145</v>
      </c>
      <c r="C87" s="217"/>
      <c r="D87" s="217"/>
      <c r="E87" s="217"/>
      <c r="F87" s="218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181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NETWORKDAYS.INTL(TODAY(),EOMONTH(TODAY(),8),11)</f>
        <v>232</v>
      </c>
      <c r="D3" s="79" t="s">
        <v>104</v>
      </c>
      <c r="E3" s="80">
        <f ca="1">DAY(EOMONTH(TODAY(),8))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38" t="s">
        <v>182</v>
      </c>
      <c r="C41" s="239"/>
      <c r="D41" s="240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13" t="s">
        <v>146</v>
      </c>
      <c r="C46" s="21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10" t="s">
        <v>147</v>
      </c>
      <c r="C48" s="211"/>
      <c r="D48" s="211"/>
      <c r="E48" s="211"/>
      <c r="F48" s="211"/>
      <c r="G48" s="211"/>
      <c r="H48" s="211"/>
      <c r="I48" s="211"/>
      <c r="J48" s="212"/>
      <c r="K48" s="219"/>
      <c r="L48" s="220"/>
      <c r="M48" s="220"/>
      <c r="N48" s="221"/>
    </row>
    <row r="49" spans="2:14" ht="17" x14ac:dyDescent="0.2">
      <c r="B49" s="215" t="s">
        <v>41</v>
      </c>
      <c r="C49" s="215" t="s">
        <v>42</v>
      </c>
      <c r="D49" s="222" t="s">
        <v>138</v>
      </c>
      <c r="E49" s="223"/>
      <c r="F49" s="224"/>
      <c r="G49" s="120" t="s">
        <v>139</v>
      </c>
      <c r="H49" s="120"/>
      <c r="I49" s="120"/>
      <c r="J49" s="215" t="s">
        <v>140</v>
      </c>
      <c r="K49" s="132" t="s">
        <v>148</v>
      </c>
      <c r="L49" s="132"/>
      <c r="M49" s="132"/>
      <c r="N49" s="225" t="s">
        <v>149</v>
      </c>
    </row>
    <row r="50" spans="2:14" ht="51" x14ac:dyDescent="0.2">
      <c r="B50" s="215"/>
      <c r="C50" s="21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15"/>
      <c r="K50" s="133" t="s">
        <v>143</v>
      </c>
      <c r="L50" s="133" t="s">
        <v>111</v>
      </c>
      <c r="M50" s="133" t="s">
        <v>146</v>
      </c>
      <c r="N50" s="225"/>
    </row>
    <row r="51" spans="2:14" ht="16" x14ac:dyDescent="0.2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176</v>
      </c>
      <c r="C53" s="156" t="s">
        <v>177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176</v>
      </c>
      <c r="C59" s="156" t="s">
        <v>178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175</v>
      </c>
      <c r="C67" s="136"/>
      <c r="D67" s="137"/>
    </row>
    <row r="68" spans="2:14" ht="17" x14ac:dyDescent="0.2">
      <c r="B68" s="215" t="s">
        <v>41</v>
      </c>
      <c r="C68" s="215" t="s">
        <v>42</v>
      </c>
      <c r="D68" s="134" t="s">
        <v>139</v>
      </c>
    </row>
    <row r="69" spans="2:14" ht="17" x14ac:dyDescent="0.2">
      <c r="B69" s="215"/>
      <c r="C69" s="215"/>
      <c r="D69" s="71" t="s">
        <v>172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176</v>
      </c>
      <c r="C72" s="56" t="s">
        <v>177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176</v>
      </c>
      <c r="C78" s="56" t="s">
        <v>178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16" t="s">
        <v>145</v>
      </c>
      <c r="C87" s="217"/>
      <c r="D87" s="217"/>
      <c r="E87" s="217"/>
      <c r="F87" s="218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Randy Thurion</cp:lastModifiedBy>
  <cp:revision>0</cp:revision>
  <dcterms:created xsi:type="dcterms:W3CDTF">2026-03-24T08:59:20Z</dcterms:created>
  <dcterms:modified xsi:type="dcterms:W3CDTF">2026-05-06T01:19:02Z</dcterms:modified>
  <dc:language>en-US</dc:language>
</cp:coreProperties>
</file>