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455" tabRatio="500" activeTab="5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6" i="6" l="1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H92" i="11" s="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H93" i="10" s="1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H92" i="8" s="1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84" i="14" s="1"/>
  <c r="D73" i="14"/>
  <c r="D72" i="14"/>
  <c r="D71" i="14"/>
  <c r="D70" i="14"/>
  <c r="E65" i="14"/>
  <c r="D65" i="14"/>
  <c r="H64" i="14"/>
  <c r="L64" i="14" s="1"/>
  <c r="F64" i="14"/>
  <c r="H63" i="14"/>
  <c r="L63" i="14" s="1"/>
  <c r="G63" i="14"/>
  <c r="K63" i="14" s="1"/>
  <c r="F63" i="14"/>
  <c r="H62" i="14"/>
  <c r="L62" i="14" s="1"/>
  <c r="F62" i="14"/>
  <c r="F61" i="14"/>
  <c r="H60" i="14"/>
  <c r="L60" i="14" s="1"/>
  <c r="F60" i="14"/>
  <c r="L59" i="14"/>
  <c r="K59" i="14"/>
  <c r="I59" i="14"/>
  <c r="M59" i="14" s="1"/>
  <c r="N59" i="14" s="1"/>
  <c r="H59" i="14"/>
  <c r="G59" i="14"/>
  <c r="F59" i="14"/>
  <c r="L58" i="14"/>
  <c r="H58" i="14"/>
  <c r="F58" i="14"/>
  <c r="F57" i="14"/>
  <c r="F56" i="14"/>
  <c r="H55" i="14"/>
  <c r="L55" i="14" s="1"/>
  <c r="G55" i="14"/>
  <c r="K55" i="14" s="1"/>
  <c r="F55" i="14"/>
  <c r="H54" i="14"/>
  <c r="L54" i="14" s="1"/>
  <c r="F54" i="14"/>
  <c r="L53" i="14"/>
  <c r="I53" i="14"/>
  <c r="M53" i="14" s="1"/>
  <c r="H53" i="14"/>
  <c r="G53" i="14"/>
  <c r="K53" i="14" s="1"/>
  <c r="F53" i="14"/>
  <c r="H52" i="14"/>
  <c r="L52" i="14" s="1"/>
  <c r="F52" i="14"/>
  <c r="F51" i="14"/>
  <c r="F65" i="14" s="1"/>
  <c r="D46" i="14"/>
  <c r="M20" i="14"/>
  <c r="M21" i="14" s="1"/>
  <c r="N19" i="14"/>
  <c r="M19" i="14"/>
  <c r="G64" i="14" s="1"/>
  <c r="N18" i="14"/>
  <c r="M18" i="14"/>
  <c r="N17" i="14"/>
  <c r="M17" i="14"/>
  <c r="G62" i="14" s="1"/>
  <c r="N16" i="14"/>
  <c r="H61" i="14" s="1"/>
  <c r="L61" i="14" s="1"/>
  <c r="M16" i="14"/>
  <c r="G61" i="14" s="1"/>
  <c r="N15" i="14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H93" i="13"/>
  <c r="G93" i="13"/>
  <c r="F93" i="13"/>
  <c r="E93" i="13"/>
  <c r="E92" i="13"/>
  <c r="E90" i="13"/>
  <c r="H89" i="13"/>
  <c r="G89" i="13"/>
  <c r="F89" i="13"/>
  <c r="E89" i="13"/>
  <c r="D83" i="13"/>
  <c r="D82" i="13"/>
  <c r="D81" i="13"/>
  <c r="D80" i="13"/>
  <c r="D79" i="13"/>
  <c r="D78" i="13"/>
  <c r="D77" i="13"/>
  <c r="D76" i="13"/>
  <c r="D84" i="13" s="1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L62" i="13"/>
  <c r="H62" i="13"/>
  <c r="F62" i="13"/>
  <c r="H61" i="13"/>
  <c r="L61" i="13" s="1"/>
  <c r="G61" i="13"/>
  <c r="I61" i="13" s="1"/>
  <c r="F61" i="13"/>
  <c r="L60" i="13"/>
  <c r="I60" i="13"/>
  <c r="J60" i="13" s="1"/>
  <c r="H60" i="13"/>
  <c r="F60" i="13"/>
  <c r="H59" i="13"/>
  <c r="L59" i="13" s="1"/>
  <c r="G59" i="13"/>
  <c r="F59" i="13"/>
  <c r="H58" i="13"/>
  <c r="L58" i="13" s="1"/>
  <c r="F58" i="13"/>
  <c r="F57" i="13"/>
  <c r="H56" i="13"/>
  <c r="L56" i="13" s="1"/>
  <c r="F56" i="13"/>
  <c r="F55" i="13"/>
  <c r="L54" i="13"/>
  <c r="H54" i="13"/>
  <c r="G54" i="13"/>
  <c r="F54" i="13"/>
  <c r="H53" i="13"/>
  <c r="L53" i="13" s="1"/>
  <c r="G53" i="13"/>
  <c r="F53" i="13"/>
  <c r="L52" i="13"/>
  <c r="H52" i="13"/>
  <c r="F52" i="13"/>
  <c r="I51" i="13"/>
  <c r="G51" i="13"/>
  <c r="F51" i="13"/>
  <c r="F65" i="13" s="1"/>
  <c r="D46" i="13"/>
  <c r="E45" i="13"/>
  <c r="E44" i="13"/>
  <c r="G44" i="13" s="1"/>
  <c r="M20" i="13"/>
  <c r="M21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N15" i="13"/>
  <c r="M15" i="13"/>
  <c r="G60" i="13" s="1"/>
  <c r="K60" i="13" s="1"/>
  <c r="N14" i="13"/>
  <c r="M14" i="13"/>
  <c r="G58" i="13" s="1"/>
  <c r="N13" i="13"/>
  <c r="H57" i="13" s="1"/>
  <c r="L57" i="13" s="1"/>
  <c r="M13" i="13"/>
  <c r="G57" i="13" s="1"/>
  <c r="N12" i="13"/>
  <c r="M12" i="13"/>
  <c r="G56" i="13" s="1"/>
  <c r="N11" i="13"/>
  <c r="H55" i="13" s="1"/>
  <c r="L55" i="13" s="1"/>
  <c r="M11" i="13"/>
  <c r="G55" i="13" s="1"/>
  <c r="K55" i="13" s="1"/>
  <c r="N10" i="13"/>
  <c r="M10" i="13"/>
  <c r="N9" i="13"/>
  <c r="M9" i="13"/>
  <c r="G52" i="13" s="1"/>
  <c r="N8" i="13"/>
  <c r="H51" i="13" s="1"/>
  <c r="M8" i="13"/>
  <c r="N7" i="13"/>
  <c r="M7" i="13"/>
  <c r="D94" i="12"/>
  <c r="G93" i="12"/>
  <c r="F93" i="12"/>
  <c r="E93" i="12"/>
  <c r="F92" i="12"/>
  <c r="E92" i="12"/>
  <c r="G92" i="12" s="1"/>
  <c r="H90" i="12"/>
  <c r="F90" i="12"/>
  <c r="E90" i="12"/>
  <c r="G90" i="12" s="1"/>
  <c r="G89" i="12"/>
  <c r="F89" i="12"/>
  <c r="E89" i="12"/>
  <c r="D83" i="12"/>
  <c r="D82" i="12"/>
  <c r="D81" i="12"/>
  <c r="D80" i="12"/>
  <c r="D79" i="12"/>
  <c r="D78" i="12"/>
  <c r="D77" i="12"/>
  <c r="D76" i="12"/>
  <c r="D75" i="12"/>
  <c r="D74" i="12"/>
  <c r="D84" i="12" s="1"/>
  <c r="D73" i="12"/>
  <c r="D72" i="12"/>
  <c r="D71" i="12"/>
  <c r="D70" i="12"/>
  <c r="E65" i="12"/>
  <c r="D65" i="12"/>
  <c r="K64" i="12"/>
  <c r="H64" i="12"/>
  <c r="L64" i="12" s="1"/>
  <c r="F64" i="12"/>
  <c r="L63" i="12"/>
  <c r="F63" i="12"/>
  <c r="L62" i="12"/>
  <c r="H62" i="12"/>
  <c r="F62" i="12"/>
  <c r="F61" i="12"/>
  <c r="L60" i="12"/>
  <c r="H60" i="12"/>
  <c r="G60" i="12"/>
  <c r="F60" i="12"/>
  <c r="H59" i="12"/>
  <c r="L59" i="12" s="1"/>
  <c r="G59" i="12"/>
  <c r="I59" i="12" s="1"/>
  <c r="J59" i="12" s="1"/>
  <c r="F59" i="12"/>
  <c r="H58" i="12"/>
  <c r="F58" i="12"/>
  <c r="F57" i="12"/>
  <c r="K56" i="12"/>
  <c r="H56" i="12"/>
  <c r="L56" i="12" s="1"/>
  <c r="F56" i="12"/>
  <c r="G55" i="12"/>
  <c r="K55" i="12" s="1"/>
  <c r="F55" i="12"/>
  <c r="L54" i="12"/>
  <c r="H54" i="12"/>
  <c r="F54" i="12"/>
  <c r="K53" i="12"/>
  <c r="I53" i="12"/>
  <c r="H53" i="12"/>
  <c r="L53" i="12" s="1"/>
  <c r="G53" i="12"/>
  <c r="F53" i="12"/>
  <c r="L52" i="12"/>
  <c r="H52" i="12"/>
  <c r="F52" i="12"/>
  <c r="H51" i="12"/>
  <c r="L51" i="12" s="1"/>
  <c r="F51" i="12"/>
  <c r="D46" i="12"/>
  <c r="G44" i="12"/>
  <c r="H44" i="12" s="1"/>
  <c r="M20" i="12"/>
  <c r="M21" i="12" s="1"/>
  <c r="N19" i="12"/>
  <c r="M19" i="12"/>
  <c r="G64" i="12" s="1"/>
  <c r="N18" i="12"/>
  <c r="H63" i="12" s="1"/>
  <c r="M18" i="12"/>
  <c r="G63" i="12" s="1"/>
  <c r="N17" i="12"/>
  <c r="M17" i="12"/>
  <c r="G62" i="12" s="1"/>
  <c r="N16" i="12"/>
  <c r="H61" i="12" s="1"/>
  <c r="L61" i="12" s="1"/>
  <c r="M16" i="12"/>
  <c r="G61" i="12" s="1"/>
  <c r="K61" i="12" s="1"/>
  <c r="N15" i="12"/>
  <c r="M15" i="12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N11" i="12"/>
  <c r="H55" i="12" s="1"/>
  <c r="L55" i="12" s="1"/>
  <c r="M11" i="12"/>
  <c r="N10" i="12"/>
  <c r="E44" i="12" s="1"/>
  <c r="F44" i="12" s="1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G92" i="11"/>
  <c r="F92" i="11"/>
  <c r="E92" i="11"/>
  <c r="G90" i="11"/>
  <c r="F90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84" i="11" s="1"/>
  <c r="D73" i="11"/>
  <c r="D72" i="11"/>
  <c r="D71" i="11"/>
  <c r="D70" i="11"/>
  <c r="E65" i="11"/>
  <c r="D65" i="11"/>
  <c r="L64" i="11"/>
  <c r="H64" i="11"/>
  <c r="F64" i="11"/>
  <c r="L63" i="11"/>
  <c r="I63" i="11"/>
  <c r="F63" i="11"/>
  <c r="F62" i="11"/>
  <c r="F61" i="11"/>
  <c r="H60" i="11"/>
  <c r="L60" i="11" s="1"/>
  <c r="G60" i="11"/>
  <c r="F60" i="11"/>
  <c r="K59" i="11"/>
  <c r="I59" i="11"/>
  <c r="J59" i="11" s="1"/>
  <c r="H59" i="11"/>
  <c r="L59" i="11" s="1"/>
  <c r="G59" i="11"/>
  <c r="F59" i="11"/>
  <c r="L58" i="11"/>
  <c r="I58" i="11"/>
  <c r="G58" i="11"/>
  <c r="K58" i="11" s="1"/>
  <c r="F58" i="11"/>
  <c r="M58" i="11" s="1"/>
  <c r="F57" i="11"/>
  <c r="F56" i="11"/>
  <c r="M55" i="11"/>
  <c r="N55" i="11" s="1"/>
  <c r="L55" i="11"/>
  <c r="K55" i="11"/>
  <c r="H55" i="11"/>
  <c r="G55" i="11"/>
  <c r="I55" i="11" s="1"/>
  <c r="J55" i="11" s="1"/>
  <c r="F55" i="11"/>
  <c r="L54" i="11"/>
  <c r="H54" i="11"/>
  <c r="F54" i="11"/>
  <c r="L53" i="11"/>
  <c r="H53" i="11"/>
  <c r="G53" i="11"/>
  <c r="F53" i="11"/>
  <c r="F52" i="11"/>
  <c r="G51" i="11"/>
  <c r="F51" i="11"/>
  <c r="D46" i="11"/>
  <c r="M21" i="11"/>
  <c r="M20" i="11"/>
  <c r="N19" i="11"/>
  <c r="M19" i="11"/>
  <c r="G64" i="11" s="1"/>
  <c r="I64" i="11" s="1"/>
  <c r="J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M15" i="1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M11" i="1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N7" i="11"/>
  <c r="M7" i="11"/>
  <c r="D94" i="10"/>
  <c r="F93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G64" i="10"/>
  <c r="K64" i="10" s="1"/>
  <c r="F64" i="10"/>
  <c r="F63" i="10"/>
  <c r="H62" i="10"/>
  <c r="L62" i="10" s="1"/>
  <c r="G62" i="10"/>
  <c r="K62" i="10" s="1"/>
  <c r="F62" i="10"/>
  <c r="H61" i="10"/>
  <c r="L61" i="10" s="1"/>
  <c r="F61" i="10"/>
  <c r="K60" i="10"/>
  <c r="J60" i="10"/>
  <c r="I60" i="10"/>
  <c r="H60" i="10"/>
  <c r="L60" i="10" s="1"/>
  <c r="F60" i="10"/>
  <c r="H59" i="10"/>
  <c r="L59" i="10" s="1"/>
  <c r="G59" i="10"/>
  <c r="F59" i="10"/>
  <c r="F58" i="10"/>
  <c r="F57" i="10"/>
  <c r="M56" i="10"/>
  <c r="L56" i="10"/>
  <c r="K56" i="10"/>
  <c r="J56" i="10"/>
  <c r="F56" i="10"/>
  <c r="L55" i="10"/>
  <c r="G55" i="10"/>
  <c r="I55" i="10" s="1"/>
  <c r="J55" i="10" s="1"/>
  <c r="F55" i="10"/>
  <c r="F54" i="10"/>
  <c r="M53" i="10"/>
  <c r="I53" i="10"/>
  <c r="J53" i="10" s="1"/>
  <c r="H53" i="10"/>
  <c r="L53" i="10" s="1"/>
  <c r="G53" i="10"/>
  <c r="K53" i="10" s="1"/>
  <c r="F53" i="10"/>
  <c r="H52" i="10"/>
  <c r="L52" i="10" s="1"/>
  <c r="G52" i="10"/>
  <c r="K52" i="10" s="1"/>
  <c r="F52" i="10"/>
  <c r="F65" i="10" s="1"/>
  <c r="H51" i="10"/>
  <c r="G51" i="10"/>
  <c r="F51" i="10"/>
  <c r="D46" i="10"/>
  <c r="G45" i="10"/>
  <c r="E44" i="10"/>
  <c r="G44" i="10" s="1"/>
  <c r="M20" i="10"/>
  <c r="M21" i="10" s="1"/>
  <c r="E45" i="10" s="1"/>
  <c r="F45" i="10" s="1"/>
  <c r="N19" i="10"/>
  <c r="M19" i="10"/>
  <c r="N18" i="10"/>
  <c r="H63" i="10" s="1"/>
  <c r="L63" i="10" s="1"/>
  <c r="M18" i="10"/>
  <c r="G63" i="10" s="1"/>
  <c r="N17" i="10"/>
  <c r="M17" i="10"/>
  <c r="N16" i="10"/>
  <c r="M16" i="10"/>
  <c r="G61" i="10" s="1"/>
  <c r="N15" i="10"/>
  <c r="M15" i="10"/>
  <c r="G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I56" i="10" s="1"/>
  <c r="N11" i="10"/>
  <c r="H55" i="10" s="1"/>
  <c r="M11" i="10"/>
  <c r="N10" i="10"/>
  <c r="H54" i="10" s="1"/>
  <c r="L54" i="10" s="1"/>
  <c r="M10" i="10"/>
  <c r="G54" i="10" s="1"/>
  <c r="N9" i="10"/>
  <c r="M9" i="10"/>
  <c r="N8" i="10"/>
  <c r="M8" i="10"/>
  <c r="N7" i="10"/>
  <c r="M7" i="10"/>
  <c r="D94" i="9"/>
  <c r="F93" i="9"/>
  <c r="E93" i="9"/>
  <c r="G93" i="9" s="1"/>
  <c r="H93" i="9" s="1"/>
  <c r="E92" i="9"/>
  <c r="G92" i="9" s="1"/>
  <c r="H90" i="9"/>
  <c r="E90" i="9"/>
  <c r="G90" i="9" s="1"/>
  <c r="E89" i="9"/>
  <c r="E94" i="9" s="1"/>
  <c r="F94" i="9" s="1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L64" i="9"/>
  <c r="K64" i="9"/>
  <c r="H64" i="9"/>
  <c r="F64" i="9"/>
  <c r="M63" i="9"/>
  <c r="L63" i="9"/>
  <c r="K63" i="9"/>
  <c r="F63" i="9"/>
  <c r="F62" i="9"/>
  <c r="G61" i="9"/>
  <c r="F61" i="9"/>
  <c r="H60" i="9"/>
  <c r="L60" i="9" s="1"/>
  <c r="F60" i="9"/>
  <c r="I59" i="9"/>
  <c r="J59" i="9" s="1"/>
  <c r="H59" i="9"/>
  <c r="L59" i="9" s="1"/>
  <c r="G59" i="9"/>
  <c r="K59" i="9" s="1"/>
  <c r="F59" i="9"/>
  <c r="H58" i="9"/>
  <c r="L58" i="9" s="1"/>
  <c r="G58" i="9"/>
  <c r="K58" i="9" s="1"/>
  <c r="F58" i="9"/>
  <c r="F57" i="9"/>
  <c r="L56" i="9"/>
  <c r="H56" i="9"/>
  <c r="F56" i="9"/>
  <c r="L55" i="9"/>
  <c r="K55" i="9"/>
  <c r="F55" i="9"/>
  <c r="L54" i="9"/>
  <c r="K54" i="9"/>
  <c r="J54" i="9"/>
  <c r="F54" i="9"/>
  <c r="L53" i="9"/>
  <c r="H53" i="9"/>
  <c r="G53" i="9"/>
  <c r="F53" i="9"/>
  <c r="F52" i="9"/>
  <c r="M51" i="9"/>
  <c r="I51" i="9"/>
  <c r="J51" i="9" s="1"/>
  <c r="H51" i="9"/>
  <c r="L51" i="9" s="1"/>
  <c r="G51" i="9"/>
  <c r="K51" i="9" s="1"/>
  <c r="F51" i="9"/>
  <c r="D46" i="9"/>
  <c r="G45" i="9"/>
  <c r="F45" i="9"/>
  <c r="E45" i="9"/>
  <c r="M21" i="9"/>
  <c r="M20" i="9"/>
  <c r="N19" i="9"/>
  <c r="M19" i="9"/>
  <c r="G64" i="9" s="1"/>
  <c r="I64" i="9" s="1"/>
  <c r="N18" i="9"/>
  <c r="H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N15" i="9"/>
  <c r="M15" i="9"/>
  <c r="G60" i="9" s="1"/>
  <c r="N14" i="9"/>
  <c r="M14" i="9"/>
  <c r="N13" i="9"/>
  <c r="H57" i="9" s="1"/>
  <c r="L57" i="9" s="1"/>
  <c r="M13" i="9"/>
  <c r="G57" i="9" s="1"/>
  <c r="N12" i="9"/>
  <c r="M12" i="9"/>
  <c r="G56" i="9" s="1"/>
  <c r="I56" i="9" s="1"/>
  <c r="N11" i="9"/>
  <c r="H55" i="9" s="1"/>
  <c r="M11" i="9"/>
  <c r="G55" i="9" s="1"/>
  <c r="I55" i="9" s="1"/>
  <c r="J55" i="9" s="1"/>
  <c r="N10" i="9"/>
  <c r="H54" i="9" s="1"/>
  <c r="M10" i="9"/>
  <c r="G54" i="9" s="1"/>
  <c r="I54" i="9" s="1"/>
  <c r="M54" i="9" s="1"/>
  <c r="N9" i="9"/>
  <c r="M9" i="9"/>
  <c r="G52" i="9" s="1"/>
  <c r="N8" i="9"/>
  <c r="M8" i="9"/>
  <c r="N7" i="9"/>
  <c r="M7" i="9"/>
  <c r="E91" i="9" s="1"/>
  <c r="F91" i="9" s="1"/>
  <c r="D94" i="8"/>
  <c r="F93" i="8"/>
  <c r="E93" i="8"/>
  <c r="G93" i="8" s="1"/>
  <c r="G92" i="8"/>
  <c r="F92" i="8"/>
  <c r="E92" i="8"/>
  <c r="G90" i="8"/>
  <c r="F90" i="8"/>
  <c r="E90" i="8"/>
  <c r="F89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H64" i="8"/>
  <c r="L64" i="8" s="1"/>
  <c r="F64" i="8"/>
  <c r="H63" i="8"/>
  <c r="L63" i="8" s="1"/>
  <c r="G63" i="8"/>
  <c r="K63" i="8" s="1"/>
  <c r="F63" i="8"/>
  <c r="G62" i="8"/>
  <c r="K62" i="8" s="1"/>
  <c r="F62" i="8"/>
  <c r="K61" i="8"/>
  <c r="H61" i="8"/>
  <c r="L61" i="8" s="1"/>
  <c r="F61" i="8"/>
  <c r="F60" i="8"/>
  <c r="K59" i="8"/>
  <c r="H59" i="8"/>
  <c r="L59" i="8" s="1"/>
  <c r="G59" i="8"/>
  <c r="F59" i="8"/>
  <c r="H58" i="8"/>
  <c r="L58" i="8" s="1"/>
  <c r="G58" i="8"/>
  <c r="K58" i="8" s="1"/>
  <c r="F58" i="8"/>
  <c r="K57" i="8"/>
  <c r="F57" i="8"/>
  <c r="L56" i="8"/>
  <c r="K56" i="8"/>
  <c r="H56" i="8"/>
  <c r="F56" i="8"/>
  <c r="F55" i="8"/>
  <c r="L54" i="8"/>
  <c r="F54" i="8"/>
  <c r="L53" i="8"/>
  <c r="H53" i="8"/>
  <c r="G53" i="8"/>
  <c r="F53" i="8"/>
  <c r="H52" i="8"/>
  <c r="L52" i="8" s="1"/>
  <c r="G52" i="8"/>
  <c r="F52" i="8"/>
  <c r="H51" i="8"/>
  <c r="G51" i="8"/>
  <c r="F51" i="8"/>
  <c r="D46" i="8"/>
  <c r="G45" i="8"/>
  <c r="M20" i="8"/>
  <c r="M21" i="8" s="1"/>
  <c r="E45" i="8" s="1"/>
  <c r="F45" i="8" s="1"/>
  <c r="N19" i="8"/>
  <c r="M19" i="8"/>
  <c r="G64" i="8" s="1"/>
  <c r="K64" i="8" s="1"/>
  <c r="N18" i="8"/>
  <c r="M18" i="8"/>
  <c r="N17" i="8"/>
  <c r="H62" i="8" s="1"/>
  <c r="L62" i="8" s="1"/>
  <c r="M17" i="8"/>
  <c r="N16" i="8"/>
  <c r="M16" i="8"/>
  <c r="G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N12" i="8"/>
  <c r="M12" i="8"/>
  <c r="G56" i="8" s="1"/>
  <c r="I56" i="8" s="1"/>
  <c r="J56" i="8" s="1"/>
  <c r="N11" i="8"/>
  <c r="H55" i="8" s="1"/>
  <c r="L55" i="8" s="1"/>
  <c r="M11" i="8"/>
  <c r="G55" i="8" s="1"/>
  <c r="I55" i="8" s="1"/>
  <c r="M55" i="8" s="1"/>
  <c r="N10" i="8"/>
  <c r="H54" i="8" s="1"/>
  <c r="M10" i="8"/>
  <c r="G54" i="8" s="1"/>
  <c r="K54" i="8" s="1"/>
  <c r="N9" i="8"/>
  <c r="E44" i="8" s="1"/>
  <c r="M9" i="8"/>
  <c r="N8" i="8"/>
  <c r="M8" i="8"/>
  <c r="N7" i="8"/>
  <c r="M7" i="8"/>
  <c r="D94" i="7"/>
  <c r="E93" i="7"/>
  <c r="G93" i="7" s="1"/>
  <c r="H93" i="7" s="1"/>
  <c r="G92" i="7"/>
  <c r="F92" i="7"/>
  <c r="E92" i="7"/>
  <c r="G90" i="7"/>
  <c r="H90" i="7" s="1"/>
  <c r="F90" i="7"/>
  <c r="E90" i="7"/>
  <c r="F89" i="7"/>
  <c r="E89" i="7"/>
  <c r="D83" i="7"/>
  <c r="D82" i="7"/>
  <c r="D81" i="7"/>
  <c r="D80" i="7"/>
  <c r="D79" i="7"/>
  <c r="D78" i="7"/>
  <c r="D77" i="7"/>
  <c r="D76" i="7"/>
  <c r="D84" i="7" s="1"/>
  <c r="D75" i="7"/>
  <c r="D74" i="7"/>
  <c r="D73" i="7"/>
  <c r="D72" i="7"/>
  <c r="D71" i="7"/>
  <c r="D70" i="7"/>
  <c r="E65" i="7"/>
  <c r="D65" i="7"/>
  <c r="H64" i="7"/>
  <c r="L64" i="7" s="1"/>
  <c r="G64" i="7"/>
  <c r="K64" i="7" s="1"/>
  <c r="F64" i="7"/>
  <c r="K63" i="7"/>
  <c r="I63" i="7"/>
  <c r="M63" i="7" s="1"/>
  <c r="H63" i="7"/>
  <c r="L63" i="7" s="1"/>
  <c r="F63" i="7"/>
  <c r="L62" i="7"/>
  <c r="I62" i="7"/>
  <c r="J62" i="7" s="1"/>
  <c r="F62" i="7"/>
  <c r="M62" i="7" s="1"/>
  <c r="N62" i="7" s="1"/>
  <c r="F61" i="7"/>
  <c r="L60" i="7"/>
  <c r="K60" i="7"/>
  <c r="F60" i="7"/>
  <c r="L59" i="7"/>
  <c r="H59" i="7"/>
  <c r="G59" i="7"/>
  <c r="F59" i="7"/>
  <c r="H58" i="7"/>
  <c r="L58" i="7" s="1"/>
  <c r="G58" i="7"/>
  <c r="F58" i="7"/>
  <c r="H57" i="7"/>
  <c r="L57" i="7" s="1"/>
  <c r="G57" i="7"/>
  <c r="K57" i="7" s="1"/>
  <c r="F57" i="7"/>
  <c r="G56" i="7"/>
  <c r="K56" i="7" s="1"/>
  <c r="F56" i="7"/>
  <c r="K55" i="7"/>
  <c r="J55" i="7"/>
  <c r="I55" i="7"/>
  <c r="H55" i="7"/>
  <c r="L55" i="7" s="1"/>
  <c r="G55" i="7"/>
  <c r="F55" i="7"/>
  <c r="L54" i="7"/>
  <c r="K54" i="7"/>
  <c r="I54" i="7"/>
  <c r="J54" i="7" s="1"/>
  <c r="H54" i="7"/>
  <c r="F54" i="7"/>
  <c r="M53" i="7"/>
  <c r="N53" i="7" s="1"/>
  <c r="L53" i="7"/>
  <c r="K53" i="7"/>
  <c r="J53" i="7"/>
  <c r="I53" i="7"/>
  <c r="H53" i="7"/>
  <c r="G53" i="7"/>
  <c r="F53" i="7"/>
  <c r="F52" i="7"/>
  <c r="M52" i="7" s="1"/>
  <c r="N52" i="7" s="1"/>
  <c r="G51" i="7"/>
  <c r="G65" i="7" s="1"/>
  <c r="E43" i="7" s="1"/>
  <c r="F51" i="7"/>
  <c r="D46" i="7"/>
  <c r="M21" i="7"/>
  <c r="E45" i="7" s="1"/>
  <c r="M20" i="7"/>
  <c r="N19" i="7"/>
  <c r="M19" i="7"/>
  <c r="N18" i="7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J61" i="7" s="1"/>
  <c r="N15" i="7"/>
  <c r="H60" i="7" s="1"/>
  <c r="M15" i="7"/>
  <c r="G60" i="7" s="1"/>
  <c r="N14" i="7"/>
  <c r="M14" i="7"/>
  <c r="N13" i="7"/>
  <c r="M13" i="7"/>
  <c r="N12" i="7"/>
  <c r="H56" i="7" s="1"/>
  <c r="M12" i="7"/>
  <c r="N11" i="7"/>
  <c r="M11" i="7"/>
  <c r="N10" i="7"/>
  <c r="M10" i="7"/>
  <c r="G54" i="7" s="1"/>
  <c r="N9" i="7"/>
  <c r="H52" i="7" s="1"/>
  <c r="L52" i="7" s="1"/>
  <c r="M9" i="7"/>
  <c r="G52" i="7" s="1"/>
  <c r="I52" i="7" s="1"/>
  <c r="N8" i="7"/>
  <c r="M8" i="7"/>
  <c r="N7" i="7"/>
  <c r="M7" i="7"/>
  <c r="G59" i="6"/>
  <c r="G53" i="6"/>
  <c r="D78" i="6"/>
  <c r="D72" i="6"/>
  <c r="H59" i="6"/>
  <c r="H53" i="6"/>
  <c r="I53" i="6" s="1"/>
  <c r="D59" i="6"/>
  <c r="K59" i="6" s="1"/>
  <c r="D53" i="6"/>
  <c r="D43" i="6"/>
  <c r="D44" i="6"/>
  <c r="D83" i="6"/>
  <c r="D82" i="6"/>
  <c r="D81" i="6"/>
  <c r="D80" i="6"/>
  <c r="D79" i="6"/>
  <c r="D77" i="6"/>
  <c r="D76" i="6"/>
  <c r="D75" i="6"/>
  <c r="D74" i="6"/>
  <c r="D73" i="6"/>
  <c r="D71" i="6"/>
  <c r="D70" i="6"/>
  <c r="E59" i="6"/>
  <c r="L59" i="6" s="1"/>
  <c r="E53" i="6"/>
  <c r="L53" i="6" s="1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N63" i="7" l="1"/>
  <c r="H92" i="7"/>
  <c r="N54" i="9"/>
  <c r="N62" i="9"/>
  <c r="H45" i="9"/>
  <c r="N63" i="9"/>
  <c r="H92" i="9"/>
  <c r="N58" i="11"/>
  <c r="H90" i="11"/>
  <c r="H44" i="13"/>
  <c r="N55" i="8"/>
  <c r="H89" i="8"/>
  <c r="H93" i="8"/>
  <c r="H44" i="10"/>
  <c r="N56" i="10"/>
  <c r="H45" i="8"/>
  <c r="H90" i="8"/>
  <c r="H45" i="10"/>
  <c r="N53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M59" i="7"/>
  <c r="N59" i="7" s="1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N51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M51" i="10"/>
  <c r="G89" i="10"/>
  <c r="F89" i="10"/>
  <c r="I60" i="7"/>
  <c r="M54" i="7"/>
  <c r="N54" i="7" s="1"/>
  <c r="K61" i="7"/>
  <c r="I64" i="7"/>
  <c r="J64" i="7" s="1"/>
  <c r="G89" i="7"/>
  <c r="E94" i="7"/>
  <c r="F94" i="7" s="1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M58" i="9"/>
  <c r="N58" i="9" s="1"/>
  <c r="K57" i="10"/>
  <c r="M62" i="10"/>
  <c r="N62" i="10" s="1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M56" i="12"/>
  <c r="N56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K65" i="9"/>
  <c r="M57" i="11"/>
  <c r="N57" i="11" s="1"/>
  <c r="K59" i="12"/>
  <c r="I61" i="12"/>
  <c r="J61" i="12" s="1"/>
  <c r="M52" i="10"/>
  <c r="N52" i="10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M58" i="13"/>
  <c r="N58" i="13" s="1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D84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M59" i="6" l="1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46" i="10" l="1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K54" i="6" l="1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E46" i="6" l="1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<sst xmlns="http://schemas.openxmlformats.org/spreadsheetml/2006/main" count="1870" uniqueCount="185">
  <si>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</si>
  <si>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</si>
  <si>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</si>
  <si>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</si>
  <si>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</si>
  <si>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</si>
  <si>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</si>
  <si>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</si>
  <si>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</si>
  <si>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</si>
  <si>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</si>
  <si>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</si>
  <si>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</si>
  <si>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</si>
  <si>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</si>
  <si>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</si>
  <si>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</si>
  <si>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</si>
  <si>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</si>
  <si>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</si>
  <si>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</si>
  <si>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</si>
  <si>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</si>
  <si>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</si>
  <si>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</si>
  <si>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</si>
  <si>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</si>
  <si>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</si>
  <si>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</si>
  <si>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</si>
  <si>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</si>
  <si>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</si>
  <si>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</si>
  <si>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</si>
  <si>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</si>
  <si>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</si>
  <si>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</si>
  <si>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</si>
  <si>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</si>
  <si>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</si>
  <si>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</si>
  <si>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</si>
  <si>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</si>
  <si>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</si>
  <si>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</si>
  <si>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</si>
  <si>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</si>
  <si>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</si>
  <si>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</si>
  <si>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</si>
  <si>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</si>
  <si>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</si>
  <si>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</si>
  <si>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</si>
  <si>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</si>
  <si>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</si>
  <si>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</si>
  <si>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</si>
  <si>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</si>
  <si>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</si>
  <si>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</si>
  <si>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</si>
  <si>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</si>
  <si>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</si>
  <si>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</si>
  <si>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</si>
  <si>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</si>
  <si>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</si>
  <si>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</si>
  <si>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</si>
  <si>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</si>
  <si>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</si>
  <si>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</si>
  <si>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</si>
  <si>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</si>
  <si>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</si>
  <si>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</si>
  <si>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</si>
  <si>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</si>
  <si>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</si>
  <si>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</si>
  <si>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</si>
  <si>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</si>
  <si>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</si>
  <si>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</si>
  <si>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</si>
  <si>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</si>
  <si>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</si>
  <si>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</si>
  <si>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</si>
  <si>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</si>
  <si>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</si>
  <si>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</si>
  <si>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</si>
  <si>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</si>
  <si>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</si>
  <si>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</si>
  <si>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</si>
  <si>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</si>
  <si>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</si>
  <si>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</si>
  <si>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</si>
  <si>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</si>
  <si>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</si>
  <si>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</si>
  <si>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</si>
  <si>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</si>
  <si>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</si>
  <si>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</si>
  <si>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</si>
  <si>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</si>
  <si>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</si>
  <si>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</si>
  <si>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</si>
  <si>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</si>
  <si>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</si>
  <si>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</si>
  <si>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</si>
  <si>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</si>
  <si>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</si>
  <si>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</si>
  <si>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</si>
  <si>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</si>
  <si>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</si>
  <si>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</si>
  <si>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</si>
  <si>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</si>
  <si>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</si>
  <si>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</si>
  <si>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</si>
  <si>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</si>
  <si>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</si>
  <si>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</si>
  <si>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</si>
  <si>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</si>
  <si>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</si>
  <si>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</si>
  <si>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</si>
  <si>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</si>
  <si>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</si>
  <si>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</si>
  <si>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</si>
  <si>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</si>
  <si>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</si>
  <si>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</si>
  <si>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</si>
  <si>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</si>
  <si>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</si>
  <si>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</si>
  <si>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</si>
  <si>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</si>
  <si>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</si>
  <si>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</si>
  <si>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</si>
  <si>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</si>
  <si>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</si>
  <si>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</si>
  <si>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</si>
  <si>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</si>
  <si>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</si>
  <si>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</si>
  <si>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</si>
  <si>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</si>
  <si>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</si>
  <si>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</si>
  <si>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</si>
  <si>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</si>
  <si>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</si>
  <si>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</si>
  <si>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</si>
  <si>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</si>
  <si>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</si>
  <si>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</si>
  <si>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</si>
  <si>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</si>
  <si>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</si>
  <si>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</si>
  <si>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</si>
  <si>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</si>
  <si>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</si>
  <si>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</si>
  <si>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</si>
  <si>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</si>
  <si>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</si>
  <si>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27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</si>
</sst>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3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199" t="s">
        <v>0</v>
      </c>
      <c r="C1" s="199"/>
    </row>
    <row r="3" spans="2:3" x14ac:dyDescent="0.25">
      <c r="B3" s="200" t="s">
        <v>1</v>
      </c>
      <c r="C3" s="20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1" t="s">
        <v>14</v>
      </c>
      <c r="C11" s="20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zoomScale="165" zoomScaleNormal="100" workbookViewId="0">
      <selection activeCell="L5" sqref="L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0" t="s">
        <v>28</v>
      </c>
      <c r="C3" s="200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177</v>
      </c>
      <c r="C7" s="146" t="s">
        <v>178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177</v>
      </c>
      <c r="C13" s="146" t="s">
        <v>179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2" t="s">
        <v>102</v>
      </c>
      <c r="C29" s="202"/>
      <c r="D29" s="202"/>
      <c r="E29" s="202"/>
      <c r="F29" s="202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170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14" t="s">
        <v>146</v>
      </c>
      <c r="C44" s="215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16" t="s">
        <v>41</v>
      </c>
      <c r="C47" s="216" t="s">
        <v>42</v>
      </c>
      <c r="D47" s="211" t="s">
        <v>138</v>
      </c>
      <c r="E47" s="212"/>
      <c r="F47" s="213"/>
      <c r="G47" s="70" t="s">
        <v>139</v>
      </c>
      <c r="H47" s="70"/>
      <c r="I47" s="70"/>
      <c r="J47" s="216" t="s">
        <v>140</v>
      </c>
      <c r="K47" s="35" t="s">
        <v>148</v>
      </c>
      <c r="L47" s="35"/>
      <c r="M47" s="35"/>
      <c r="N47" s="210" t="s">
        <v>149</v>
      </c>
    </row>
    <row r="48" spans="2:17" ht="15.75" x14ac:dyDescent="0.25">
      <c r="B48" s="216"/>
      <c r="C48" s="216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6"/>
      <c r="K48" s="34" t="s">
        <v>143</v>
      </c>
      <c r="L48" s="34" t="s">
        <v>111</v>
      </c>
      <c r="M48" s="34" t="s">
        <v>146</v>
      </c>
      <c r="N48" s="210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abSelected="1" topLeftCell="A7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4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G8"/>
      <c r="J8" s="116"/>
      <c r="M8" s="11">
        <f>C24</f>
        <v>259416350.98412701</v>
      </c>
      <c r="N8" s="11">
        <f>D24</f>
        <v>41315217.923969001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453952232.14149296</v>
      </c>
      <c r="N9" s="11">
        <f>D12+D13</f>
        <v>100272716.993726</v>
      </c>
    </row>
    <row r="10" spans="2:14" x14ac:dyDescent="0.25">
      <c r="B10" s="74" t="s">
        <v>113</v>
      </c>
      <c r="C10" s="174">
        <v>258387613.393603</v>
      </c>
      <c r="D10" s="174">
        <v>22056994.284492001</v>
      </c>
      <c r="E10" s="174">
        <v>51908683.359980002</v>
      </c>
      <c r="F10" s="174">
        <v>332353291.03807497</v>
      </c>
      <c r="G10"/>
      <c r="J10" s="116"/>
      <c r="M10" s="11">
        <f>C14</f>
        <v>463195607.91979802</v>
      </c>
      <c r="N10" s="11">
        <f>D14</f>
        <v>20953488.849736001</v>
      </c>
    </row>
    <row r="11" spans="2:14" x14ac:dyDescent="0.25">
      <c r="B11" s="74" t="s">
        <v>114</v>
      </c>
      <c r="C11" s="174">
        <v>257676819.092033</v>
      </c>
      <c r="D11" s="174">
        <v>89431321.466564998</v>
      </c>
      <c r="E11" s="174">
        <v>34053355</v>
      </c>
      <c r="F11" s="174">
        <v>381161495.55859798</v>
      </c>
      <c r="G11"/>
      <c r="J11" s="116"/>
      <c r="M11" s="11">
        <f>C17</f>
        <v>289734229.18999302</v>
      </c>
      <c r="N11" s="11">
        <f>D17</f>
        <v>38549567.509999998</v>
      </c>
    </row>
    <row r="12" spans="2:14" x14ac:dyDescent="0.25">
      <c r="B12" s="74" t="s">
        <v>70</v>
      </c>
      <c r="C12" s="174">
        <v>230388249.16392699</v>
      </c>
      <c r="D12" s="174">
        <v>67470798.623895004</v>
      </c>
      <c r="E12" s="174">
        <v>71143242</v>
      </c>
      <c r="F12" s="174">
        <v>369002289.78782201</v>
      </c>
      <c r="G12"/>
      <c r="J12" s="116"/>
      <c r="M12" s="11">
        <f>C16</f>
        <v>400873434.68683398</v>
      </c>
      <c r="N12" s="11">
        <f>D16</f>
        <v>49880188.247367002</v>
      </c>
    </row>
    <row r="13" spans="2:14" x14ac:dyDescent="0.25">
      <c r="B13" s="74" t="s">
        <v>115</v>
      </c>
      <c r="C13" s="174">
        <v>223563982.977566</v>
      </c>
      <c r="D13" s="174">
        <v>32801918.369831</v>
      </c>
      <c r="E13" s="174">
        <v>7306846.7599999998</v>
      </c>
      <c r="F13" s="174">
        <v>263672748.10739699</v>
      </c>
      <c r="G13"/>
      <c r="J13" s="116"/>
      <c r="M13" s="11">
        <f>C19</f>
        <v>846052742.05182004</v>
      </c>
      <c r="N13" s="11">
        <f>D19</f>
        <v>51156635.799857996</v>
      </c>
    </row>
    <row r="14" spans="2:14" x14ac:dyDescent="0.25">
      <c r="B14" s="74" t="s">
        <v>116</v>
      </c>
      <c r="C14" s="174">
        <v>463195607.91979802</v>
      </c>
      <c r="D14" s="174">
        <v>20953488.849736001</v>
      </c>
      <c r="E14" s="174">
        <v>57386179.549984999</v>
      </c>
      <c r="F14" s="174">
        <v>541535276.31951904</v>
      </c>
      <c r="G14"/>
      <c r="J14" s="116"/>
      <c r="M14" s="11">
        <f>C25</f>
        <v>334556563.810857</v>
      </c>
      <c r="N14" s="11">
        <f>D25</f>
        <v>54790085.349973999</v>
      </c>
    </row>
    <row r="15" spans="2:14" x14ac:dyDescent="0.25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257676819.092033</v>
      </c>
      <c r="N15" s="11">
        <f>D11</f>
        <v>89431321.466564998</v>
      </c>
    </row>
    <row r="16" spans="2:14" x14ac:dyDescent="0.25">
      <c r="B16" s="74" t="s">
        <v>74</v>
      </c>
      <c r="C16" s="174">
        <v>400873434.68683398</v>
      </c>
      <c r="D16" s="174">
        <v>49880188.247367002</v>
      </c>
      <c r="E16" s="174" t="s">
        <v>170</v>
      </c>
      <c r="F16" s="174">
        <v>450753622.934201</v>
      </c>
      <c r="G16"/>
      <c r="J16" s="116"/>
      <c r="M16" s="11">
        <f>C26</f>
        <v>399179134.232728</v>
      </c>
      <c r="N16" s="11">
        <f>D26</f>
        <v>39627430.193971001</v>
      </c>
    </row>
    <row r="17" spans="2:18" x14ac:dyDescent="0.25">
      <c r="B17" s="74" t="s">
        <v>118</v>
      </c>
      <c r="C17" s="174">
        <v>289734229.18999302</v>
      </c>
      <c r="D17" s="174">
        <v>38549567.509999998</v>
      </c>
      <c r="E17" s="174" t="s">
        <v>170</v>
      </c>
      <c r="F17" s="174">
        <v>328283796.69999301</v>
      </c>
      <c r="G17"/>
      <c r="J17" s="116"/>
      <c r="M17" s="11">
        <f>C10</f>
        <v>258387613.393603</v>
      </c>
      <c r="N17" s="11">
        <f>D10</f>
        <v>22056994.284492001</v>
      </c>
    </row>
    <row r="18" spans="2:18" x14ac:dyDescent="0.25">
      <c r="B18" s="74" t="s">
        <v>119</v>
      </c>
      <c r="C18" s="174">
        <v>1247382774.9297941</v>
      </c>
      <c r="D18" s="174">
        <v>8662432.7548970003</v>
      </c>
      <c r="E18" s="174">
        <v>1835135.12</v>
      </c>
      <c r="F18" s="174">
        <v>1257880342.8046911</v>
      </c>
      <c r="G18"/>
      <c r="J18" s="116"/>
      <c r="M18" s="11">
        <f>C27</f>
        <v>573634588.45515394</v>
      </c>
      <c r="N18" s="11">
        <f>D27</f>
        <v>156779562.95306599</v>
      </c>
    </row>
    <row r="19" spans="2:18" x14ac:dyDescent="0.25">
      <c r="B19" s="74" t="s">
        <v>121</v>
      </c>
      <c r="C19" s="174">
        <v>846052742.05182004</v>
      </c>
      <c r="D19" s="174">
        <v>51156635.799857996</v>
      </c>
      <c r="E19" s="174">
        <v>90842339.400000006</v>
      </c>
      <c r="F19" s="174">
        <v>988051717.25167799</v>
      </c>
      <c r="G19"/>
      <c r="J19" s="116"/>
      <c r="M19" s="11">
        <f>C20+C21</f>
        <v>142906117.71240199</v>
      </c>
      <c r="N19" s="11">
        <f>D20+D21</f>
        <v>115588826.743251</v>
      </c>
    </row>
    <row r="20" spans="2:18" x14ac:dyDescent="0.25">
      <c r="B20" s="74" t="s">
        <v>123</v>
      </c>
      <c r="C20" s="174">
        <v>95172652.392401993</v>
      </c>
      <c r="D20" s="174">
        <v>14451727.799813</v>
      </c>
      <c r="E20" s="174" t="s">
        <v>170</v>
      </c>
      <c r="F20" s="174">
        <v>109624380.192215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74">
        <v>47733465.32</v>
      </c>
      <c r="D21" s="174">
        <v>101137098.94343799</v>
      </c>
      <c r="E21" s="174" t="s">
        <v>170</v>
      </c>
      <c r="F21" s="174">
        <v>148870564.26343799</v>
      </c>
      <c r="G21"/>
      <c r="J21" s="116"/>
      <c r="M21" s="14">
        <f>IFERROR(C34,0)+IFERROR(C35,0)+M20</f>
        <v>747738503.38492</v>
      </c>
      <c r="N21" s="10" t="s">
        <v>122</v>
      </c>
    </row>
    <row r="22" spans="2:18" x14ac:dyDescent="0.25">
      <c r="B22" s="74" t="s">
        <v>174</v>
      </c>
      <c r="C22" s="174">
        <v>46775648.200000003</v>
      </c>
      <c r="D22" s="174" t="s">
        <v>170</v>
      </c>
      <c r="E22" s="174">
        <v>8372972.8399999999</v>
      </c>
      <c r="F22" s="174">
        <v>55148621.039999999</v>
      </c>
      <c r="G22"/>
      <c r="J22" s="116"/>
      <c r="Q22" s="14"/>
      <c r="R22" s="10"/>
    </row>
    <row r="23" spans="2:18" x14ac:dyDescent="0.25">
      <c r="B23" s="74" t="s">
        <v>175</v>
      </c>
      <c r="C23" s="174">
        <v>97280513.420000002</v>
      </c>
      <c r="D23" s="174" t="s">
        <v>170</v>
      </c>
      <c r="E23" s="174">
        <v>15680179.92</v>
      </c>
      <c r="F23" s="174">
        <v>112960693.34</v>
      </c>
      <c r="G23"/>
      <c r="J23" s="116"/>
      <c r="Q23" s="14"/>
      <c r="R23" s="10"/>
    </row>
    <row r="24" spans="2:18" x14ac:dyDescent="0.25">
      <c r="B24" s="74" t="s">
        <v>125</v>
      </c>
      <c r="C24" s="174">
        <v>259416350.98412701</v>
      </c>
      <c r="D24" s="174">
        <v>41315217.923969001</v>
      </c>
      <c r="E24" s="174">
        <v>15143387.159992</v>
      </c>
      <c r="F24" s="174">
        <v>315874956.068088</v>
      </c>
      <c r="G24"/>
      <c r="J24" s="116"/>
    </row>
    <row r="25" spans="2:18" x14ac:dyDescent="0.25">
      <c r="B25" s="74" t="s">
        <v>126</v>
      </c>
      <c r="C25" s="174">
        <v>334556563.810857</v>
      </c>
      <c r="D25" s="174">
        <v>54790085.349973999</v>
      </c>
      <c r="E25" s="174">
        <v>19583477.219994999</v>
      </c>
      <c r="F25" s="174">
        <v>408930126.380826</v>
      </c>
      <c r="G25"/>
      <c r="J25" s="116"/>
    </row>
    <row r="26" spans="2:18" x14ac:dyDescent="0.25">
      <c r="B26" s="74" t="s">
        <v>127</v>
      </c>
      <c r="C26" s="174">
        <v>399179134.232728</v>
      </c>
      <c r="D26" s="174">
        <v>39627430.193971001</v>
      </c>
      <c r="E26" s="174">
        <v>64357660.099909998</v>
      </c>
      <c r="F26" s="174">
        <v>503164224.526609</v>
      </c>
      <c r="G26"/>
      <c r="J26" s="116"/>
    </row>
    <row r="27" spans="2:18" x14ac:dyDescent="0.25">
      <c r="B27" s="74" t="s">
        <v>128</v>
      </c>
      <c r="C27" s="174">
        <v>573634588.45515394</v>
      </c>
      <c r="D27" s="174">
        <v>156779562.95306599</v>
      </c>
      <c r="E27" s="174" t="s">
        <v>170</v>
      </c>
      <c r="F27" s="174">
        <v>730414151.40822005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74"/>
    </row>
    <row r="32" spans="2:18" x14ac:dyDescent="0.25">
      <c r="B32" s="84" t="s">
        <v>132</v>
      </c>
      <c r="C32" s="174">
        <v>174072142.48878601</v>
      </c>
    </row>
    <row r="33" spans="2:14" x14ac:dyDescent="0.25">
      <c r="B33" s="84" t="s">
        <v>133</v>
      </c>
      <c r="C33" s="174">
        <v>445809428.55673301</v>
      </c>
    </row>
    <row r="34" spans="2:14" x14ac:dyDescent="0.25">
      <c r="B34" s="84" t="s">
        <v>134</v>
      </c>
      <c r="C34" s="174">
        <v>267412417.39651999</v>
      </c>
    </row>
    <row r="35" spans="2:14" x14ac:dyDescent="0.25">
      <c r="B35" s="84" t="s">
        <v>135</v>
      </c>
      <c r="C35" s="174">
        <v>169035280.78842399</v>
      </c>
    </row>
    <row r="36" spans="2:14" x14ac:dyDescent="0.25">
      <c r="B36" s="84" t="s">
        <v>136</v>
      </c>
      <c r="C36" s="174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17" t="s">
        <v>184</v>
      </c>
      <c r="C41" s="218"/>
      <c r="D41" s="219"/>
      <c r="E41" s="67" t="s">
        <v>138</v>
      </c>
      <c r="F41" s="73">
        <f ca="1">DAY(TODAY())/DAY(EOMONTH(TODAY(),0))</f>
        <v>0.9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4823621595.2908421</v>
      </c>
      <c r="F43" s="44">
        <f>IFERROR(E43/D43,0)</f>
        <v>0.72872307581819584</v>
      </c>
      <c r="G43" s="118">
        <f>D43-E43</f>
        <v>1795657737.7740192</v>
      </c>
      <c r="H43" s="118">
        <f ca="1">IFERROR(G43/C3,0)</f>
        <v>448914434.44350481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780402036.31597483</v>
      </c>
      <c r="F44" s="44">
        <f>IFERROR(E44/D44,0)</f>
        <v>0.61460293157964019</v>
      </c>
      <c r="G44" s="118">
        <f>D44-E44</f>
        <v>489364175.68402517</v>
      </c>
      <c r="H44" s="118">
        <f ca="1">IFERROR(G44/C3,0)</f>
        <v>122341043.92100629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1367620074.430439</v>
      </c>
      <c r="F45" s="44">
        <f>IFERROR(E45/D45,0)</f>
        <v>0.76339837883884332</v>
      </c>
      <c r="G45" s="118">
        <f>D45-E45</f>
        <v>423869287.27168941</v>
      </c>
      <c r="H45" s="118">
        <f ca="1">IFERROR(G45/C3,0)</f>
        <v>105967321.81792235</v>
      </c>
    </row>
    <row r="46" spans="2:14" ht="20.100000000000001" customHeight="1" x14ac:dyDescent="0.25">
      <c r="B46" s="214" t="s">
        <v>146</v>
      </c>
      <c r="C46" s="215"/>
      <c r="D46" s="47">
        <f>D43+D44+D45</f>
        <v>9680534906.7669907</v>
      </c>
      <c r="E46" s="47">
        <f>E43+E44+E45</f>
        <v>6971643706.0372562</v>
      </c>
      <c r="F46" s="43">
        <f>IFERROR(E46/D46,0)</f>
        <v>0.72017133073543937</v>
      </c>
      <c r="G46" s="119">
        <f>G43+G44+G45</f>
        <v>2708891200.7297339</v>
      </c>
      <c r="H46" s="119">
        <f ca="1">IFERROR(G46/C3,0)</f>
        <v>677222800.18243349</v>
      </c>
    </row>
    <row r="48" spans="2:14" s="158" customFormat="1" ht="20.100000000000001" customHeight="1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28"/>
      <c r="L48" s="229"/>
      <c r="M48" s="229"/>
      <c r="N48" s="230"/>
    </row>
    <row r="49" spans="2:14" s="158" customFormat="1" ht="20.100000000000001" customHeight="1" x14ac:dyDescent="0.25">
      <c r="B49" s="227" t="s">
        <v>41</v>
      </c>
      <c r="C49" s="227" t="s">
        <v>42</v>
      </c>
      <c r="D49" s="224" t="s">
        <v>138</v>
      </c>
      <c r="E49" s="225"/>
      <c r="F49" s="226"/>
      <c r="G49" s="159" t="s">
        <v>139</v>
      </c>
      <c r="H49" s="159"/>
      <c r="I49" s="159"/>
      <c r="J49" s="227" t="s">
        <v>140</v>
      </c>
      <c r="K49" s="160" t="s">
        <v>148</v>
      </c>
      <c r="L49" s="160"/>
      <c r="M49" s="160"/>
      <c r="N49" s="220" t="s">
        <v>149</v>
      </c>
    </row>
    <row r="50" spans="2:14" s="158" customFormat="1" ht="20.100000000000001" customHeight="1" x14ac:dyDescent="0.25">
      <c r="B50" s="227"/>
      <c r="C50" s="227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27"/>
      <c r="K50" s="163" t="s">
        <v>143</v>
      </c>
      <c r="L50" s="163" t="s">
        <v>111</v>
      </c>
      <c r="M50" s="163" t="s">
        <v>146</v>
      </c>
      <c r="N50" s="220"/>
    </row>
    <row r="51" spans="2:14" s="158" customFormat="1" ht="20.100000000000001" customHeight="1" x14ac:dyDescent="0.25">
      <c r="B51" s="184" t="s">
        <v>67</v>
      </c>
      <c r="C51" s="185" t="s">
        <v>68</v>
      </c>
      <c r="D51" s="176">
        <f>TARGETS!J5</f>
        <v>396683478.3262167</v>
      </c>
      <c r="E51" s="176">
        <f>TARGETS!K5</f>
        <v>49588709</v>
      </c>
      <c r="F51" s="176">
        <f t="shared" ref="F51:F64" si="0">D51+E51</f>
        <v>446272187.3262167</v>
      </c>
      <c r="G51" s="177">
        <f>M8</f>
        <v>259416350.98412701</v>
      </c>
      <c r="H51" s="177">
        <f>N8</f>
        <v>41315217.923969001</v>
      </c>
      <c r="I51" s="177">
        <f t="shared" ref="I51:I64" si="1">G51+H51</f>
        <v>300731568.90809602</v>
      </c>
      <c r="J51" s="178">
        <f t="shared" ref="J51:J64" si="2">IFERROR(I51/F51,0)</f>
        <v>0.67387477294942155</v>
      </c>
      <c r="K51" s="164">
        <f t="shared" ref="K51:K64" si="3">D51-G51</f>
        <v>137267127.34208968</v>
      </c>
      <c r="L51" s="164">
        <f t="shared" ref="L51:L64" si="4">E51-H51</f>
        <v>8273491.0760309994</v>
      </c>
      <c r="M51" s="164">
        <f t="shared" ref="M51:M64" si="5">F51-I51</f>
        <v>145540618.41812068</v>
      </c>
      <c r="N51" s="164">
        <f ca="1">IFERROR(M51/C3,0)</f>
        <v>36385154.604530171</v>
      </c>
    </row>
    <row r="52" spans="2:14" s="158" customFormat="1" ht="20.100000000000001" customHeight="1" x14ac:dyDescent="0.25">
      <c r="B52" s="186" t="s">
        <v>69</v>
      </c>
      <c r="C52" s="187" t="s">
        <v>70</v>
      </c>
      <c r="D52" s="179">
        <f>TARGETS!J6</f>
        <v>535182371</v>
      </c>
      <c r="E52" s="179">
        <f>TARGETS!K6</f>
        <v>172865092</v>
      </c>
      <c r="F52" s="179">
        <f t="shared" si="0"/>
        <v>708047463</v>
      </c>
      <c r="G52" s="177">
        <f>M9</f>
        <v>453952232.14149296</v>
      </c>
      <c r="H52" s="177">
        <f>N9</f>
        <v>100272716.993726</v>
      </c>
      <c r="I52" s="177">
        <f t="shared" si="1"/>
        <v>554224949.13521898</v>
      </c>
      <c r="J52" s="178">
        <f t="shared" si="2"/>
        <v>0.78275112629733268</v>
      </c>
      <c r="K52" s="165">
        <f t="shared" si="3"/>
        <v>81230138.858507037</v>
      </c>
      <c r="L52" s="165">
        <f t="shared" si="4"/>
        <v>72592375.006274</v>
      </c>
      <c r="M52" s="165">
        <f t="shared" si="5"/>
        <v>153822513.86478102</v>
      </c>
      <c r="N52" s="165">
        <f ca="1">IFERROR(M52/C3,0)</f>
        <v>38455628.466195256</v>
      </c>
    </row>
    <row r="53" spans="2:14" s="158" customFormat="1" ht="20.100000000000001" customHeight="1" x14ac:dyDescent="0.25">
      <c r="B53" s="188" t="s">
        <v>177</v>
      </c>
      <c r="C53" s="189" t="s">
        <v>178</v>
      </c>
      <c r="D53" s="180">
        <f>TARGETS!J7</f>
        <v>241473268</v>
      </c>
      <c r="E53" s="180">
        <f>TARGETS!K7</f>
        <v>0</v>
      </c>
      <c r="F53" s="180">
        <f>D53+E53</f>
        <v>241473268</v>
      </c>
      <c r="G53" s="177">
        <f>C22</f>
        <v>46775648.200000003</v>
      </c>
      <c r="H53" s="177">
        <f>IF(D22="",0,D22)</f>
        <v>0</v>
      </c>
      <c r="I53" s="177">
        <f>G53+H53</f>
        <v>46775648.200000003</v>
      </c>
      <c r="J53" s="178">
        <f>IFERROR(I53/F53,0)</f>
        <v>0.19370942625417237</v>
      </c>
      <c r="K53" s="165">
        <f>D53-G53</f>
        <v>194697619.80000001</v>
      </c>
      <c r="L53" s="165">
        <f>E53-H53</f>
        <v>0</v>
      </c>
      <c r="M53" s="165">
        <f>F53-I53</f>
        <v>194697619.80000001</v>
      </c>
      <c r="N53" s="165">
        <f ca="1">IFERROR(M53/C3,0)</f>
        <v>48674404.950000003</v>
      </c>
    </row>
    <row r="54" spans="2:14" s="158" customFormat="1" ht="20.100000000000001" customHeight="1" x14ac:dyDescent="0.25">
      <c r="B54" s="186" t="s">
        <v>71</v>
      </c>
      <c r="C54" s="187" t="s">
        <v>72</v>
      </c>
      <c r="D54" s="179">
        <f>TARGETS!J8</f>
        <v>590712471.92289722</v>
      </c>
      <c r="E54" s="179">
        <f>TARGETS!K8</f>
        <v>28200135</v>
      </c>
      <c r="F54" s="179">
        <f t="shared" si="0"/>
        <v>618912606.92289722</v>
      </c>
      <c r="G54" s="177">
        <f>M10</f>
        <v>463195607.91979802</v>
      </c>
      <c r="H54" s="177">
        <f t="shared" ref="H54:H58" si="6">N10</f>
        <v>20953488.849736001</v>
      </c>
      <c r="I54" s="177">
        <f t="shared" si="1"/>
        <v>484149096.76953399</v>
      </c>
      <c r="J54" s="178">
        <f t="shared" si="2"/>
        <v>0.78225761012790007</v>
      </c>
      <c r="K54" s="165">
        <f>D54-G54</f>
        <v>127516864.0030992</v>
      </c>
      <c r="L54" s="165">
        <f t="shared" si="4"/>
        <v>7246646.1502639987</v>
      </c>
      <c r="M54" s="165">
        <f t="shared" si="5"/>
        <v>134763510.15336323</v>
      </c>
      <c r="N54" s="165">
        <f ca="1">IFERROR(M54/C3,0)</f>
        <v>33690877.538340807</v>
      </c>
    </row>
    <row r="55" spans="2:14" s="158" customFormat="1" ht="20.100000000000001" customHeight="1" x14ac:dyDescent="0.25">
      <c r="B55" s="184" t="s">
        <v>73</v>
      </c>
      <c r="C55" s="185" t="s">
        <v>74</v>
      </c>
      <c r="D55" s="176">
        <f>TARGETS!J9</f>
        <v>395063284.19152415</v>
      </c>
      <c r="E55" s="176">
        <f>TARGETS!K9</f>
        <v>73528469</v>
      </c>
      <c r="F55" s="176">
        <f t="shared" si="0"/>
        <v>468591753.19152415</v>
      </c>
      <c r="G55" s="177">
        <f>M11</f>
        <v>289734229.18999302</v>
      </c>
      <c r="H55" s="177">
        <f t="shared" si="6"/>
        <v>38549567.509999998</v>
      </c>
      <c r="I55" s="177">
        <f t="shared" si="1"/>
        <v>328283796.69999301</v>
      </c>
      <c r="J55" s="178">
        <f t="shared" si="2"/>
        <v>0.70057527573648082</v>
      </c>
      <c r="K55" s="165">
        <f t="shared" si="3"/>
        <v>105329055.00153112</v>
      </c>
      <c r="L55" s="165">
        <f t="shared" si="4"/>
        <v>34978901.490000002</v>
      </c>
      <c r="M55" s="165">
        <f t="shared" si="5"/>
        <v>140307956.49153113</v>
      </c>
      <c r="N55" s="165">
        <f ca="1">IFERROR(M55/C3,0)</f>
        <v>35076989.122882783</v>
      </c>
    </row>
    <row r="56" spans="2:14" s="158" customFormat="1" ht="20.100000000000001" customHeight="1" x14ac:dyDescent="0.25">
      <c r="B56" s="186" t="s">
        <v>75</v>
      </c>
      <c r="C56" s="187" t="s">
        <v>74</v>
      </c>
      <c r="D56" s="179">
        <f>TARGETS!J10</f>
        <v>463918832.1226536</v>
      </c>
      <c r="E56" s="179">
        <f>TARGETS!K10</f>
        <v>71898548</v>
      </c>
      <c r="F56" s="179">
        <f t="shared" si="0"/>
        <v>535817380.1226536</v>
      </c>
      <c r="G56" s="177">
        <f>M12</f>
        <v>400873434.68683398</v>
      </c>
      <c r="H56" s="177">
        <f t="shared" si="6"/>
        <v>49880188.247367002</v>
      </c>
      <c r="I56" s="177">
        <f t="shared" si="1"/>
        <v>450753622.934201</v>
      </c>
      <c r="J56" s="178">
        <f t="shared" si="2"/>
        <v>0.8412448712115671</v>
      </c>
      <c r="K56" s="165">
        <f t="shared" si="3"/>
        <v>63045397.435819626</v>
      </c>
      <c r="L56" s="165">
        <f t="shared" si="4"/>
        <v>22018359.752632998</v>
      </c>
      <c r="M56" s="165">
        <f t="shared" si="5"/>
        <v>85063757.188452601</v>
      </c>
      <c r="N56" s="165">
        <f ca="1">IFERROR(M56/C3,0)</f>
        <v>21265939.29711315</v>
      </c>
    </row>
    <row r="57" spans="2:14" s="158" customFormat="1" ht="20.100000000000001" customHeight="1" x14ac:dyDescent="0.25">
      <c r="B57" s="184" t="s">
        <v>76</v>
      </c>
      <c r="C57" s="185" t="s">
        <v>77</v>
      </c>
      <c r="D57" s="176">
        <f>TARGETS!J11</f>
        <v>941758345.44471872</v>
      </c>
      <c r="E57" s="176">
        <f>TARGETS!K11</f>
        <v>73246884</v>
      </c>
      <c r="F57" s="176">
        <f t="shared" si="0"/>
        <v>1015005229.4447187</v>
      </c>
      <c r="G57" s="177">
        <f>M13</f>
        <v>846052742.05182004</v>
      </c>
      <c r="H57" s="177">
        <f t="shared" si="6"/>
        <v>51156635.799857996</v>
      </c>
      <c r="I57" s="177">
        <f t="shared" si="1"/>
        <v>897209377.85167801</v>
      </c>
      <c r="J57" s="178">
        <f t="shared" si="2"/>
        <v>0.88394557173120814</v>
      </c>
      <c r="K57" s="165">
        <f t="shared" si="3"/>
        <v>95705603.392898679</v>
      </c>
      <c r="L57" s="165">
        <f t="shared" si="4"/>
        <v>22090248.200142004</v>
      </c>
      <c r="M57" s="165">
        <f t="shared" si="5"/>
        <v>117795851.5930407</v>
      </c>
      <c r="N57" s="165">
        <f ca="1">IFERROR(M57/C3,0)</f>
        <v>29448962.898260176</v>
      </c>
    </row>
    <row r="58" spans="2:14" s="158" customFormat="1" ht="20.100000000000001" customHeight="1" x14ac:dyDescent="0.25">
      <c r="B58" s="186" t="s">
        <v>78</v>
      </c>
      <c r="C58" s="187" t="s">
        <v>79</v>
      </c>
      <c r="D58" s="179">
        <f>TARGETS!J12</f>
        <v>485287059</v>
      </c>
      <c r="E58" s="179">
        <f>TARGETS!K12</f>
        <v>45099712</v>
      </c>
      <c r="F58" s="179">
        <f t="shared" si="0"/>
        <v>530386771</v>
      </c>
      <c r="G58" s="177">
        <f>M14</f>
        <v>334556563.810857</v>
      </c>
      <c r="H58" s="177">
        <f t="shared" si="6"/>
        <v>54790085.349973999</v>
      </c>
      <c r="I58" s="177">
        <f>G58+H58</f>
        <v>389346649.16083097</v>
      </c>
      <c r="J58" s="178">
        <f>IFERROR(I58/F58,0)</f>
        <v>0.73408061899196764</v>
      </c>
      <c r="K58" s="165">
        <f t="shared" si="3"/>
        <v>150730495.189143</v>
      </c>
      <c r="L58" s="165">
        <f t="shared" si="4"/>
        <v>-9690373.349973999</v>
      </c>
      <c r="M58" s="165">
        <f t="shared" si="5"/>
        <v>141040121.83916903</v>
      </c>
      <c r="N58" s="165">
        <f ca="1">IFERROR(M58/C3,0)</f>
        <v>35260030.459792256</v>
      </c>
    </row>
    <row r="59" spans="2:14" s="158" customFormat="1" ht="20.100000000000001" customHeight="1" x14ac:dyDescent="0.25">
      <c r="B59" s="188" t="s">
        <v>177</v>
      </c>
      <c r="C59" s="189" t="s">
        <v>179</v>
      </c>
      <c r="D59" s="180">
        <f>TARGETS!J13</f>
        <v>404133664</v>
      </c>
      <c r="E59" s="180">
        <f>TARGETS!K13</f>
        <v>0</v>
      </c>
      <c r="F59" s="180">
        <f>D59+E59</f>
        <v>404133664</v>
      </c>
      <c r="G59" s="177">
        <f>C23</f>
        <v>97280513.420000002</v>
      </c>
      <c r="H59" s="177">
        <f>IF(D23="",0,D23)</f>
        <v>0</v>
      </c>
      <c r="I59" s="177">
        <f>G59+H59</f>
        <v>97280513.420000002</v>
      </c>
      <c r="J59" s="178">
        <f>IFERROR(I59/F59,0)</f>
        <v>0.24071370956120103</v>
      </c>
      <c r="K59" s="165">
        <f>D59-G59</f>
        <v>306853150.57999998</v>
      </c>
      <c r="L59" s="165">
        <f>E59-H59</f>
        <v>0</v>
      </c>
      <c r="M59" s="165">
        <f>F59-I59</f>
        <v>306853150.57999998</v>
      </c>
      <c r="N59" s="165">
        <f ca="1">IFERROR(M59/C3,0)</f>
        <v>76713287.644999996</v>
      </c>
    </row>
    <row r="60" spans="2:14" s="158" customFormat="1" ht="20.100000000000001" customHeight="1" x14ac:dyDescent="0.25">
      <c r="B60" s="186" t="s">
        <v>80</v>
      </c>
      <c r="C60" s="187" t="s">
        <v>81</v>
      </c>
      <c r="D60" s="179">
        <f>TARGETS!J14</f>
        <v>384017309.32355773</v>
      </c>
      <c r="E60" s="179">
        <f>TARGETS!K14</f>
        <v>119782698</v>
      </c>
      <c r="F60" s="179">
        <f t="shared" si="0"/>
        <v>503800007.32355773</v>
      </c>
      <c r="G60" s="177">
        <f>M15</f>
        <v>257676819.092033</v>
      </c>
      <c r="H60" s="177">
        <f t="shared" ref="H60:H64" si="7">N15</f>
        <v>89431321.466564998</v>
      </c>
      <c r="I60" s="177">
        <f t="shared" si="1"/>
        <v>347108140.55859798</v>
      </c>
      <c r="J60" s="178">
        <f t="shared" si="2"/>
        <v>0.68898002285195115</v>
      </c>
      <c r="K60" s="165">
        <f t="shared" si="3"/>
        <v>126340490.23152474</v>
      </c>
      <c r="L60" s="165">
        <f t="shared" si="4"/>
        <v>30351376.533435002</v>
      </c>
      <c r="M60" s="165">
        <f t="shared" si="5"/>
        <v>156691866.76495975</v>
      </c>
      <c r="N60" s="165">
        <f ca="1">IFERROR(M60/C3,0)</f>
        <v>39172966.691239938</v>
      </c>
    </row>
    <row r="61" spans="2:14" s="158" customFormat="1" ht="20.100000000000001" customHeight="1" x14ac:dyDescent="0.25">
      <c r="B61" s="184" t="s">
        <v>82</v>
      </c>
      <c r="C61" s="185" t="s">
        <v>83</v>
      </c>
      <c r="D61" s="176">
        <f>TARGETS!J15</f>
        <v>611629595.7161876</v>
      </c>
      <c r="E61" s="176">
        <f>TARGETS!K15</f>
        <v>40059909</v>
      </c>
      <c r="F61" s="176">
        <f t="shared" si="0"/>
        <v>651689504.7161876</v>
      </c>
      <c r="G61" s="177">
        <f>M16</f>
        <v>399179134.232728</v>
      </c>
      <c r="H61" s="177">
        <f t="shared" si="7"/>
        <v>39627430.193971001</v>
      </c>
      <c r="I61" s="177">
        <f t="shared" si="1"/>
        <v>438806564.42669898</v>
      </c>
      <c r="J61" s="178">
        <f t="shared" si="2"/>
        <v>0.67333685942633115</v>
      </c>
      <c r="K61" s="165">
        <f t="shared" si="3"/>
        <v>212450461.48345959</v>
      </c>
      <c r="L61" s="165">
        <f t="shared" si="4"/>
        <v>432478.80602899939</v>
      </c>
      <c r="M61" s="165">
        <f t="shared" si="5"/>
        <v>212882940.28948861</v>
      </c>
      <c r="N61" s="165">
        <f ca="1">IFERROR(M61/C3,0)</f>
        <v>53220735.072372153</v>
      </c>
    </row>
    <row r="62" spans="2:14" s="158" customFormat="1" ht="20.100000000000001" customHeight="1" x14ac:dyDescent="0.25">
      <c r="B62" s="186" t="s">
        <v>84</v>
      </c>
      <c r="C62" s="187" t="s">
        <v>85</v>
      </c>
      <c r="D62" s="179">
        <f>TARGETS!J16</f>
        <v>366543022.9053762</v>
      </c>
      <c r="E62" s="179">
        <f>TARGETS!K16</f>
        <v>45082463</v>
      </c>
      <c r="F62" s="179">
        <f t="shared" si="0"/>
        <v>411625485.9053762</v>
      </c>
      <c r="G62" s="177">
        <f>M17</f>
        <v>258387613.393603</v>
      </c>
      <c r="H62" s="177">
        <f t="shared" si="7"/>
        <v>22056994.284492001</v>
      </c>
      <c r="I62" s="177">
        <f t="shared" si="1"/>
        <v>280444607.67809498</v>
      </c>
      <c r="J62" s="178">
        <f t="shared" si="2"/>
        <v>0.68131011630937532</v>
      </c>
      <c r="K62" s="165">
        <f t="shared" si="3"/>
        <v>108155409.5117732</v>
      </c>
      <c r="L62" s="165">
        <f t="shared" si="4"/>
        <v>23025468.715507999</v>
      </c>
      <c r="M62" s="165">
        <f t="shared" si="5"/>
        <v>131180878.22728121</v>
      </c>
      <c r="N62" s="165">
        <f ca="1">IFERROR(M62/C3,0)</f>
        <v>32795219.556820303</v>
      </c>
    </row>
    <row r="63" spans="2:14" s="158" customFormat="1" ht="20.100000000000001" customHeight="1" x14ac:dyDescent="0.25">
      <c r="B63" s="184" t="s">
        <v>86</v>
      </c>
      <c r="C63" s="185" t="s">
        <v>87</v>
      </c>
      <c r="D63" s="176">
        <f>TARGETS!J17</f>
        <v>563350942.09827971</v>
      </c>
      <c r="E63" s="176">
        <f>TARGETS!K17</f>
        <v>311125253</v>
      </c>
      <c r="F63" s="176">
        <f t="shared" si="0"/>
        <v>874476195.09827971</v>
      </c>
      <c r="G63" s="177">
        <f>M18</f>
        <v>573634588.45515394</v>
      </c>
      <c r="H63" s="177">
        <f t="shared" si="7"/>
        <v>156779562.95306599</v>
      </c>
      <c r="I63" s="177">
        <f t="shared" si="1"/>
        <v>730414151.40821993</v>
      </c>
      <c r="J63" s="178">
        <f t="shared" si="2"/>
        <v>0.83525904478867019</v>
      </c>
      <c r="K63" s="165">
        <f t="shared" si="3"/>
        <v>-10283646.356874228</v>
      </c>
      <c r="L63" s="165">
        <f t="shared" si="4"/>
        <v>154345690.04693401</v>
      </c>
      <c r="M63" s="165">
        <f t="shared" si="5"/>
        <v>144062043.69005978</v>
      </c>
      <c r="N63" s="165">
        <f ca="1">IFERROR(M63/C3,0)</f>
        <v>36015510.922514945</v>
      </c>
    </row>
    <row r="64" spans="2:14" s="158" customFormat="1" ht="20.100000000000001" customHeight="1" x14ac:dyDescent="0.25">
      <c r="B64" s="186" t="s">
        <v>88</v>
      </c>
      <c r="C64" s="187" t="s">
        <v>89</v>
      </c>
      <c r="D64" s="179">
        <f>TARGETS!J18</f>
        <v>239525689.01344877</v>
      </c>
      <c r="E64" s="179">
        <f>TARGETS!K18</f>
        <v>239288340</v>
      </c>
      <c r="F64" s="179">
        <f t="shared" si="0"/>
        <v>478814029.01344877</v>
      </c>
      <c r="G64" s="177">
        <f>M19</f>
        <v>142906117.71240199</v>
      </c>
      <c r="H64" s="177">
        <f t="shared" si="7"/>
        <v>115588826.743251</v>
      </c>
      <c r="I64" s="177">
        <f t="shared" si="1"/>
        <v>258494944.45565298</v>
      </c>
      <c r="J64" s="178">
        <f t="shared" si="2"/>
        <v>0.53986501813294296</v>
      </c>
      <c r="K64" s="165">
        <f t="shared" si="3"/>
        <v>96619571.301046789</v>
      </c>
      <c r="L64" s="165">
        <f t="shared" si="4"/>
        <v>123699513.256749</v>
      </c>
      <c r="M64" s="165">
        <f t="shared" si="5"/>
        <v>220319084.55779579</v>
      </c>
      <c r="N64" s="165">
        <f ca="1">IFERROR(M64/C3,0)</f>
        <v>55079771.139448948</v>
      </c>
    </row>
    <row r="65" spans="2:14" s="158" customFormat="1" ht="20.100000000000001" customHeight="1" x14ac:dyDescent="0.25">
      <c r="B65" s="190" t="s">
        <v>152</v>
      </c>
      <c r="C65" s="191"/>
      <c r="D65" s="181">
        <f>SUM(D51:D64)</f>
        <v>6619279333.0648613</v>
      </c>
      <c r="E65" s="181">
        <f t="shared" ref="E65" si="8">SUM(E51:E52,E54:E58,E60:E64)</f>
        <v>1269766212</v>
      </c>
      <c r="F65" s="181">
        <f>SUM(F51:F64)</f>
        <v>7889045545.0648613</v>
      </c>
      <c r="G65" s="182">
        <f>SUM(G51:G64)</f>
        <v>4823621595.2908421</v>
      </c>
      <c r="H65" s="182">
        <f>SUM(H51:H64)</f>
        <v>780402036.31597483</v>
      </c>
      <c r="I65" s="182">
        <f>SUM(I51:I64)</f>
        <v>5604023631.6068172</v>
      </c>
      <c r="J65" s="183">
        <f>IFERROR(I65/F65,0)</f>
        <v>0.71035508663180658</v>
      </c>
      <c r="K65" s="166">
        <f>SUM(K51:K64)</f>
        <v>1795657737.7740185</v>
      </c>
      <c r="L65" s="166">
        <f>SUM(L51:L64)</f>
        <v>489364175.68402505</v>
      </c>
      <c r="M65" s="166">
        <f>SUM(M51:M64)</f>
        <v>2285021913.4580436</v>
      </c>
      <c r="N65" s="166">
        <f ca="1">IFERROR(M65/C3,0)</f>
        <v>571255478.36451089</v>
      </c>
    </row>
    <row r="67" spans="2:14" ht="20.100000000000001" customHeight="1" x14ac:dyDescent="0.25">
      <c r="B67" s="135" t="s">
        <v>176</v>
      </c>
      <c r="C67" s="136"/>
      <c r="D67" s="137"/>
      <c r="G67"/>
      <c r="H67"/>
      <c r="I67"/>
    </row>
    <row r="68" spans="2:14" ht="20.100000000000001" customHeight="1" x14ac:dyDescent="0.25">
      <c r="B68" s="216" t="s">
        <v>41</v>
      </c>
      <c r="C68" s="216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16"/>
      <c r="C69" s="216"/>
      <c r="D69" s="71" t="s">
        <v>173</v>
      </c>
      <c r="G69"/>
      <c r="H69"/>
      <c r="I69"/>
    </row>
    <row r="70" spans="2:14" s="158" customFormat="1" ht="20.100000000000001" customHeight="1" x14ac:dyDescent="0.25">
      <c r="B70" s="184" t="s">
        <v>67</v>
      </c>
      <c r="C70" s="185" t="s">
        <v>68</v>
      </c>
      <c r="D70" s="192">
        <f>IF(E24="",0,E24)</f>
        <v>15143387.159992</v>
      </c>
    </row>
    <row r="71" spans="2:14" s="158" customFormat="1" ht="20.100000000000001" customHeight="1" x14ac:dyDescent="0.25">
      <c r="B71" s="186" t="s">
        <v>69</v>
      </c>
      <c r="C71" s="187" t="s">
        <v>70</v>
      </c>
      <c r="D71" s="193">
        <f>IF(E12="",0,E12)+IF(E13="",0,E13)</f>
        <v>78450088.760000005</v>
      </c>
    </row>
    <row r="72" spans="2:14" s="158" customFormat="1" ht="20.100000000000001" customHeight="1" x14ac:dyDescent="0.25">
      <c r="B72" s="186" t="s">
        <v>177</v>
      </c>
      <c r="C72" s="187" t="s">
        <v>178</v>
      </c>
      <c r="D72" s="193">
        <f>IF(E22="",0,E22)</f>
        <v>8372972.8399999999</v>
      </c>
    </row>
    <row r="73" spans="2:14" s="158" customFormat="1" ht="20.100000000000001" customHeight="1" x14ac:dyDescent="0.25">
      <c r="B73" s="184" t="s">
        <v>71</v>
      </c>
      <c r="C73" s="185" t="s">
        <v>72</v>
      </c>
      <c r="D73" s="192">
        <f>IF(E14="",0,E14)</f>
        <v>57386179.549984999</v>
      </c>
    </row>
    <row r="74" spans="2:14" s="158" customFormat="1" ht="20.100000000000001" customHeight="1" x14ac:dyDescent="0.25">
      <c r="B74" s="186" t="s">
        <v>73</v>
      </c>
      <c r="C74" s="187" t="s">
        <v>74</v>
      </c>
      <c r="D74" s="193">
        <f>0</f>
        <v>0</v>
      </c>
    </row>
    <row r="75" spans="2:14" s="158" customFormat="1" ht="20.100000000000001" customHeight="1" x14ac:dyDescent="0.25">
      <c r="B75" s="184" t="s">
        <v>75</v>
      </c>
      <c r="C75" s="185" t="s">
        <v>74</v>
      </c>
      <c r="D75" s="192">
        <f>0</f>
        <v>0</v>
      </c>
    </row>
    <row r="76" spans="2:14" s="158" customFormat="1" ht="20.100000000000001" customHeight="1" x14ac:dyDescent="0.25">
      <c r="B76" s="186" t="s">
        <v>76</v>
      </c>
      <c r="C76" s="187" t="s">
        <v>77</v>
      </c>
      <c r="D76" s="193">
        <f>IF(E19="",0,E19)</f>
        <v>90842339.400000006</v>
      </c>
    </row>
    <row r="77" spans="2:14" s="158" customFormat="1" ht="20.100000000000001" customHeight="1" x14ac:dyDescent="0.25">
      <c r="B77" s="184" t="s">
        <v>78</v>
      </c>
      <c r="C77" s="185" t="s">
        <v>79</v>
      </c>
      <c r="D77" s="192">
        <f>IF(E25="",0,E25)</f>
        <v>19583477.219994999</v>
      </c>
    </row>
    <row r="78" spans="2:14" s="158" customFormat="1" ht="20.100000000000001" customHeight="1" x14ac:dyDescent="0.25">
      <c r="B78" s="186" t="s">
        <v>177</v>
      </c>
      <c r="C78" s="187" t="s">
        <v>179</v>
      </c>
      <c r="D78" s="193">
        <f>IF(E23="",0,E23)</f>
        <v>15680179.92</v>
      </c>
    </row>
    <row r="79" spans="2:14" s="158" customFormat="1" ht="20.100000000000001" customHeight="1" x14ac:dyDescent="0.25">
      <c r="B79" s="186" t="s">
        <v>80</v>
      </c>
      <c r="C79" s="187" t="s">
        <v>81</v>
      </c>
      <c r="D79" s="193">
        <f>IF(E11="",0,E11)</f>
        <v>34053355</v>
      </c>
    </row>
    <row r="80" spans="2:14" s="158" customFormat="1" ht="20.100000000000001" customHeight="1" x14ac:dyDescent="0.25">
      <c r="B80" s="184" t="s">
        <v>82</v>
      </c>
      <c r="C80" s="185" t="s">
        <v>83</v>
      </c>
      <c r="D80" s="192">
        <f>IF(E26="",0,E26)</f>
        <v>64357660.099909998</v>
      </c>
    </row>
    <row r="81" spans="2:9" s="158" customFormat="1" ht="20.100000000000001" customHeight="1" x14ac:dyDescent="0.25">
      <c r="B81" s="186" t="s">
        <v>84</v>
      </c>
      <c r="C81" s="187" t="s">
        <v>85</v>
      </c>
      <c r="D81" s="193">
        <f>IF(E10="",0,E10)</f>
        <v>51908683.359980002</v>
      </c>
    </row>
    <row r="82" spans="2:9" s="158" customFormat="1" ht="20.100000000000001" customHeight="1" x14ac:dyDescent="0.25">
      <c r="B82" s="184" t="s">
        <v>86</v>
      </c>
      <c r="C82" s="185" t="s">
        <v>87</v>
      </c>
      <c r="D82" s="192">
        <f>0</f>
        <v>0</v>
      </c>
    </row>
    <row r="83" spans="2:9" s="158" customFormat="1" ht="20.100000000000001" customHeight="1" x14ac:dyDescent="0.25">
      <c r="B83" s="186" t="s">
        <v>88</v>
      </c>
      <c r="C83" s="187" t="s">
        <v>89</v>
      </c>
      <c r="D83" s="193">
        <f>0</f>
        <v>0</v>
      </c>
    </row>
    <row r="84" spans="2:9" s="158" customFormat="1" ht="20.100000000000001" customHeight="1" x14ac:dyDescent="0.25">
      <c r="B84" s="190" t="s">
        <v>152</v>
      </c>
      <c r="C84" s="191"/>
      <c r="D84" s="194">
        <f>SUM(D70:D83)</f>
        <v>435778323.30986202</v>
      </c>
    </row>
    <row r="87" spans="2:9" s="158" customFormat="1" ht="20.100000000000001" customHeight="1" x14ac:dyDescent="0.25">
      <c r="B87" s="221" t="s">
        <v>145</v>
      </c>
      <c r="C87" s="222"/>
      <c r="D87" s="222"/>
      <c r="E87" s="222"/>
      <c r="F87" s="223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4" t="s">
        <v>92</v>
      </c>
      <c r="C89" s="185" t="s">
        <v>93</v>
      </c>
      <c r="D89" s="195">
        <f>TARGETS!G22</f>
        <v>279391895.3166402</v>
      </c>
      <c r="E89" s="177">
        <f>IFERROR(C32,0)</f>
        <v>174072142.48878601</v>
      </c>
      <c r="F89" s="178">
        <f t="shared" ref="F89:F94" si="9">IFERROR(E89/D89,0)</f>
        <v>0.62303934153675689</v>
      </c>
      <c r="G89" s="171">
        <f>D89-E89</f>
        <v>105319752.82785419</v>
      </c>
      <c r="H89" s="171">
        <f ca="1">IFERROR(G89/C3,0)</f>
        <v>26329938.206963547</v>
      </c>
      <c r="I89" s="168"/>
    </row>
    <row r="90" spans="2:9" s="158" customFormat="1" ht="20.100000000000001" customHeight="1" x14ac:dyDescent="0.25">
      <c r="B90" s="186" t="s">
        <v>94</v>
      </c>
      <c r="C90" s="187" t="s">
        <v>95</v>
      </c>
      <c r="D90" s="196">
        <f>TARGETS!G23</f>
        <v>419611959.16831887</v>
      </c>
      <c r="E90" s="177">
        <f>IFERROR(C33,0)</f>
        <v>445809428.55673301</v>
      </c>
      <c r="F90" s="178">
        <f t="shared" si="9"/>
        <v>1.0624326090236755</v>
      </c>
      <c r="G90" s="172">
        <f>D90-E90</f>
        <v>-26197469.388414145</v>
      </c>
      <c r="H90" s="172">
        <f ca="1">IFERROR(G90/C3,0)</f>
        <v>-6549367.3471035361</v>
      </c>
      <c r="I90" s="168"/>
    </row>
    <row r="91" spans="2:9" s="158" customFormat="1" ht="20.100000000000001" customHeight="1" x14ac:dyDescent="0.25">
      <c r="B91" s="184" t="s">
        <v>96</v>
      </c>
      <c r="C91" s="185" t="s">
        <v>97</v>
      </c>
      <c r="D91" s="195">
        <f>TARGETS!G24</f>
        <v>1092485507.2171693</v>
      </c>
      <c r="E91" s="177">
        <f>M21+M7</f>
        <v>747738503.38492</v>
      </c>
      <c r="F91" s="178">
        <f t="shared" si="9"/>
        <v>0.68443791560182332</v>
      </c>
      <c r="G91" s="171">
        <f>D91-E91</f>
        <v>344747003.83224928</v>
      </c>
      <c r="H91" s="171">
        <f ca="1">IFERROR(G91/C3,0)</f>
        <v>86186750.958062321</v>
      </c>
      <c r="I91" s="168"/>
    </row>
    <row r="92" spans="2:9" s="158" customFormat="1" ht="20.100000000000001" hidden="1" customHeight="1" x14ac:dyDescent="0.25">
      <c r="B92" s="186" t="s">
        <v>98</v>
      </c>
      <c r="C92" s="187" t="s">
        <v>99</v>
      </c>
      <c r="D92" s="196">
        <f>TARGETS!G25</f>
        <v>0</v>
      </c>
      <c r="E92" s="177">
        <f>0</f>
        <v>0</v>
      </c>
      <c r="F92" s="178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4" t="s">
        <v>100</v>
      </c>
      <c r="C93" s="197" t="s">
        <v>101</v>
      </c>
      <c r="D93" s="195">
        <f>TARGETS!G26</f>
        <v>0</v>
      </c>
      <c r="E93" s="177">
        <f>0</f>
        <v>0</v>
      </c>
      <c r="F93" s="178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90" t="s">
        <v>152</v>
      </c>
      <c r="C94" s="191"/>
      <c r="D94" s="198">
        <f>SUM(D89:D93)</f>
        <v>1791489361.7021284</v>
      </c>
      <c r="E94" s="198">
        <f>SUM(E89:E93)</f>
        <v>1367620074.430439</v>
      </c>
      <c r="F94" s="175">
        <f t="shared" si="9"/>
        <v>0.76339837883884332</v>
      </c>
      <c r="G94" s="173">
        <f>SUM(G89:G93)</f>
        <v>423869287.2716893</v>
      </c>
      <c r="H94" s="173">
        <f ca="1">IFERROR(G94/C3,0)</f>
        <v>105967321.81792232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85546875" bestFit="1" customWidth="1"/>
    <col min="4" max="4" width="37.140625" bestFit="1" customWidth="1"/>
    <col min="5" max="5" width="13.42578125" bestFit="1" customWidth="1"/>
    <col min="6" max="6" width="10.85546875" bestFit="1" customWidth="1"/>
    <col min="7" max="7" width="7.85546875" bestFit="1" customWidth="1"/>
    <col min="8" max="8" width="9.85546875" bestFit="1" customWidth="1"/>
    <col min="9" max="9" width="6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30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159</v>
      </c>
      <c r="C41" s="218"/>
      <c r="D41" s="219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TARGETS!L7</f>
        <v>0</v>
      </c>
      <c r="E53" s="157">
        <f>TARGETS!M7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TARGETS!L13</f>
        <v>0</v>
      </c>
      <c r="E59" s="157">
        <f>TARGETS!M13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56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161</v>
      </c>
      <c r="C41" s="218"/>
      <c r="D41" s="219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83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180</v>
      </c>
      <c r="C41" s="218"/>
      <c r="D41" s="219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109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164</v>
      </c>
      <c r="C41" s="218"/>
      <c r="D41" s="219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135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166</v>
      </c>
      <c r="C41" s="218"/>
      <c r="D41" s="219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162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168</v>
      </c>
      <c r="C41" s="218"/>
      <c r="D41" s="219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187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181</v>
      </c>
      <c r="C41" s="218"/>
      <c r="D41" s="219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214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183</v>
      </c>
      <c r="C41" s="218"/>
      <c r="D41" s="219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2026-04-27T01:07:22Z</dcterms:modified>
  <dc:language>en-US</dc:language>
</cp:coreProperties>
</file>