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H51" i="7" s="1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M52" i="7" s="1"/>
  <c r="N52" i="7" s="1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I51" i="7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J52" i="7" l="1"/>
  <c r="G42" i="3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<sst xmlns="http://schemas.openxmlformats.org/spreadsheetml/2006/main" count="1872" uniqueCount="185">
  <si>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</si>
  <si>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</si>
  <si>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</si>
  <si>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</si>
  <si>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</si>
  <si>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</si>
  <si>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</si>
  <si>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</si>
  <si>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</si>
  <si>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</si>
  <si>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</si>
  <si>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</si>
  <si>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</si>
  <si>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</si>
  <si>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</si>
  <si>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</si>
  <si>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</si>
  <si>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</si>
  <si>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</si>
  <si>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</si>
  <si>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</si>
  <si>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</si>
  <si>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</si>
  <si>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</si>
  <si>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</si>
  <si>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</si>
  <si>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</si>
  <si>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</si>
  <si>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</si>
  <si>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</si>
  <si>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</si>
  <si>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</si>
  <si>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</si>
  <si>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</si>
  <si>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</si>
  <si>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</si>
  <si>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</si>
  <si>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</si>
  <si>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</si>
  <si>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</si>
  <si>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</si>
  <si>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</si>
  <si>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</si>
  <si>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</si>
  <si>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</si>
  <si>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</si>
  <si>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</si>
  <si>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</si>
  <si>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</si>
  <si>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</si>
  <si>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</si>
  <si>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</si>
  <si>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</si>
  <si>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</si>
  <si>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</si>
  <si>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</si>
  <si>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</si>
  <si>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</si>
  <si>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</si>
  <si>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</si>
  <si>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</si>
  <si>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</si>
  <si>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</si>
  <si>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</si>
  <si>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</si>
  <si>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</si>
  <si>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</si>
  <si>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</si>
  <si>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</si>
  <si>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</si>
  <si>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</si>
  <si>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</si>
  <si>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</si>
  <si>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</si>
  <si>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</si>
  <si>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</si>
  <si>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</si>
  <si>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</si>
  <si>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</si>
  <si>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</si>
  <si>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</si>
  <si>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</si>
  <si>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</si>
  <si>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</si>
  <si>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</si>
  <si>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</si>
  <si>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</si>
  <si>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</si>
  <si>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</si>
  <si>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</si>
  <si>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</si>
  <si>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</si>
  <si>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</si>
  <si>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</si>
  <si>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</si>
  <si>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</si>
  <si>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</si>
  <si>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</si>
  <si>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</si>
  <si>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</si>
  <si>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</si>
  <si>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</si>
  <si>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</si>
  <si>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</si>
  <si>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</si>
  <si>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</si>
  <si>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</si>
  <si>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</si>
  <si>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</si>
  <si>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</si>
  <si>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</si>
  <si>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</si>
  <si>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</si>
  <si>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</si>
  <si>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</si>
  <si>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</si>
  <si>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</si>
  <si>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</si>
  <si>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</si>
  <si>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</si>
  <si>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</si>
  <si>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</si>
  <si>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</si>
  <si>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</si>
  <si>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</si>
  <si>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</si>
  <si>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</si>
  <si>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</si>
  <si>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</si>
  <si>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</si>
  <si>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</si>
  <si>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</si>
  <si>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</si>
  <si>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</si>
  <si>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</si>
  <si>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</si>
  <si>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</si>
  <si>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</si>
  <si>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</si>
  <si>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</si>
  <si>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</si>
  <si>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</si>
  <si>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</si>
  <si>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</si>
  <si>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</si>
  <si>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</si>
  <si>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</si>
  <si>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</si>
  <si>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</si>
  <si>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</si>
  <si>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</si>
  <si>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</si>
  <si>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</si>
  <si>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</si>
  <si>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</si>
  <si>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</si>
  <si>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</si>
  <si>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</si>
  <si>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</si>
  <si>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</si>
  <si>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</si>
  <si>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</si>
  <si>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</si>
  <si>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</si>
  <si>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</si>
  <si>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</si>
  <si>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</si>
  <si>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</si>
  <si>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</si>
  <si>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</si>
  <si>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</si>
  <si>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</si>
  <si>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</si>
  <si>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</si>
  <si>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</si>
  <si>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</si>
  <si>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</si>
  <si>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</si>
  <si>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</si>
  <si>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</si>
  <si>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</si>
  <si>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</si>
  <si>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</si>
  <si>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</si>
  <si>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20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</si>
</sst>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6" t="s">
        <v>0</v>
      </c>
      <c r="C1" s="206"/>
    </row>
    <row r="3" spans="2:3" x14ac:dyDescent="0.25">
      <c r="B3" s="207" t="s">
        <v>1</v>
      </c>
      <c r="C3" s="207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8" t="s">
        <v>14</v>
      </c>
      <c r="C11" s="208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7" t="s">
        <v>28</v>
      </c>
      <c r="C3" s="207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9" t="s">
        <v>102</v>
      </c>
      <c r="C29" s="209"/>
      <c r="D29" s="209"/>
      <c r="E29" s="209"/>
      <c r="F29" s="209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1" t="s">
        <v>146</v>
      </c>
      <c r="C44" s="22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3" t="s">
        <v>41</v>
      </c>
      <c r="C47" s="223" t="s">
        <v>42</v>
      </c>
      <c r="D47" s="218" t="s">
        <v>138</v>
      </c>
      <c r="E47" s="219"/>
      <c r="F47" s="220"/>
      <c r="G47" s="70" t="s">
        <v>139</v>
      </c>
      <c r="H47" s="70"/>
      <c r="I47" s="70"/>
      <c r="J47" s="223" t="s">
        <v>140</v>
      </c>
      <c r="K47" s="35" t="s">
        <v>148</v>
      </c>
      <c r="L47" s="35"/>
      <c r="M47" s="35"/>
      <c r="N47" s="217" t="s">
        <v>149</v>
      </c>
    </row>
    <row r="48" spans="2:17" ht="15.75" x14ac:dyDescent="0.25">
      <c r="B48" s="223"/>
      <c r="C48" s="223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3"/>
      <c r="K48" s="34" t="s">
        <v>143</v>
      </c>
      <c r="L48" s="34" t="s">
        <v>111</v>
      </c>
      <c r="M48" s="34" t="s">
        <v>146</v>
      </c>
      <c r="N48" s="217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4" t="s">
        <v>183</v>
      </c>
      <c r="C41" s="225"/>
      <c r="D41" s="226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1" t="s">
        <v>146</v>
      </c>
      <c r="C46" s="222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35"/>
      <c r="L48" s="236"/>
      <c r="M48" s="236"/>
      <c r="N48" s="237"/>
    </row>
    <row r="49" spans="2:14" s="158" customFormat="1" ht="20.100000000000001" customHeight="1" x14ac:dyDescent="0.25">
      <c r="B49" s="234" t="s">
        <v>41</v>
      </c>
      <c r="C49" s="234" t="s">
        <v>42</v>
      </c>
      <c r="D49" s="231" t="s">
        <v>138</v>
      </c>
      <c r="E49" s="232"/>
      <c r="F49" s="233"/>
      <c r="G49" s="159" t="s">
        <v>139</v>
      </c>
      <c r="H49" s="159"/>
      <c r="I49" s="159"/>
      <c r="J49" s="234" t="s">
        <v>140</v>
      </c>
      <c r="K49" s="160" t="s">
        <v>148</v>
      </c>
      <c r="L49" s="160"/>
      <c r="M49" s="160"/>
      <c r="N49" s="227" t="s">
        <v>149</v>
      </c>
    </row>
    <row r="50" spans="2:14" s="158" customFormat="1" ht="20.100000000000001" customHeight="1" x14ac:dyDescent="0.25">
      <c r="B50" s="234"/>
      <c r="C50" s="234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4"/>
      <c r="K50" s="163" t="s">
        <v>143</v>
      </c>
      <c r="L50" s="163" t="s">
        <v>111</v>
      </c>
      <c r="M50" s="163" t="s">
        <v>146</v>
      </c>
      <c r="N50" s="227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3" t="s">
        <v>41</v>
      </c>
      <c r="C68" s="223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3"/>
      <c r="C69" s="223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8" t="s">
        <v>145</v>
      </c>
      <c r="C87" s="229"/>
      <c r="D87" s="229"/>
      <c r="E87" s="229"/>
      <c r="F87" s="230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6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10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193728052.55777201</v>
      </c>
      <c r="N8" s="11">
        <f>D24</f>
        <v>29732159.813473001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340597245.07357001</v>
      </c>
      <c r="N9" s="11">
        <f>D12+D13</f>
        <v>52293732.082157001</v>
      </c>
    </row>
    <row r="10" spans="2:14" x14ac:dyDescent="0.25">
      <c r="B10" s="74" t="s">
        <v>113</v>
      </c>
      <c r="C10" s="205">
        <v>178327048.7886</v>
      </c>
      <c r="D10" s="205">
        <v>18591862.899342</v>
      </c>
      <c r="E10" s="205">
        <v>108315546.639999</v>
      </c>
      <c r="F10" s="205">
        <v>305234458.327941</v>
      </c>
      <c r="H10" s="116"/>
      <c r="I10" s="116"/>
      <c r="J10" s="116"/>
      <c r="M10" s="11">
        <f>C14</f>
        <v>410992483.28824902</v>
      </c>
      <c r="N10" s="11">
        <f>D14</f>
        <v>19299582.641127001</v>
      </c>
    </row>
    <row r="11" spans="2:14" x14ac:dyDescent="0.25">
      <c r="B11" s="74" t="s">
        <v>114</v>
      </c>
      <c r="C11" s="205">
        <v>222570729.18966401</v>
      </c>
      <c r="D11" s="205">
        <v>59306658.328172997</v>
      </c>
      <c r="E11" s="205">
        <v>26756757</v>
      </c>
      <c r="F11" s="205">
        <v>308634144.51783699</v>
      </c>
      <c r="H11" s="116"/>
      <c r="I11" s="116"/>
      <c r="J11" s="116"/>
      <c r="M11" s="11">
        <f>C17</f>
        <v>220179527.69999799</v>
      </c>
      <c r="N11" s="11">
        <f>D17</f>
        <v>19090832.32</v>
      </c>
    </row>
    <row r="12" spans="2:14" x14ac:dyDescent="0.25">
      <c r="B12" s="74" t="s">
        <v>70</v>
      </c>
      <c r="C12" s="205">
        <v>184503142.497931</v>
      </c>
      <c r="D12" s="205">
        <v>34410750.382271998</v>
      </c>
      <c r="E12" s="205">
        <v>33191800.960000001</v>
      </c>
      <c r="F12" s="205">
        <v>252105693.84020299</v>
      </c>
      <c r="H12" s="116"/>
      <c r="I12" s="116"/>
      <c r="J12" s="116"/>
      <c r="M12" s="11">
        <f>C16</f>
        <v>269419401.431153</v>
      </c>
      <c r="N12" s="11">
        <f>D16</f>
        <v>51766419.171329997</v>
      </c>
    </row>
    <row r="13" spans="2:14" x14ac:dyDescent="0.25">
      <c r="B13" s="74" t="s">
        <v>115</v>
      </c>
      <c r="C13" s="205">
        <v>156094102.57563901</v>
      </c>
      <c r="D13" s="205">
        <v>17882981.699885</v>
      </c>
      <c r="E13" s="205">
        <v>26339639.34</v>
      </c>
      <c r="F13" s="205">
        <v>200316723.61552399</v>
      </c>
      <c r="H13" s="116"/>
      <c r="I13" s="116"/>
      <c r="J13" s="116"/>
      <c r="M13" s="11">
        <f>C19</f>
        <v>572685678.40666699</v>
      </c>
      <c r="N13" s="11">
        <f>D19</f>
        <v>45816273.849916004</v>
      </c>
    </row>
    <row r="14" spans="2:14" x14ac:dyDescent="0.25">
      <c r="B14" s="74" t="s">
        <v>116</v>
      </c>
      <c r="C14" s="205">
        <v>410992483.28824902</v>
      </c>
      <c r="D14" s="205">
        <v>19299582.641127001</v>
      </c>
      <c r="E14" s="205">
        <v>123071170.04000001</v>
      </c>
      <c r="F14" s="205">
        <v>553363235.96937597</v>
      </c>
      <c r="H14" s="116"/>
      <c r="I14" s="116"/>
      <c r="J14" s="116"/>
      <c r="M14" s="11">
        <f>C25</f>
        <v>266657225.53848201</v>
      </c>
      <c r="N14" s="11">
        <f>D25</f>
        <v>42467131.579859003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222570729.18966401</v>
      </c>
      <c r="N15" s="11">
        <f>D11</f>
        <v>59306658.328172997</v>
      </c>
    </row>
    <row r="16" spans="2:14" x14ac:dyDescent="0.25">
      <c r="B16" s="74" t="s">
        <v>74</v>
      </c>
      <c r="C16" s="205">
        <v>269419401.431153</v>
      </c>
      <c r="D16" s="205">
        <v>51766419.171329997</v>
      </c>
      <c r="E16" s="205">
        <v>10797297.199999999</v>
      </c>
      <c r="F16" s="205">
        <v>331983117.80248302</v>
      </c>
      <c r="H16" s="116"/>
      <c r="I16" s="116"/>
      <c r="J16" s="116"/>
      <c r="M16" s="11">
        <f>C26</f>
        <v>270593460.01106203</v>
      </c>
      <c r="N16" s="11">
        <f>D26</f>
        <v>35579977.479971997</v>
      </c>
    </row>
    <row r="17" spans="2:14" x14ac:dyDescent="0.25">
      <c r="B17" s="74" t="s">
        <v>118</v>
      </c>
      <c r="C17" s="205">
        <v>220179527.69999799</v>
      </c>
      <c r="D17" s="205">
        <v>19090832.32</v>
      </c>
      <c r="E17" s="205" t="s">
        <v>169</v>
      </c>
      <c r="F17" s="205">
        <v>239270360.01999801</v>
      </c>
      <c r="H17" s="116"/>
      <c r="I17" s="116"/>
      <c r="J17" s="116"/>
      <c r="M17" s="11">
        <f>C10</f>
        <v>178327048.7886</v>
      </c>
      <c r="N17" s="11">
        <f>D10</f>
        <v>18591862.899342</v>
      </c>
    </row>
    <row r="18" spans="2:14" x14ac:dyDescent="0.25">
      <c r="B18" s="74" t="s">
        <v>119</v>
      </c>
      <c r="C18" s="205">
        <v>774715655.04786694</v>
      </c>
      <c r="D18" s="205">
        <v>7419438.6219769996</v>
      </c>
      <c r="E18" s="205">
        <v>8112162.0800000001</v>
      </c>
      <c r="F18" s="205">
        <v>790247255.74984396</v>
      </c>
      <c r="H18" s="116"/>
      <c r="I18" s="116"/>
      <c r="J18" s="116"/>
      <c r="M18" s="11">
        <f>C27</f>
        <v>486173081.16347802</v>
      </c>
      <c r="N18" s="11">
        <f>D27</f>
        <v>148831502.51741099</v>
      </c>
    </row>
    <row r="19" spans="2:14" x14ac:dyDescent="0.25">
      <c r="B19" s="74" t="s">
        <v>121</v>
      </c>
      <c r="C19" s="205">
        <v>572685678.40666699</v>
      </c>
      <c r="D19" s="205">
        <v>45816273.849916004</v>
      </c>
      <c r="E19" s="205">
        <v>488438129.73994303</v>
      </c>
      <c r="F19" s="205">
        <v>1106940081.996526</v>
      </c>
      <c r="H19" s="116"/>
      <c r="I19" s="116"/>
      <c r="J19" s="116"/>
      <c r="M19" s="11">
        <f>C20+C21</f>
        <v>156825830.31347799</v>
      </c>
      <c r="N19" s="11">
        <f>D20+D21</f>
        <v>89668238.982917994</v>
      </c>
    </row>
    <row r="20" spans="2:14" x14ac:dyDescent="0.25">
      <c r="B20" s="74" t="s">
        <v>123</v>
      </c>
      <c r="C20" s="205">
        <v>118290806.31347799</v>
      </c>
      <c r="D20" s="205">
        <v>20733574.809856001</v>
      </c>
      <c r="E20" s="205">
        <v>1027027.04</v>
      </c>
      <c r="F20" s="205">
        <v>140051408.16333401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5">
        <v>38535024</v>
      </c>
      <c r="D21" s="205">
        <v>68934664.173061997</v>
      </c>
      <c r="E21" s="205">
        <v>34962162.840000004</v>
      </c>
      <c r="F21" s="205">
        <v>142431851.013062</v>
      </c>
      <c r="H21" s="116"/>
      <c r="I21" s="116"/>
      <c r="J21" s="116"/>
      <c r="M21" s="14">
        <f>IFERROR(C34,0)+IFERROR(C35,0)+M20</f>
        <v>480244808.89564198</v>
      </c>
      <c r="N21" s="10" t="s">
        <v>122</v>
      </c>
    </row>
    <row r="22" spans="2:14" x14ac:dyDescent="0.25">
      <c r="B22" s="74" t="s">
        <v>173</v>
      </c>
      <c r="C22" s="205">
        <v>120464485.8</v>
      </c>
      <c r="D22" s="205" t="s">
        <v>169</v>
      </c>
      <c r="E22" s="205">
        <v>6054053.8799999999</v>
      </c>
      <c r="F22" s="205">
        <v>126518539.68000001</v>
      </c>
      <c r="H22" s="116"/>
      <c r="I22" s="116"/>
      <c r="J22" s="116"/>
    </row>
    <row r="23" spans="2:14" x14ac:dyDescent="0.25">
      <c r="B23" s="74" t="s">
        <v>174</v>
      </c>
      <c r="C23" s="205">
        <v>156137878.04997501</v>
      </c>
      <c r="D23" s="205" t="s">
        <v>169</v>
      </c>
      <c r="E23" s="205">
        <v>7297297.0999999996</v>
      </c>
      <c r="F23" s="205">
        <v>163435175.149975</v>
      </c>
      <c r="H23" s="116"/>
      <c r="I23" s="116"/>
      <c r="J23" s="116"/>
    </row>
    <row r="24" spans="2:14" x14ac:dyDescent="0.25">
      <c r="B24" s="74" t="s">
        <v>125</v>
      </c>
      <c r="C24" s="205">
        <v>193728052.55777201</v>
      </c>
      <c r="D24" s="205">
        <v>29732159.813473001</v>
      </c>
      <c r="E24" s="205">
        <v>83676034.900000006</v>
      </c>
      <c r="F24" s="205">
        <v>307136247.271245</v>
      </c>
      <c r="H24" s="116"/>
      <c r="I24" s="116"/>
      <c r="J24" s="116"/>
    </row>
    <row r="25" spans="2:14" x14ac:dyDescent="0.25">
      <c r="B25" s="74" t="s">
        <v>126</v>
      </c>
      <c r="C25" s="205">
        <v>266657225.53848201</v>
      </c>
      <c r="D25" s="205">
        <v>42467131.579859003</v>
      </c>
      <c r="E25" s="205">
        <v>99733332.219999999</v>
      </c>
      <c r="F25" s="205">
        <v>408857689.338341</v>
      </c>
      <c r="H25" s="116"/>
      <c r="I25" s="116"/>
      <c r="J25" s="116"/>
    </row>
    <row r="26" spans="2:14" x14ac:dyDescent="0.25">
      <c r="B26" s="74" t="s">
        <v>127</v>
      </c>
      <c r="C26" s="205">
        <v>270593460.01106203</v>
      </c>
      <c r="D26" s="205">
        <v>35579977.479971997</v>
      </c>
      <c r="E26" s="205">
        <v>257587925.58995101</v>
      </c>
      <c r="F26" s="205">
        <v>563761363.08098495</v>
      </c>
      <c r="H26" s="116"/>
      <c r="I26" s="116"/>
      <c r="J26" s="116"/>
    </row>
    <row r="27" spans="2:14" x14ac:dyDescent="0.25">
      <c r="B27" s="74" t="s">
        <v>128</v>
      </c>
      <c r="C27" s="205">
        <v>486173081.16347802</v>
      </c>
      <c r="D27" s="205">
        <v>148831502.51741099</v>
      </c>
      <c r="E27" s="205">
        <v>12491351.439999999</v>
      </c>
      <c r="F27" s="205">
        <v>647495935.12088895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5">
        <v>186126288.68503001</v>
      </c>
      <c r="G32" s="116"/>
      <c r="H32" s="116"/>
      <c r="I32" s="116"/>
    </row>
    <row r="33" spans="2:14" x14ac:dyDescent="0.25">
      <c r="B33" s="84" t="s">
        <v>133</v>
      </c>
      <c r="C33" s="205">
        <v>245411419.23768699</v>
      </c>
      <c r="G33" s="116"/>
      <c r="H33" s="116"/>
      <c r="I33" s="116"/>
    </row>
    <row r="34" spans="2:14" x14ac:dyDescent="0.25">
      <c r="B34" s="84" t="s">
        <v>134</v>
      </c>
      <c r="C34" s="205">
        <v>213668249.15867499</v>
      </c>
      <c r="G34" s="116"/>
      <c r="H34" s="116"/>
      <c r="I34" s="116"/>
    </row>
    <row r="35" spans="2:14" x14ac:dyDescent="0.25">
      <c r="B35" s="84" t="s">
        <v>135</v>
      </c>
      <c r="C35" s="205">
        <v>266576559.736967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45" t="s">
        <v>184</v>
      </c>
      <c r="C41" s="246"/>
      <c r="D41" s="247"/>
      <c r="E41" s="67" t="s">
        <v>138</v>
      </c>
      <c r="F41" s="73">
        <f ca="1">IF(MONTH(TODAY())=5,DAY(TODAY())/DAY(EOMONTH(TODAY(),0)),IF(MONTH(TODAY())&gt;5,1,0))</f>
        <v>0.64516129032258063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3865352127.3121481</v>
      </c>
      <c r="F43" s="44">
        <f>IFERROR(E43/D43,0)</f>
        <v>0.56516950685530909</v>
      </c>
      <c r="G43" s="118">
        <f>D43-E43</f>
        <v>2973927204.6878519</v>
      </c>
      <c r="H43" s="118">
        <f ca="1">IFERROR(G43/C3,0)</f>
        <v>297392720.46878517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612444371.66567802</v>
      </c>
      <c r="F44" s="44">
        <f>IFERROR(E44/D44,0)</f>
        <v>0.41514198780502926</v>
      </c>
      <c r="G44" s="118">
        <f>D44-E44</f>
        <v>862820452.55468369</v>
      </c>
      <c r="H44" s="118">
        <f ca="1">IFERROR(G44/C3,0)</f>
        <v>86282045.255468369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911782516.8183589</v>
      </c>
      <c r="F45" s="44">
        <f>IFERROR(E45/D45,0)</f>
        <v>0.5113816025114899</v>
      </c>
      <c r="G45" s="118">
        <f>D45-E45</f>
        <v>871196206.58589697</v>
      </c>
      <c r="H45" s="118">
        <f ca="1">IFERROR(G45/C3,0)</f>
        <v>87119620.658589691</v>
      </c>
      <c r="I45" s="116"/>
    </row>
    <row r="46" spans="2:14" ht="18.75" customHeight="1" x14ac:dyDescent="0.25">
      <c r="B46" s="221" t="s">
        <v>146</v>
      </c>
      <c r="C46" s="222"/>
      <c r="D46" s="47">
        <f>D43+D44+D45</f>
        <v>10097522879.624619</v>
      </c>
      <c r="E46" s="47">
        <f>E43+E44+E45</f>
        <v>5389579015.7961845</v>
      </c>
      <c r="F46" s="43">
        <f>IFERROR(E46/D46,0)</f>
        <v>0.53375259259591257</v>
      </c>
      <c r="G46" s="119">
        <f>G43+G44+G45</f>
        <v>4707943863.8284321</v>
      </c>
      <c r="H46" s="119">
        <f ca="1">IFERROR(G46/C3,0)</f>
        <v>470794386.3828432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20.100000000000001" customHeight="1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22.5" customHeight="1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193728052.55777201</v>
      </c>
      <c r="H51" s="122">
        <f>N8</f>
        <v>29732159.813473001</v>
      </c>
      <c r="I51" s="122">
        <f t="shared" ref="I51:I64" si="1">G51+H51</f>
        <v>223460212.37124503</v>
      </c>
      <c r="J51" s="61">
        <f t="shared" ref="J51:J64" si="2">IFERROR(I51/F51,0)</f>
        <v>0.46078652413371146</v>
      </c>
      <c r="K51" s="51">
        <f t="shared" ref="K51:M64" si="3">D51-G51</f>
        <v>222955425.44222799</v>
      </c>
      <c r="L51" s="51">
        <f t="shared" si="3"/>
        <v>38538241.407181308</v>
      </c>
      <c r="M51" s="51">
        <f t="shared" si="3"/>
        <v>261493666.84940928</v>
      </c>
      <c r="N51" s="51">
        <f ca="1">IFERROR(M51/C3,0)</f>
        <v>26149366.684940927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340597245.07357001</v>
      </c>
      <c r="H52" s="122">
        <f>N9</f>
        <v>52293732.082157001</v>
      </c>
      <c r="I52" s="122">
        <f t="shared" si="1"/>
        <v>392890977.15572703</v>
      </c>
      <c r="J52" s="61">
        <f t="shared" si="2"/>
        <v>0.52614923968748351</v>
      </c>
      <c r="K52" s="54">
        <f t="shared" si="3"/>
        <v>214585125.92642999</v>
      </c>
      <c r="L52" s="54">
        <f t="shared" si="3"/>
        <v>139253051.91784298</v>
      </c>
      <c r="M52" s="54">
        <f t="shared" si="3"/>
        <v>353838177.84427297</v>
      </c>
      <c r="N52" s="54">
        <f ca="1">IFERROR(M52/C3,0)</f>
        <v>35383817.7844273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120464485.8</v>
      </c>
      <c r="H53" s="122">
        <f>IF(D22="",0,D22)</f>
        <v>0</v>
      </c>
      <c r="I53" s="122">
        <f>G53+H53</f>
        <v>120464485.8</v>
      </c>
      <c r="J53" s="61">
        <f>IFERROR(I53/F53,0)</f>
        <v>0.49887296758662331</v>
      </c>
      <c r="K53" s="54">
        <f>D53-G53</f>
        <v>121008782.2</v>
      </c>
      <c r="L53" s="54">
        <f>E53-H53</f>
        <v>0</v>
      </c>
      <c r="M53" s="54">
        <f>F53-I53</f>
        <v>121008782.2</v>
      </c>
      <c r="N53" s="54">
        <f ca="1">IFERROR(M53/C3,0)</f>
        <v>12100878.220000001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410992483.28824902</v>
      </c>
      <c r="H54" s="122">
        <f t="shared" ref="H54:H58" si="4">N10</f>
        <v>19299582.641127001</v>
      </c>
      <c r="I54" s="122">
        <f t="shared" si="1"/>
        <v>430292065.92937601</v>
      </c>
      <c r="J54" s="61">
        <f t="shared" si="2"/>
        <v>0.65434275616933468</v>
      </c>
      <c r="K54" s="54">
        <f>D54-G54</f>
        <v>199719988.71175098</v>
      </c>
      <c r="L54" s="54">
        <f t="shared" si="3"/>
        <v>27582244.176207889</v>
      </c>
      <c r="M54" s="54">
        <f t="shared" si="3"/>
        <v>227302232.88795888</v>
      </c>
      <c r="N54" s="54">
        <f ca="1">IFERROR(M54/C3,0)</f>
        <v>22730223.288795888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220179527.69999799</v>
      </c>
      <c r="H55" s="122">
        <f t="shared" si="4"/>
        <v>19090832.32</v>
      </c>
      <c r="I55" s="122">
        <f t="shared" si="1"/>
        <v>239270360.01999798</v>
      </c>
      <c r="J55" s="61">
        <f t="shared" si="2"/>
        <v>0.49037584374656462</v>
      </c>
      <c r="K55" s="54">
        <f t="shared" si="3"/>
        <v>184883756.30000201</v>
      </c>
      <c r="L55" s="54">
        <f t="shared" si="3"/>
        <v>63778482.871524148</v>
      </c>
      <c r="M55" s="54">
        <f t="shared" si="3"/>
        <v>248662239.17152616</v>
      </c>
      <c r="N55" s="54">
        <f ca="1">IFERROR(M55/C3,0)</f>
        <v>24866223.917152617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269419401.431153</v>
      </c>
      <c r="H56" s="122">
        <f t="shared" si="4"/>
        <v>51766419.171329997</v>
      </c>
      <c r="I56" s="122">
        <f t="shared" si="1"/>
        <v>321185820.60248297</v>
      </c>
      <c r="J56" s="61">
        <f t="shared" si="2"/>
        <v>0.5785482507315346</v>
      </c>
      <c r="K56" s="54">
        <f t="shared" si="3"/>
        <v>204499430.568847</v>
      </c>
      <c r="L56" s="54">
        <f t="shared" si="3"/>
        <v>29472974.951323606</v>
      </c>
      <c r="M56" s="54">
        <f t="shared" si="3"/>
        <v>233972405.52017063</v>
      </c>
      <c r="N56" s="54">
        <f ca="1">IFERROR(M56/C3,0)</f>
        <v>23397240.552017063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572685678.40666699</v>
      </c>
      <c r="H57" s="122">
        <f t="shared" si="4"/>
        <v>45816273.849916004</v>
      </c>
      <c r="I57" s="122">
        <f t="shared" si="1"/>
        <v>618501952.25658298</v>
      </c>
      <c r="J57" s="61">
        <f t="shared" si="2"/>
        <v>0.58698835463432897</v>
      </c>
      <c r="K57" s="54">
        <f t="shared" si="3"/>
        <v>389072666.59333301</v>
      </c>
      <c r="L57" s="54">
        <f t="shared" si="3"/>
        <v>46112302.489240386</v>
      </c>
      <c r="M57" s="54">
        <f t="shared" si="3"/>
        <v>435184969.08257341</v>
      </c>
      <c r="N57" s="54">
        <f ca="1">IFERROR(M57/C3,0)</f>
        <v>43518496.908257343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266657225.53848201</v>
      </c>
      <c r="H58" s="122">
        <f t="shared" si="4"/>
        <v>42467131.579859003</v>
      </c>
      <c r="I58" s="122">
        <f>G58+H58</f>
        <v>309124357.11834103</v>
      </c>
      <c r="J58" s="61">
        <f>IFERROR(I58/F58,0)</f>
        <v>0.54321119024714082</v>
      </c>
      <c r="K58" s="54">
        <f t="shared" si="3"/>
        <v>238629833.46151799</v>
      </c>
      <c r="L58" s="54">
        <f t="shared" si="3"/>
        <v>21314272.420140997</v>
      </c>
      <c r="M58" s="54">
        <f t="shared" si="3"/>
        <v>259944105.88165897</v>
      </c>
      <c r="N58" s="54">
        <f ca="1">IFERROR(M58/C3,0)</f>
        <v>25994410.588165898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156137878.04997501</v>
      </c>
      <c r="H59" s="122">
        <f>IF(D23="",0,D23)</f>
        <v>0</v>
      </c>
      <c r="I59" s="122">
        <f>G59+H59</f>
        <v>156137878.04997501</v>
      </c>
      <c r="J59" s="61">
        <f>IFERROR(I59/F59,0)</f>
        <v>0.38635207100682167</v>
      </c>
      <c r="K59" s="54">
        <f>D59-G59</f>
        <v>247995785.95002499</v>
      </c>
      <c r="L59" s="54">
        <f>E59-H59</f>
        <v>0</v>
      </c>
      <c r="M59" s="54">
        <f>F59-I59</f>
        <v>247995785.95002499</v>
      </c>
      <c r="N59" s="54">
        <f ca="1">IFERROR(M59/C3,0)</f>
        <v>24799578.595002498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222570729.18966401</v>
      </c>
      <c r="H60" s="122">
        <f t="shared" ref="H60:H64" si="5">N15</f>
        <v>59306658.328172997</v>
      </c>
      <c r="I60" s="122">
        <f t="shared" si="1"/>
        <v>281877387.51783699</v>
      </c>
      <c r="J60" s="61">
        <f t="shared" si="2"/>
        <v>0.51960718292280128</v>
      </c>
      <c r="K60" s="54">
        <f t="shared" si="3"/>
        <v>181446579.81033599</v>
      </c>
      <c r="L60" s="54">
        <f t="shared" si="3"/>
        <v>79157731.889822409</v>
      </c>
      <c r="M60" s="54">
        <f t="shared" si="3"/>
        <v>260604311.70015842</v>
      </c>
      <c r="N60" s="54">
        <f ca="1">IFERROR(M60/C3,0)</f>
        <v>26060431.170015842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270593460.01106203</v>
      </c>
      <c r="H61" s="122">
        <f t="shared" si="5"/>
        <v>35579977.479971997</v>
      </c>
      <c r="I61" s="122">
        <f t="shared" si="1"/>
        <v>306173437.49103403</v>
      </c>
      <c r="J61" s="61">
        <f t="shared" si="2"/>
        <v>0.44349103640793724</v>
      </c>
      <c r="K61" s="54">
        <f t="shared" si="3"/>
        <v>361036135.98893797</v>
      </c>
      <c r="L61" s="54">
        <f t="shared" si="3"/>
        <v>23161623.13065327</v>
      </c>
      <c r="M61" s="54">
        <f t="shared" si="3"/>
        <v>384197759.11959124</v>
      </c>
      <c r="N61" s="54">
        <f ca="1">IFERROR(M61/C3,0)</f>
        <v>38419775.911959127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178327048.7886</v>
      </c>
      <c r="H62" s="122">
        <f t="shared" si="5"/>
        <v>18591862.899342</v>
      </c>
      <c r="I62" s="122">
        <f t="shared" si="1"/>
        <v>196918911.687942</v>
      </c>
      <c r="J62" s="61">
        <f t="shared" si="2"/>
        <v>0.43729907360144998</v>
      </c>
      <c r="K62" s="54">
        <f t="shared" si="3"/>
        <v>208215974.2114</v>
      </c>
      <c r="L62" s="54">
        <f t="shared" si="3"/>
        <v>45172291.900471807</v>
      </c>
      <c r="M62" s="54">
        <f t="shared" si="3"/>
        <v>253388266.11187181</v>
      </c>
      <c r="N62" s="54">
        <f ca="1">IFERROR(M62/C3,0)</f>
        <v>25338826.611187182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486173081.16347802</v>
      </c>
      <c r="H63" s="122">
        <f t="shared" si="5"/>
        <v>148831502.51741099</v>
      </c>
      <c r="I63" s="122">
        <f t="shared" si="1"/>
        <v>635004583.68088901</v>
      </c>
      <c r="J63" s="61">
        <f t="shared" si="2"/>
        <v>0.69539407448161628</v>
      </c>
      <c r="K63" s="54">
        <f t="shared" si="3"/>
        <v>97177860.836521983</v>
      </c>
      <c r="L63" s="54">
        <f t="shared" si="3"/>
        <v>180975442.47530639</v>
      </c>
      <c r="M63" s="54">
        <f t="shared" si="3"/>
        <v>278153303.31182837</v>
      </c>
      <c r="N63" s="54">
        <f ca="1">IFERROR(M63/C3,0)</f>
        <v>27815330.331182837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156825830.31347799</v>
      </c>
      <c r="H64" s="122">
        <f t="shared" si="5"/>
        <v>89668238.982917994</v>
      </c>
      <c r="I64" s="122">
        <f t="shared" si="1"/>
        <v>246494069.29639599</v>
      </c>
      <c r="J64" s="61">
        <f t="shared" si="2"/>
        <v>0.47632098071062434</v>
      </c>
      <c r="K64" s="54">
        <f t="shared" si="3"/>
        <v>102699858.68652201</v>
      </c>
      <c r="L64" s="54">
        <f t="shared" si="3"/>
        <v>168301792.92496839</v>
      </c>
      <c r="M64" s="54">
        <f t="shared" si="3"/>
        <v>271001651.61149037</v>
      </c>
      <c r="N64" s="54">
        <f ca="1">IFERROR(M64/C3,0)</f>
        <v>27100165.161149036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3865352127.3121481</v>
      </c>
      <c r="H65" s="152">
        <f>SUM(H51:H64)</f>
        <v>612444371.66567802</v>
      </c>
      <c r="I65" s="152">
        <f>SUM(I51:I64)</f>
        <v>4477796498.9778261</v>
      </c>
      <c r="J65" s="153">
        <f>IFERROR(I65/F65,0)</f>
        <v>0.53854984889674928</v>
      </c>
      <c r="K65" s="154">
        <f>SUM(K51:K64)</f>
        <v>2973927204.6878519</v>
      </c>
      <c r="L65" s="154">
        <f>SUM(L51:L64)</f>
        <v>862820452.55468357</v>
      </c>
      <c r="M65" s="154">
        <f>SUM(M51:M64)</f>
        <v>3836747657.2425356</v>
      </c>
      <c r="N65" s="154">
        <f ca="1">IFERROR(M65/C3,0)</f>
        <v>383674765.72425354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3" t="s">
        <v>41</v>
      </c>
      <c r="C68" s="223" t="s">
        <v>42</v>
      </c>
      <c r="D68" s="134" t="s">
        <v>139</v>
      </c>
    </row>
    <row r="69" spans="2:14" ht="18" customHeight="1" x14ac:dyDescent="0.25">
      <c r="B69" s="223"/>
      <c r="C69" s="223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83676034.900000006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59531440.299999997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6054053.8799999999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123071170.04000001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10797297.199999999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488438129.73994303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99733332.219999999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7297297.0999999996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26756757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257587925.58995101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108315546.639999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12491351.439999999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35989189.880000003</v>
      </c>
    </row>
    <row r="84" spans="2:9" ht="20.100000000000001" customHeight="1" x14ac:dyDescent="0.25">
      <c r="B84" s="57" t="s">
        <v>152</v>
      </c>
      <c r="C84" s="58"/>
      <c r="D84" s="129">
        <f>SUM(D70:D83)</f>
        <v>1319739525.929893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186126288.68503001</v>
      </c>
      <c r="F89" s="61">
        <f t="shared" ref="F89:F94" si="7">IFERROR(E89/D89,0)</f>
        <v>0.66936343821042577</v>
      </c>
      <c r="G89" s="125">
        <f>D89-E89</f>
        <v>91938329.219179541</v>
      </c>
      <c r="H89" s="125">
        <f ca="1">IFERROR(G89/C3,0)</f>
        <v>9193832.9219179545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245411419.23768699</v>
      </c>
      <c r="F90" s="61">
        <f t="shared" si="7"/>
        <v>0.58764491511486683</v>
      </c>
      <c r="G90" s="126">
        <f>D90-E90</f>
        <v>172207133.9488346</v>
      </c>
      <c r="H90" s="126">
        <f ca="1">IFERROR(G90/C3,0)</f>
        <v>17220713.394883461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480244808.89564198</v>
      </c>
      <c r="F91" s="61">
        <f t="shared" si="7"/>
        <v>0.44168745827552325</v>
      </c>
      <c r="G91" s="125">
        <f>D91-E91</f>
        <v>607050743.41788268</v>
      </c>
      <c r="H91" s="125">
        <f ca="1">IFERROR(G91/C3,0)</f>
        <v>60705074.34178827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911782516.8183589</v>
      </c>
      <c r="F94" s="43">
        <f t="shared" si="7"/>
        <v>0.5113816025114899</v>
      </c>
      <c r="G94" s="119">
        <f>SUM(G89:G93)</f>
        <v>871196206.58589685</v>
      </c>
      <c r="H94" s="119">
        <f ca="1">IFERROR(G94/C3,0)</f>
        <v>87119620.658589691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160</v>
      </c>
      <c r="C41" s="225"/>
      <c r="D41" s="226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179</v>
      </c>
      <c r="C41" s="225"/>
      <c r="D41" s="226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163</v>
      </c>
      <c r="C41" s="225"/>
      <c r="D41" s="226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165</v>
      </c>
      <c r="C41" s="225"/>
      <c r="D41" s="226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167</v>
      </c>
      <c r="C41" s="225"/>
      <c r="D41" s="226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180</v>
      </c>
      <c r="C41" s="225"/>
      <c r="D41" s="226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182</v>
      </c>
      <c r="C41" s="225"/>
      <c r="D41" s="226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2026-05-20T01:00:20Z</dcterms:modified>
  <dc:language>en-US</dc:language>
</cp:coreProperties>
</file>