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ATA\"/>
    </mc:Choice>
  </mc:AlternateContent>
  <xr:revisionPtr revIDLastSave="0" documentId="13_ncr:1_{4D56B04B-7FBF-4EDC-A4FC-CD5C25219900}" xr6:coauthVersionLast="47" xr6:coauthVersionMax="47" xr10:uidLastSave="{00000000-0000-0000-0000-000000000000}"/>
  <bookViews>
    <workbookView xWindow="-120" yWindow="-120" windowWidth="20730" windowHeight="11160" tabRatio="500" activeTab="6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1" i="7" l="1"/>
  <c r="D82" i="7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F61" i="13" s="1"/>
  <c r="E60" i="13"/>
  <c r="E59" i="13"/>
  <c r="E58" i="13"/>
  <c r="E57" i="13"/>
  <c r="E65" i="13" s="1"/>
  <c r="E56" i="13"/>
  <c r="E55" i="13"/>
  <c r="E54" i="13"/>
  <c r="E53" i="13"/>
  <c r="F53" i="13" s="1"/>
  <c r="E52" i="13"/>
  <c r="E51" i="13"/>
  <c r="D64" i="13"/>
  <c r="D63" i="13"/>
  <c r="F63" i="13" s="1"/>
  <c r="D62" i="13"/>
  <c r="D61" i="13"/>
  <c r="D60" i="13"/>
  <c r="D59" i="13"/>
  <c r="F59" i="13" s="1"/>
  <c r="D58" i="13"/>
  <c r="D57" i="13"/>
  <c r="D56" i="13"/>
  <c r="D55" i="13"/>
  <c r="F55" i="13" s="1"/>
  <c r="D54" i="13"/>
  <c r="D53" i="13"/>
  <c r="D52" i="13"/>
  <c r="D51" i="13"/>
  <c r="D65" i="13" s="1"/>
  <c r="F41" i="13"/>
  <c r="D93" i="12"/>
  <c r="D92" i="12"/>
  <c r="D91" i="12"/>
  <c r="D94" i="12" s="1"/>
  <c r="D90" i="12"/>
  <c r="D89" i="12"/>
  <c r="D45" i="12"/>
  <c r="D44" i="12"/>
  <c r="D46" i="12" s="1"/>
  <c r="D43" i="12"/>
  <c r="E64" i="12"/>
  <c r="E63" i="12"/>
  <c r="E62" i="12"/>
  <c r="E61" i="12"/>
  <c r="E60" i="12"/>
  <c r="E59" i="12"/>
  <c r="E58" i="12"/>
  <c r="F58" i="12" s="1"/>
  <c r="E57" i="12"/>
  <c r="E56" i="12"/>
  <c r="E55" i="12"/>
  <c r="E54" i="12"/>
  <c r="E65" i="12" s="1"/>
  <c r="E53" i="12"/>
  <c r="E52" i="12"/>
  <c r="E51" i="12"/>
  <c r="D64" i="12"/>
  <c r="F64" i="12" s="1"/>
  <c r="D63" i="12"/>
  <c r="D62" i="12"/>
  <c r="D61" i="12"/>
  <c r="D60" i="12"/>
  <c r="F60" i="12" s="1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4" i="11" s="1"/>
  <c r="D91" i="11"/>
  <c r="D90" i="11"/>
  <c r="D89" i="11"/>
  <c r="D45" i="11"/>
  <c r="D44" i="11"/>
  <c r="D43" i="11"/>
  <c r="E64" i="11"/>
  <c r="E63" i="11"/>
  <c r="F63" i="11" s="1"/>
  <c r="E62" i="11"/>
  <c r="E61" i="11"/>
  <c r="E60" i="11"/>
  <c r="E59" i="11"/>
  <c r="F59" i="11" s="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F61" i="11" s="1"/>
  <c r="D60" i="11"/>
  <c r="D59" i="11"/>
  <c r="D58" i="11"/>
  <c r="D57" i="11"/>
  <c r="F57" i="11" s="1"/>
  <c r="D56" i="11"/>
  <c r="D55" i="11"/>
  <c r="D54" i="11"/>
  <c r="D53" i="11"/>
  <c r="F53" i="11" s="1"/>
  <c r="D52" i="11"/>
  <c r="D51" i="11"/>
  <c r="F41" i="11"/>
  <c r="D93" i="10"/>
  <c r="D92" i="10"/>
  <c r="D91" i="10"/>
  <c r="D90" i="10"/>
  <c r="D89" i="10"/>
  <c r="D94" i="10" s="1"/>
  <c r="D45" i="10"/>
  <c r="D44" i="10"/>
  <c r="D43" i="10"/>
  <c r="E64" i="10"/>
  <c r="F64" i="10" s="1"/>
  <c r="E63" i="10"/>
  <c r="E62" i="10"/>
  <c r="E61" i="10"/>
  <c r="E60" i="10"/>
  <c r="F60" i="10" s="1"/>
  <c r="E59" i="10"/>
  <c r="E58" i="10"/>
  <c r="E57" i="10"/>
  <c r="F57" i="10" s="1"/>
  <c r="E56" i="10"/>
  <c r="F56" i="10" s="1"/>
  <c r="E55" i="10"/>
  <c r="E54" i="10"/>
  <c r="E53" i="10"/>
  <c r="E52" i="10"/>
  <c r="E51" i="10"/>
  <c r="D64" i="10"/>
  <c r="D63" i="10"/>
  <c r="F63" i="10" s="1"/>
  <c r="D62" i="10"/>
  <c r="F62" i="10" s="1"/>
  <c r="D61" i="10"/>
  <c r="D60" i="10"/>
  <c r="D59" i="10"/>
  <c r="F59" i="10" s="1"/>
  <c r="D58" i="10"/>
  <c r="F58" i="10" s="1"/>
  <c r="D57" i="10"/>
  <c r="D56" i="10"/>
  <c r="D55" i="10"/>
  <c r="D54" i="10"/>
  <c r="D53" i="10"/>
  <c r="D52" i="10"/>
  <c r="D51" i="10"/>
  <c r="F41" i="10"/>
  <c r="D93" i="9"/>
  <c r="D92" i="9"/>
  <c r="D91" i="9"/>
  <c r="D90" i="9"/>
  <c r="D94" i="9" s="1"/>
  <c r="D89" i="9"/>
  <c r="D45" i="9"/>
  <c r="D44" i="9"/>
  <c r="D43" i="9"/>
  <c r="E64" i="9"/>
  <c r="E63" i="9"/>
  <c r="E62" i="9"/>
  <c r="F62" i="9" s="1"/>
  <c r="E61" i="9"/>
  <c r="F61" i="9" s="1"/>
  <c r="E60" i="9"/>
  <c r="E59" i="9"/>
  <c r="E58" i="9"/>
  <c r="F58" i="9" s="1"/>
  <c r="E57" i="9"/>
  <c r="E65" i="9" s="1"/>
  <c r="E56" i="9"/>
  <c r="E55" i="9"/>
  <c r="E54" i="9"/>
  <c r="F54" i="9" s="1"/>
  <c r="E53" i="9"/>
  <c r="E52" i="9"/>
  <c r="E51" i="9"/>
  <c r="D64" i="9"/>
  <c r="F64" i="9" s="1"/>
  <c r="D63" i="9"/>
  <c r="F63" i="9" s="1"/>
  <c r="D62" i="9"/>
  <c r="D61" i="9"/>
  <c r="D60" i="9"/>
  <c r="F60" i="9" s="1"/>
  <c r="D59" i="9"/>
  <c r="F59" i="9" s="1"/>
  <c r="D58" i="9"/>
  <c r="D57" i="9"/>
  <c r="D56" i="9"/>
  <c r="D55" i="9"/>
  <c r="D54" i="9"/>
  <c r="D53" i="9"/>
  <c r="D52" i="9"/>
  <c r="F52" i="9" s="1"/>
  <c r="D51" i="9"/>
  <c r="F51" i="9" s="1"/>
  <c r="F41" i="9"/>
  <c r="D93" i="8"/>
  <c r="D92" i="8"/>
  <c r="D91" i="8"/>
  <c r="D94" i="8" s="1"/>
  <c r="D90" i="8"/>
  <c r="D89" i="8"/>
  <c r="D45" i="8"/>
  <c r="D44" i="8"/>
  <c r="D43" i="8"/>
  <c r="E64" i="8"/>
  <c r="E63" i="8"/>
  <c r="F63" i="8" s="1"/>
  <c r="E62" i="8"/>
  <c r="E61" i="8"/>
  <c r="E60" i="8"/>
  <c r="E59" i="8"/>
  <c r="E58" i="8"/>
  <c r="F58" i="8" s="1"/>
  <c r="E57" i="8"/>
  <c r="E56" i="8"/>
  <c r="E55" i="8"/>
  <c r="E54" i="8"/>
  <c r="E53" i="8"/>
  <c r="E52" i="8"/>
  <c r="E51" i="8"/>
  <c r="F51" i="8" s="1"/>
  <c r="D64" i="8"/>
  <c r="D63" i="8"/>
  <c r="D62" i="8"/>
  <c r="D61" i="8"/>
  <c r="D60" i="8"/>
  <c r="F60" i="8" s="1"/>
  <c r="D59" i="8"/>
  <c r="D58" i="8"/>
  <c r="D57" i="8"/>
  <c r="D56" i="8"/>
  <c r="F56" i="8" s="1"/>
  <c r="D55" i="8"/>
  <c r="D54" i="8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D59" i="7"/>
  <c r="D58" i="7"/>
  <c r="D57" i="7"/>
  <c r="D56" i="7"/>
  <c r="D55" i="7"/>
  <c r="D54" i="7"/>
  <c r="D53" i="7"/>
  <c r="F53" i="7" s="1"/>
  <c r="D52" i="7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F64" i="13"/>
  <c r="F62" i="13"/>
  <c r="F60" i="13"/>
  <c r="H59" i="13"/>
  <c r="L59" i="13" s="1"/>
  <c r="G59" i="13"/>
  <c r="F58" i="13"/>
  <c r="F57" i="13"/>
  <c r="F56" i="13"/>
  <c r="F54" i="13"/>
  <c r="H53" i="13"/>
  <c r="G53" i="13"/>
  <c r="F52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3" i="12"/>
  <c r="F62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M20" i="12"/>
  <c r="M21" i="12" s="1"/>
  <c r="N19" i="12"/>
  <c r="H64" i="12" s="1"/>
  <c r="L64" i="12" s="1"/>
  <c r="M19" i="12"/>
  <c r="G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E93" i="11"/>
  <c r="E92" i="1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F64" i="11"/>
  <c r="F62" i="11"/>
  <c r="F60" i="11"/>
  <c r="H59" i="11"/>
  <c r="G59" i="11"/>
  <c r="K59" i="11" s="1"/>
  <c r="F58" i="11"/>
  <c r="F56" i="11"/>
  <c r="F54" i="11"/>
  <c r="H53" i="11"/>
  <c r="L53" i="11" s="1"/>
  <c r="G53" i="11"/>
  <c r="F52" i="11"/>
  <c r="M20" i="11"/>
  <c r="M21" i="11" s="1"/>
  <c r="N19" i="11"/>
  <c r="H64" i="11" s="1"/>
  <c r="L64" i="11" s="1"/>
  <c r="M19" i="11"/>
  <c r="G64" i="11" s="1"/>
  <c r="N18" i="11"/>
  <c r="H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5" i="10"/>
  <c r="F54" i="10"/>
  <c r="H53" i="10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5" i="9"/>
  <c r="H59" i="9"/>
  <c r="G59" i="9"/>
  <c r="K59" i="9" s="1"/>
  <c r="F56" i="9"/>
  <c r="F55" i="9"/>
  <c r="H53" i="9"/>
  <c r="G53" i="9"/>
  <c r="F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M14" i="9"/>
  <c r="G58" i="9" s="1"/>
  <c r="K58" i="9" s="1"/>
  <c r="N13" i="9"/>
  <c r="H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G92" i="8" s="1"/>
  <c r="E90" i="8"/>
  <c r="G90" i="8" s="1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F64" i="8"/>
  <c r="F61" i="8"/>
  <c r="H59" i="8"/>
  <c r="G59" i="8"/>
  <c r="K59" i="8" s="1"/>
  <c r="F59" i="8"/>
  <c r="H53" i="8"/>
  <c r="L53" i="8" s="1"/>
  <c r="G53" i="8"/>
  <c r="F53" i="8"/>
  <c r="F52" i="8"/>
  <c r="M20" i="8"/>
  <c r="M21" i="8" s="1"/>
  <c r="E45" i="8" s="1"/>
  <c r="F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M17" i="8"/>
  <c r="G62" i="8" s="1"/>
  <c r="K62" i="8" s="1"/>
  <c r="N16" i="8"/>
  <c r="H61" i="8" s="1"/>
  <c r="L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K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E90" i="7"/>
  <c r="F90" i="7" s="1"/>
  <c r="E89" i="7"/>
  <c r="H59" i="7"/>
  <c r="G59" i="7"/>
  <c r="F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G65" i="3" l="1"/>
  <c r="F92" i="7"/>
  <c r="L57" i="9"/>
  <c r="L64" i="10"/>
  <c r="D65" i="11"/>
  <c r="L53" i="9"/>
  <c r="L63" i="11"/>
  <c r="E65" i="11"/>
  <c r="K64" i="12"/>
  <c r="F54" i="12"/>
  <c r="F54" i="8"/>
  <c r="F62" i="8"/>
  <c r="E65" i="8"/>
  <c r="F93" i="8"/>
  <c r="F57" i="9"/>
  <c r="D46" i="9"/>
  <c r="D65" i="10"/>
  <c r="E65" i="10"/>
  <c r="F55" i="11"/>
  <c r="F65" i="11" s="1"/>
  <c r="D46" i="11"/>
  <c r="L52" i="10"/>
  <c r="L60" i="10"/>
  <c r="L54" i="8"/>
  <c r="L54" i="9"/>
  <c r="L58" i="9"/>
  <c r="L56" i="10"/>
  <c r="L53" i="10"/>
  <c r="G92" i="11"/>
  <c r="H92" i="11" s="1"/>
  <c r="L57" i="13"/>
  <c r="F52" i="7"/>
  <c r="F60" i="7"/>
  <c r="F55" i="8"/>
  <c r="F57" i="8"/>
  <c r="K53" i="7"/>
  <c r="L62" i="8"/>
  <c r="G90" i="9"/>
  <c r="G93" i="10"/>
  <c r="L61" i="13"/>
  <c r="F51" i="13"/>
  <c r="L53" i="13"/>
  <c r="D46" i="8"/>
  <c r="D65" i="8"/>
  <c r="K63" i="8"/>
  <c r="L59" i="9"/>
  <c r="K62" i="10"/>
  <c r="G90" i="11"/>
  <c r="K55" i="13"/>
  <c r="G89" i="13"/>
  <c r="H89" i="13" s="1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H93" i="7" s="1"/>
  <c r="L58" i="8"/>
  <c r="L62" i="10"/>
  <c r="F52" i="10"/>
  <c r="F65" i="10" s="1"/>
  <c r="L62" i="12"/>
  <c r="K58" i="3"/>
  <c r="F54" i="3"/>
  <c r="L61" i="7"/>
  <c r="L64" i="8"/>
  <c r="G93" i="8"/>
  <c r="L62" i="9"/>
  <c r="L54" i="10"/>
  <c r="G89" i="12"/>
  <c r="H89" i="12" s="1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9"/>
  <c r="L53" i="6"/>
  <c r="L59" i="6"/>
  <c r="D84" i="6"/>
  <c r="H92" i="7"/>
  <c r="N62" i="9"/>
  <c r="H92" i="9"/>
  <c r="H90" i="11"/>
  <c r="H89" i="8"/>
  <c r="H93" i="8"/>
  <c r="H90" i="8"/>
  <c r="H45" i="10"/>
  <c r="H90" i="10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H51" i="7"/>
  <c r="I51" i="7" s="1"/>
  <c r="K52" i="8"/>
  <c r="I52" i="8"/>
  <c r="J52" i="8" s="1"/>
  <c r="I61" i="8"/>
  <c r="J61" i="8" s="1"/>
  <c r="K60" i="9"/>
  <c r="I60" i="9"/>
  <c r="J60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H65" i="13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M58" i="3" l="1"/>
  <c r="N58" i="3" s="1"/>
  <c r="M59" i="12"/>
  <c r="N59" i="12" s="1"/>
  <c r="M57" i="11"/>
  <c r="N57" i="11" s="1"/>
  <c r="M64" i="10"/>
  <c r="N64" i="10" s="1"/>
  <c r="J52" i="10"/>
  <c r="M61" i="9"/>
  <c r="N61" i="9" s="1"/>
  <c r="L65" i="13"/>
  <c r="J59" i="14"/>
  <c r="M60" i="13"/>
  <c r="N60" i="13" s="1"/>
  <c r="M59" i="11"/>
  <c r="N59" i="11" s="1"/>
  <c r="F94" i="7"/>
  <c r="L65" i="10"/>
  <c r="M55" i="8"/>
  <c r="N55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N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J51" i="10" l="1"/>
  <c r="I65" i="12"/>
  <c r="J65" i="12" s="1"/>
  <c r="G94" i="11"/>
  <c r="H94" i="11" s="1"/>
  <c r="I65" i="10"/>
  <c r="J65" i="10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G68" i="4" l="1"/>
  <c r="E67" i="5"/>
  <c r="E67" i="4"/>
  <c r="F67" i="4" s="1"/>
  <c r="E43" i="5"/>
  <c r="F43" i="5" s="1"/>
  <c r="E41" i="4"/>
  <c r="F41" i="4" s="1"/>
  <c r="G66" i="4"/>
  <c r="H66" i="4" s="1"/>
  <c r="E70" i="5"/>
  <c r="M54" i="4"/>
  <c r="N54" i="4" s="1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E70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<sst xmlns="http://schemas.openxmlformats.org/spreadsheetml/2006/main" count="1873" uniqueCount="185">
  <si>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</si>
  <si>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</si>
  <si>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</si>
  <si>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</si>
  <si>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</si>
  <si>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</si>
  <si>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</si>
  <si>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</si>
  <si>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</si>
  <si>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</si>
  <si>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</si>
  <si>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</si>
  <si>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</si>
  <si>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</si>
  <si>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</si>
  <si>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</si>
  <si>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</si>
  <si>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</si>
  <si>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</si>
  <si>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</si>
  <si>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</si>
  <si>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</si>
  <si>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</si>
  <si>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</si>
  <si>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</si>
  <si>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</si>
  <si>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</si>
  <si>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</si>
  <si>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</si>
  <si>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</si>
  <si>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</si>
  <si>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</si>
  <si>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</si>
  <si>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</si>
  <si>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</si>
  <si>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</si>
  <si>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</si>
  <si>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</si>
  <si>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</si>
  <si>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</si>
  <si>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</si>
  <si>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</si>
  <si>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</si>
  <si>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</si>
  <si>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</si>
  <si>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</si>
  <si>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</si>
  <si>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</si>
  <si>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</si>
  <si>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</si>
  <si>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</si>
  <si>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</si>
  <si>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</si>
  <si>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</si>
  <si>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</si>
  <si>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</si>
  <si>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</si>
  <si>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</si>
  <si>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</si>
  <si>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</si>
  <si>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</si>
  <si>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</si>
  <si>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</si>
  <si>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</si>
  <si>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</si>
  <si>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</si>
  <si>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</si>
  <si>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</si>
  <si>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</si>
  <si>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</si>
  <si>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</si>
  <si>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</si>
  <si>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</si>
  <si>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</si>
  <si>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</si>
  <si>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</si>
  <si>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</si>
  <si>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</si>
  <si>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</si>
  <si>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</si>
  <si>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</si>
  <si>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</si>
  <si>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</si>
  <si>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</si>
  <si>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</si>
  <si>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</si>
  <si>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</si>
  <si>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</si>
  <si>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</si>
  <si>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</si>
  <si>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</si>
  <si>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</si>
  <si>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</si>
  <si>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</si>
  <si>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</si>
  <si>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</si>
  <si>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</si>
  <si>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</si>
  <si>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</si>
  <si>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</si>
  <si>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</si>
  <si>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</si>
  <si>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</si>
  <si>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</si>
  <si>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</si>
  <si>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</si>
  <si>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</si>
  <si>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</si>
  <si>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</si>
  <si>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</si>
  <si>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</si>
  <si>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</si>
  <si>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</si>
  <si>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</si>
  <si>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</si>
  <si>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</si>
  <si>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</si>
  <si>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</si>
  <si>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</si>
  <si>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</si>
  <si>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</si>
  <si>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</si>
  <si>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</si>
  <si>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</si>
  <si>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</si>
  <si>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</si>
  <si>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</si>
  <si>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</si>
  <si>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</si>
  <si>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</si>
  <si>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</si>
  <si>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</si>
  <si>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</si>
  <si>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</si>
  <si>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</si>
  <si>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</si>
  <si>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</si>
  <si>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</si>
  <si>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</si>
  <si>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</si>
  <si>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</si>
  <si>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</si>
  <si>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</si>
  <si>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</si>
  <si>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</si>
  <si>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</si>
  <si>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</si>
  <si>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</si>
  <si>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</si>
  <si>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</si>
  <si>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</si>
  <si>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</si>
  <si>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</si>
  <si>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</si>
  <si>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</si>
  <si>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</si>
  <si>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</si>
  <si>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</si>
  <si>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</si>
  <si>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</si>
  <si>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</si>
  <si>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</si>
  <si>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</si>
  <si>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</si>
  <si>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</si>
  <si>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</si>
  <si>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</si>
  <si>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</si>
  <si>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</si>
  <si>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</si>
  <si>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</si>
  <si>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</si>
  <si>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</si>
  <si>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</si>
  <si>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</si>
  <si>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</si>
  <si>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</si>
  <si>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</si>
  <si>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</si>
  <si>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</si>
  <si>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</si>
  <si>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</si>
  <si>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</si>
  <si>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</si>
  <si>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15 MEI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</si>
</sst>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_);_(@_)"/>
    <numFmt numFmtId="165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5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164" fontId="12" fillId="2" borderId="0" xfId="0" applyNumberFormat="1" applyFont="1" applyFill="1" applyAlignment="1">
      <alignment horizontal="centerContinuous" vertical="center"/>
    </xf>
    <xf numFmtId="164" fontId="0" fillId="0" borderId="0" xfId="0" applyNumberFormat="1"/>
    <xf numFmtId="164" fontId="18" fillId="17" borderId="1" xfId="0" applyNumberFormat="1" applyFont="1" applyFill="1" applyBorder="1" applyAlignment="1">
      <alignment horizontal="centerContinuous" vertical="center" wrapText="1"/>
    </xf>
    <xf numFmtId="164" fontId="26" fillId="0" borderId="1" xfId="0" applyNumberFormat="1" applyFont="1" applyBorder="1" applyAlignment="1">
      <alignment horizontal="right" vertical="center"/>
    </xf>
    <xf numFmtId="164" fontId="22" fillId="17" borderId="1" xfId="0" applyNumberFormat="1" applyFont="1" applyFill="1" applyBorder="1" applyAlignment="1">
      <alignment horizontal="right" vertical="center"/>
    </xf>
    <xf numFmtId="164" fontId="29" fillId="15" borderId="1" xfId="0" applyNumberFormat="1" applyFont="1" applyFill="1" applyBorder="1" applyAlignment="1">
      <alignment horizontal="centerContinuous" vertical="center" wrapText="1"/>
    </xf>
    <xf numFmtId="164" fontId="29" fillId="22" borderId="1" xfId="0" applyNumberFormat="1" applyFont="1" applyFill="1" applyBorder="1" applyAlignment="1">
      <alignment horizontal="center" vertical="center" wrapText="1"/>
    </xf>
    <xf numFmtId="164" fontId="26" fillId="24" borderId="1" xfId="0" applyNumberFormat="1" applyFont="1" applyFill="1" applyBorder="1" applyAlignment="1">
      <alignment horizontal="right" vertical="center"/>
    </xf>
    <xf numFmtId="164" fontId="22" fillId="16" borderId="1" xfId="0" applyNumberFormat="1" applyFont="1" applyFill="1" applyBorder="1" applyAlignment="1">
      <alignment horizontal="right" vertical="center"/>
    </xf>
    <xf numFmtId="164" fontId="24" fillId="18" borderId="1" xfId="0" applyNumberFormat="1" applyFont="1" applyFill="1" applyBorder="1" applyAlignment="1">
      <alignment horizontal="centerContinuous" vertical="center" wrapText="1"/>
    </xf>
    <xf numFmtId="164" fontId="26" fillId="12" borderId="1" xfId="0" applyNumberFormat="1" applyFont="1" applyFill="1" applyBorder="1" applyAlignment="1">
      <alignment horizontal="right" vertical="center"/>
    </xf>
    <xf numFmtId="164" fontId="26" fillId="10" borderId="1" xfId="0" applyNumberFormat="1" applyFont="1" applyFill="1" applyBorder="1" applyAlignment="1">
      <alignment horizontal="right" vertical="center"/>
    </xf>
    <xf numFmtId="164" fontId="26" fillId="12" borderId="1" xfId="0" applyNumberFormat="1" applyFont="1" applyFill="1" applyBorder="1" applyAlignment="1">
      <alignment horizontal="center" vertical="center"/>
    </xf>
    <xf numFmtId="164" fontId="26" fillId="10" borderId="1" xfId="0" applyNumberFormat="1" applyFont="1" applyFill="1" applyBorder="1" applyAlignment="1">
      <alignment horizontal="center" vertical="center"/>
    </xf>
    <xf numFmtId="164" fontId="22" fillId="16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 wrapText="1"/>
    </xf>
    <xf numFmtId="164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164" fontId="26" fillId="27" borderId="1" xfId="0" applyNumberFormat="1" applyFont="1" applyFill="1" applyBorder="1" applyAlignment="1">
      <alignment horizontal="center" vertical="center"/>
    </xf>
    <xf numFmtId="164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164" fontId="22" fillId="26" borderId="1" xfId="0" applyNumberFormat="1" applyFont="1" applyFill="1" applyBorder="1" applyAlignment="1">
      <alignment horizontal="center" vertical="center"/>
    </xf>
    <xf numFmtId="164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164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164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164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164" fontId="35" fillId="18" borderId="1" xfId="0" applyNumberFormat="1" applyFont="1" applyFill="1" applyBorder="1" applyAlignment="1">
      <alignment horizontal="centerContinuous" vertical="center" wrapText="1"/>
    </xf>
    <xf numFmtId="164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164" fontId="35" fillId="18" borderId="1" xfId="0" applyNumberFormat="1" applyFont="1" applyFill="1" applyBorder="1" applyAlignment="1">
      <alignment horizontal="center" vertical="center" wrapText="1"/>
    </xf>
    <xf numFmtId="164" fontId="38" fillId="12" borderId="1" xfId="0" applyNumberFormat="1" applyFont="1" applyFill="1" applyBorder="1" applyAlignment="1">
      <alignment horizontal="right" vertical="center"/>
    </xf>
    <xf numFmtId="164" fontId="38" fillId="10" borderId="1" xfId="0" applyNumberFormat="1" applyFont="1" applyFill="1" applyBorder="1" applyAlignment="1">
      <alignment horizontal="right" vertical="center"/>
    </xf>
    <xf numFmtId="164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164" fontId="39" fillId="12" borderId="1" xfId="0" applyNumberFormat="1" applyFont="1" applyFill="1" applyBorder="1" applyAlignment="1">
      <alignment horizontal="center" vertical="center"/>
    </xf>
    <xf numFmtId="164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164" fontId="39" fillId="10" borderId="1" xfId="0" applyNumberFormat="1" applyFont="1" applyFill="1" applyBorder="1" applyAlignment="1">
      <alignment horizontal="center" vertical="center"/>
    </xf>
    <xf numFmtId="164" fontId="39" fillId="30" borderId="1" xfId="0" applyNumberFormat="1" applyFont="1" applyFill="1" applyBorder="1" applyAlignment="1">
      <alignment horizontal="center" vertical="center"/>
    </xf>
    <xf numFmtId="164" fontId="34" fillId="26" borderId="1" xfId="0" applyNumberFormat="1" applyFont="1" applyFill="1" applyBorder="1" applyAlignment="1">
      <alignment horizontal="center" vertical="center"/>
    </xf>
    <xf numFmtId="164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164" fontId="39" fillId="27" borderId="1" xfId="0" applyNumberFormat="1" applyFont="1" applyFill="1" applyBorder="1" applyAlignment="1">
      <alignment horizontal="center" vertical="center"/>
    </xf>
    <xf numFmtId="164" fontId="39" fillId="28" borderId="1" xfId="0" applyNumberFormat="1" applyFont="1" applyFill="1" applyBorder="1" applyAlignment="1">
      <alignment horizontal="center" vertical="center"/>
    </xf>
    <xf numFmtId="164" fontId="34" fillId="16" borderId="1" xfId="0" applyNumberFormat="1" applyFont="1" applyFill="1" applyBorder="1" applyAlignment="1">
      <alignment horizontal="center" vertical="center"/>
    </xf>
    <xf numFmtId="164" fontId="39" fillId="12" borderId="1" xfId="0" applyNumberFormat="1" applyFont="1" applyFill="1" applyBorder="1" applyAlignment="1">
      <alignment horizontal="right" vertical="center"/>
    </xf>
    <xf numFmtId="164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164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164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164" fontId="26" fillId="31" borderId="1" xfId="0" applyNumberFormat="1" applyFont="1" applyFill="1" applyBorder="1" applyAlignment="1">
      <alignment horizontal="right" vertical="center"/>
    </xf>
    <xf numFmtId="164" fontId="26" fillId="31" borderId="1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8"/>
  <sheetViews>
    <sheetView showGridLines="0" topLeftCell="A1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5" t="s">
        <v>0</v>
      </c>
      <c r="C1" s="205"/>
    </row>
    <row r="3" spans="2:3" x14ac:dyDescent="0.25">
      <c r="B3" s="206" t="s">
        <v>1</v>
      </c>
      <c r="C3" s="20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7" t="s">
        <v>14</v>
      </c>
      <c r="C11" s="20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29"/>
  <sheetViews>
    <sheetView showGridLines="0" topLeftCell="E4" zoomScale="165" zoomScaleNormal="100" workbookViewId="0">
      <selection activeCell="L19" sqref="L19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3" width="11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6" t="s">
        <v>28</v>
      </c>
      <c r="C3" s="206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176</v>
      </c>
      <c r="C7" s="146" t="s">
        <v>177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176</v>
      </c>
      <c r="C13" s="146" t="s">
        <v>178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8" t="s">
        <v>102</v>
      </c>
      <c r="C29" s="208"/>
      <c r="D29" s="208"/>
      <c r="E29" s="208"/>
      <c r="F29" s="208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0" t="s">
        <v>146</v>
      </c>
      <c r="C44" s="211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2" t="s">
        <v>41</v>
      </c>
      <c r="C47" s="212" t="s">
        <v>42</v>
      </c>
      <c r="D47" s="213" t="s">
        <v>138</v>
      </c>
      <c r="E47" s="214"/>
      <c r="F47" s="215"/>
      <c r="G47" s="101" t="s">
        <v>139</v>
      </c>
      <c r="H47" s="101"/>
      <c r="I47" s="101"/>
      <c r="J47" s="212" t="s">
        <v>140</v>
      </c>
      <c r="K47" s="102" t="s">
        <v>148</v>
      </c>
      <c r="L47" s="102"/>
      <c r="M47" s="102"/>
      <c r="N47" s="209" t="s">
        <v>149</v>
      </c>
    </row>
    <row r="48" spans="2:14" ht="15.75" x14ac:dyDescent="0.25">
      <c r="B48" s="212"/>
      <c r="C48" s="212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2"/>
      <c r="K48" s="104" t="s">
        <v>143</v>
      </c>
      <c r="L48" s="104" t="s">
        <v>111</v>
      </c>
      <c r="M48" s="104" t="s">
        <v>146</v>
      </c>
      <c r="N48" s="209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0" t="s">
        <v>146</v>
      </c>
      <c r="C44" s="211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2" t="s">
        <v>41</v>
      </c>
      <c r="C47" s="212" t="s">
        <v>42</v>
      </c>
      <c r="D47" s="213" t="s">
        <v>138</v>
      </c>
      <c r="E47" s="214"/>
      <c r="F47" s="215"/>
      <c r="G47" s="101" t="s">
        <v>139</v>
      </c>
      <c r="H47" s="101"/>
      <c r="I47" s="101"/>
      <c r="J47" s="212" t="s">
        <v>140</v>
      </c>
      <c r="K47" s="102" t="s">
        <v>148</v>
      </c>
      <c r="L47" s="102"/>
      <c r="M47" s="102"/>
      <c r="N47" s="209" t="s">
        <v>149</v>
      </c>
    </row>
    <row r="48" spans="2:14" ht="15.75" x14ac:dyDescent="0.25">
      <c r="B48" s="212"/>
      <c r="C48" s="212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2"/>
      <c r="K48" s="104" t="s">
        <v>143</v>
      </c>
      <c r="L48" s="104" t="s">
        <v>111</v>
      </c>
      <c r="M48" s="104" t="s">
        <v>146</v>
      </c>
      <c r="N48" s="209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170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169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169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0" t="s">
        <v>146</v>
      </c>
      <c r="C44" s="221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2" t="s">
        <v>41</v>
      </c>
      <c r="C47" s="222" t="s">
        <v>42</v>
      </c>
      <c r="D47" s="217" t="s">
        <v>138</v>
      </c>
      <c r="E47" s="218"/>
      <c r="F47" s="219"/>
      <c r="G47" s="70" t="s">
        <v>139</v>
      </c>
      <c r="H47" s="70"/>
      <c r="I47" s="70"/>
      <c r="J47" s="222" t="s">
        <v>140</v>
      </c>
      <c r="K47" s="35" t="s">
        <v>148</v>
      </c>
      <c r="L47" s="35"/>
      <c r="M47" s="35"/>
      <c r="N47" s="216" t="s">
        <v>149</v>
      </c>
    </row>
    <row r="48" spans="2:17" ht="15.75" x14ac:dyDescent="0.25">
      <c r="B48" s="222"/>
      <c r="C48" s="222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2"/>
      <c r="K48" s="34" t="s">
        <v>143</v>
      </c>
      <c r="L48" s="34" t="s">
        <v>111</v>
      </c>
      <c r="M48" s="34" t="s">
        <v>146</v>
      </c>
      <c r="N48" s="216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R94"/>
  <sheetViews>
    <sheetView showGridLines="0" topLeftCell="A65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169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169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169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169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173</v>
      </c>
      <c r="C22" s="15">
        <v>38884328.600000001</v>
      </c>
      <c r="D22" s="15" t="s">
        <v>169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174</v>
      </c>
      <c r="C23" s="15">
        <v>120550492.72</v>
      </c>
      <c r="D23" s="15" t="s">
        <v>169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169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3" t="s">
        <v>183</v>
      </c>
      <c r="C41" s="224"/>
      <c r="D41" s="225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0" t="s">
        <v>146</v>
      </c>
      <c r="C46" s="221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7" t="s">
        <v>147</v>
      </c>
      <c r="C48" s="228"/>
      <c r="D48" s="228"/>
      <c r="E48" s="228"/>
      <c r="F48" s="228"/>
      <c r="G48" s="228"/>
      <c r="H48" s="228"/>
      <c r="I48" s="228"/>
      <c r="J48" s="229"/>
      <c r="K48" s="234"/>
      <c r="L48" s="235"/>
      <c r="M48" s="235"/>
      <c r="N48" s="236"/>
    </row>
    <row r="49" spans="2:14" s="158" customFormat="1" ht="20.100000000000001" customHeight="1" x14ac:dyDescent="0.25">
      <c r="B49" s="233" t="s">
        <v>41</v>
      </c>
      <c r="C49" s="233" t="s">
        <v>42</v>
      </c>
      <c r="D49" s="230" t="s">
        <v>138</v>
      </c>
      <c r="E49" s="231"/>
      <c r="F49" s="232"/>
      <c r="G49" s="159" t="s">
        <v>139</v>
      </c>
      <c r="H49" s="159"/>
      <c r="I49" s="159"/>
      <c r="J49" s="233" t="s">
        <v>140</v>
      </c>
      <c r="K49" s="160" t="s">
        <v>148</v>
      </c>
      <c r="L49" s="160"/>
      <c r="M49" s="160"/>
      <c r="N49" s="226" t="s">
        <v>149</v>
      </c>
    </row>
    <row r="50" spans="2:14" s="158" customFormat="1" ht="20.100000000000001" customHeight="1" x14ac:dyDescent="0.25">
      <c r="B50" s="233"/>
      <c r="C50" s="233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3"/>
      <c r="K50" s="163" t="s">
        <v>143</v>
      </c>
      <c r="L50" s="163" t="s">
        <v>111</v>
      </c>
      <c r="M50" s="163" t="s">
        <v>146</v>
      </c>
      <c r="N50" s="226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176</v>
      </c>
      <c r="C53" s="188" t="s">
        <v>177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176</v>
      </c>
      <c r="C59" s="188" t="s">
        <v>178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175</v>
      </c>
      <c r="C67" s="136"/>
      <c r="D67" s="137"/>
      <c r="G67"/>
      <c r="H67"/>
      <c r="I67"/>
    </row>
    <row r="68" spans="2:14" ht="20.100000000000001" customHeight="1" x14ac:dyDescent="0.25">
      <c r="B68" s="222" t="s">
        <v>41</v>
      </c>
      <c r="C68" s="222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2"/>
      <c r="C69" s="222"/>
      <c r="D69" s="71" t="s">
        <v>172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176</v>
      </c>
      <c r="C72" s="186" t="s">
        <v>177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176</v>
      </c>
      <c r="C78" s="186" t="s">
        <v>178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7" t="s">
        <v>145</v>
      </c>
      <c r="C87" s="228"/>
      <c r="D87" s="228"/>
      <c r="E87" s="228"/>
      <c r="F87" s="229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94"/>
  <sheetViews>
    <sheetView showGridLines="0" tabSelected="1" topLeftCell="A79" zoomScaleNormal="100" workbookViewId="0">
      <selection activeCell="B87" sqref="B87:F9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14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112604837.314255</v>
      </c>
      <c r="N8" s="11">
        <f>D24</f>
        <v>24457774.658475999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227558165.142396</v>
      </c>
      <c r="N9" s="11">
        <f>D12+D13</f>
        <v>39427622.934717</v>
      </c>
    </row>
    <row r="10" spans="2:14" x14ac:dyDescent="0.25">
      <c r="B10" s="74" t="s">
        <v>113</v>
      </c>
      <c r="C10" s="15">
        <v>108591336.892453</v>
      </c>
      <c r="D10" s="15">
        <v>13237421.249368001</v>
      </c>
      <c r="E10" s="15">
        <v>83152214.019998997</v>
      </c>
      <c r="F10" s="15">
        <v>204980972.16181999</v>
      </c>
      <c r="H10" s="116"/>
      <c r="I10" s="116"/>
      <c r="J10" s="116"/>
      <c r="M10" s="11">
        <f>C14</f>
        <v>304658045.987652</v>
      </c>
      <c r="N10" s="11">
        <f>D14</f>
        <v>13595672.313951001</v>
      </c>
    </row>
    <row r="11" spans="2:14" x14ac:dyDescent="0.25">
      <c r="B11" s="74" t="s">
        <v>114</v>
      </c>
      <c r="C11" s="15">
        <v>165098050.07452199</v>
      </c>
      <c r="D11" s="15">
        <v>47061462.078239001</v>
      </c>
      <c r="E11" s="15">
        <v>26756757</v>
      </c>
      <c r="F11" s="15">
        <v>238916269.15276101</v>
      </c>
      <c r="H11" s="116"/>
      <c r="I11" s="116"/>
      <c r="J11" s="116"/>
      <c r="M11" s="11">
        <f>C17</f>
        <v>114350700.78</v>
      </c>
      <c r="N11" s="11">
        <f>D17</f>
        <v>18496237.719999999</v>
      </c>
    </row>
    <row r="12" spans="2:14" x14ac:dyDescent="0.25">
      <c r="B12" s="74" t="s">
        <v>70</v>
      </c>
      <c r="C12" s="15">
        <v>111013927.90795401</v>
      </c>
      <c r="D12" s="15">
        <v>26899767.214782</v>
      </c>
      <c r="E12" s="15">
        <v>15987386.960000001</v>
      </c>
      <c r="F12" s="15">
        <v>153901082.08273599</v>
      </c>
      <c r="H12" s="116"/>
      <c r="I12" s="116"/>
      <c r="J12" s="116"/>
      <c r="M12" s="11">
        <f>C16</f>
        <v>188104283.13257799</v>
      </c>
      <c r="N12" s="11">
        <f>D16</f>
        <v>33735268.665836997</v>
      </c>
    </row>
    <row r="13" spans="2:14" x14ac:dyDescent="0.25">
      <c r="B13" s="74" t="s">
        <v>115</v>
      </c>
      <c r="C13" s="15">
        <v>116544237.234442</v>
      </c>
      <c r="D13" s="15">
        <v>12527855.719935</v>
      </c>
      <c r="E13" s="15">
        <v>21552252.02</v>
      </c>
      <c r="F13" s="15">
        <v>150624344.97437701</v>
      </c>
      <c r="H13" s="116"/>
      <c r="I13" s="116"/>
      <c r="J13" s="116"/>
      <c r="M13" s="11">
        <f>C19</f>
        <v>407270698.05517799</v>
      </c>
      <c r="N13" s="11">
        <f>D19</f>
        <v>36349333.359916002</v>
      </c>
    </row>
    <row r="14" spans="2:14" x14ac:dyDescent="0.25">
      <c r="B14" s="74" t="s">
        <v>116</v>
      </c>
      <c r="C14" s="15">
        <v>304658045.987652</v>
      </c>
      <c r="D14" s="15">
        <v>13595672.313951001</v>
      </c>
      <c r="E14" s="15">
        <v>82499999.260000005</v>
      </c>
      <c r="F14" s="15">
        <v>400753717.56160301</v>
      </c>
      <c r="H14" s="116"/>
      <c r="I14" s="116"/>
      <c r="J14" s="116"/>
      <c r="M14" s="11">
        <f>C25</f>
        <v>191588257.960246</v>
      </c>
      <c r="N14" s="11">
        <f>D25</f>
        <v>32230803.599858999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165098050.07452199</v>
      </c>
      <c r="N15" s="11">
        <f>D11</f>
        <v>47061462.078239001</v>
      </c>
    </row>
    <row r="16" spans="2:14" x14ac:dyDescent="0.25">
      <c r="B16" s="74" t="s">
        <v>74</v>
      </c>
      <c r="C16" s="15">
        <v>188104283.13257799</v>
      </c>
      <c r="D16" s="15">
        <v>33735268.665836997</v>
      </c>
      <c r="E16" s="15">
        <v>10797297.199999999</v>
      </c>
      <c r="F16" s="15">
        <v>232636848.99841499</v>
      </c>
      <c r="H16" s="116"/>
      <c r="I16" s="116"/>
      <c r="J16" s="116"/>
      <c r="M16" s="11">
        <f>C26</f>
        <v>192566857.280359</v>
      </c>
      <c r="N16" s="11">
        <f>D26</f>
        <v>28378087.389970999</v>
      </c>
    </row>
    <row r="17" spans="2:14" x14ac:dyDescent="0.25">
      <c r="B17" s="74" t="s">
        <v>118</v>
      </c>
      <c r="C17" s="15">
        <v>114350700.78</v>
      </c>
      <c r="D17" s="15">
        <v>18496237.719999999</v>
      </c>
      <c r="E17" s="15" t="s">
        <v>169</v>
      </c>
      <c r="F17" s="15">
        <v>132846938.5</v>
      </c>
      <c r="H17" s="116"/>
      <c r="I17" s="116"/>
      <c r="J17" s="116"/>
      <c r="M17" s="11">
        <f>C10</f>
        <v>108591336.892453</v>
      </c>
      <c r="N17" s="11">
        <f>D10</f>
        <v>13237421.249368001</v>
      </c>
    </row>
    <row r="18" spans="2:14" x14ac:dyDescent="0.25">
      <c r="B18" s="74" t="s">
        <v>119</v>
      </c>
      <c r="C18" s="15">
        <v>552081395.80396402</v>
      </c>
      <c r="D18" s="15">
        <v>6945438.6219769996</v>
      </c>
      <c r="E18" s="15">
        <v>5091891.84</v>
      </c>
      <c r="F18" s="15">
        <v>564118726.26594102</v>
      </c>
      <c r="H18" s="116"/>
      <c r="I18" s="116"/>
      <c r="J18" s="116"/>
      <c r="M18" s="11">
        <f>C27</f>
        <v>382747313.217785</v>
      </c>
      <c r="N18" s="11">
        <f>D27</f>
        <v>126707529.597831</v>
      </c>
    </row>
    <row r="19" spans="2:14" x14ac:dyDescent="0.25">
      <c r="B19" s="74" t="s">
        <v>121</v>
      </c>
      <c r="C19" s="15">
        <v>407270698.05517799</v>
      </c>
      <c r="D19" s="15">
        <v>36349333.359916002</v>
      </c>
      <c r="E19" s="15">
        <v>439943261.85992801</v>
      </c>
      <c r="F19" s="15">
        <v>883563293.27502203</v>
      </c>
      <c r="H19" s="116"/>
      <c r="I19" s="116"/>
      <c r="J19" s="116"/>
      <c r="M19" s="11">
        <f>C20+C21</f>
        <v>107988107.054208</v>
      </c>
      <c r="N19" s="11">
        <f>D20+D21</f>
        <v>73114987.120986998</v>
      </c>
    </row>
    <row r="20" spans="2:14" x14ac:dyDescent="0.25">
      <c r="B20" s="74" t="s">
        <v>123</v>
      </c>
      <c r="C20" s="15">
        <v>83172487.054207996</v>
      </c>
      <c r="D20" s="15">
        <v>19221574.809856001</v>
      </c>
      <c r="E20" s="15" t="s">
        <v>169</v>
      </c>
      <c r="F20" s="15">
        <v>102394061.86406399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>
        <v>24815620</v>
      </c>
      <c r="D21" s="15">
        <v>53893412.311131001</v>
      </c>
      <c r="E21" s="15">
        <v>24237838.32</v>
      </c>
      <c r="F21" s="15">
        <v>102946870.63113099</v>
      </c>
      <c r="H21" s="116"/>
      <c r="I21" s="116"/>
      <c r="J21" s="116"/>
      <c r="M21" s="14">
        <f>IFERROR(C34,0)+IFERROR(C35,0)+M20</f>
        <v>362012547.03633201</v>
      </c>
      <c r="N21" s="10" t="s">
        <v>122</v>
      </c>
    </row>
    <row r="22" spans="2:14" x14ac:dyDescent="0.25">
      <c r="B22" s="74" t="s">
        <v>173</v>
      </c>
      <c r="C22" s="15">
        <v>58499359.200000003</v>
      </c>
      <c r="D22" s="15" t="s">
        <v>169</v>
      </c>
      <c r="E22" s="15">
        <v>4036035.92</v>
      </c>
      <c r="F22" s="15">
        <v>62535395.119999997</v>
      </c>
      <c r="H22" s="116"/>
      <c r="I22" s="116"/>
      <c r="J22" s="116"/>
    </row>
    <row r="23" spans="2:14" x14ac:dyDescent="0.25">
      <c r="B23" s="74" t="s">
        <v>174</v>
      </c>
      <c r="C23" s="15">
        <v>127633638.149975</v>
      </c>
      <c r="D23" s="15" t="s">
        <v>169</v>
      </c>
      <c r="E23" s="15">
        <v>5693693.54</v>
      </c>
      <c r="F23" s="15">
        <v>133327331.68997499</v>
      </c>
      <c r="H23" s="116"/>
      <c r="I23" s="116"/>
      <c r="J23" s="116"/>
    </row>
    <row r="24" spans="2:14" x14ac:dyDescent="0.25">
      <c r="B24" s="74" t="s">
        <v>125</v>
      </c>
      <c r="C24" s="15">
        <v>112604837.314255</v>
      </c>
      <c r="D24" s="15">
        <v>24457774.658475999</v>
      </c>
      <c r="E24" s="15">
        <v>52237116.340000004</v>
      </c>
      <c r="F24" s="15">
        <v>189299728.312731</v>
      </c>
      <c r="H24" s="116"/>
      <c r="I24" s="116"/>
      <c r="J24" s="116"/>
    </row>
    <row r="25" spans="2:14" x14ac:dyDescent="0.25">
      <c r="B25" s="74" t="s">
        <v>126</v>
      </c>
      <c r="C25" s="15">
        <v>191588257.960246</v>
      </c>
      <c r="D25" s="15">
        <v>32230803.599858999</v>
      </c>
      <c r="E25" s="15">
        <v>75525224.480000004</v>
      </c>
      <c r="F25" s="15">
        <v>299344286.04010499</v>
      </c>
      <c r="H25" s="116"/>
      <c r="I25" s="116"/>
      <c r="J25" s="116"/>
    </row>
    <row r="26" spans="2:14" x14ac:dyDescent="0.25">
      <c r="B26" s="74" t="s">
        <v>127</v>
      </c>
      <c r="C26" s="15">
        <v>192566857.280359</v>
      </c>
      <c r="D26" s="15">
        <v>28378087.389970999</v>
      </c>
      <c r="E26" s="15">
        <v>177396394.809971</v>
      </c>
      <c r="F26" s="15">
        <v>398341339.48030102</v>
      </c>
      <c r="H26" s="116"/>
      <c r="I26" s="116"/>
      <c r="J26" s="116"/>
    </row>
    <row r="27" spans="2:14" x14ac:dyDescent="0.25">
      <c r="B27" s="74" t="s">
        <v>128</v>
      </c>
      <c r="C27" s="15">
        <v>382747313.217785</v>
      </c>
      <c r="D27" s="15">
        <v>126707529.597831</v>
      </c>
      <c r="E27" s="15">
        <v>4259459.54</v>
      </c>
      <c r="F27" s="15">
        <v>513714302.35561597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124968693.85541201</v>
      </c>
      <c r="G32" s="116"/>
      <c r="H32" s="116"/>
      <c r="I32" s="116"/>
    </row>
    <row r="33" spans="2:14" x14ac:dyDescent="0.25">
      <c r="B33" s="84" t="s">
        <v>133</v>
      </c>
      <c r="C33" s="15">
        <v>156883432.39585999</v>
      </c>
      <c r="G33" s="116"/>
      <c r="H33" s="116"/>
      <c r="I33" s="116"/>
    </row>
    <row r="34" spans="2:14" x14ac:dyDescent="0.25">
      <c r="B34" s="84" t="s">
        <v>134</v>
      </c>
      <c r="C34" s="15">
        <v>136863581.45894501</v>
      </c>
      <c r="G34" s="116"/>
      <c r="H34" s="116"/>
      <c r="I34" s="116"/>
    </row>
    <row r="35" spans="2:14" x14ac:dyDescent="0.25">
      <c r="B35" s="84" t="s">
        <v>135</v>
      </c>
      <c r="C35" s="15">
        <v>225148965.57738701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7" t="s">
        <v>184</v>
      </c>
      <c r="C41" s="238"/>
      <c r="D41" s="239"/>
      <c r="E41" s="67" t="s">
        <v>138</v>
      </c>
      <c r="F41" s="73">
        <f ca="1">IF(MONTH(TODAY())=5,DAY(TODAY())/DAY(EOMONTH(TODAY(),0)),IF(MONTH(TODAY())&gt;5,1,0))</f>
        <v>0.4838709677419355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2689259650.2416067</v>
      </c>
      <c r="F43" s="44">
        <f>IFERROR(E43/D43,0)</f>
        <v>0.39320804425386596</v>
      </c>
      <c r="G43" s="118">
        <f>D43-E43</f>
        <v>4150019681.7583933</v>
      </c>
      <c r="H43" s="118">
        <f ca="1">IFERROR(G43/C3,0)</f>
        <v>296429977.26845664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486792200.689152</v>
      </c>
      <c r="F44" s="44">
        <f>IFERROR(E44/D44,0)</f>
        <v>0.32996936732793636</v>
      </c>
      <c r="G44" s="118">
        <f>D44-E44</f>
        <v>988472623.53120971</v>
      </c>
      <c r="H44" s="118">
        <f ca="1">IFERROR(G44/C3,0)</f>
        <v>70605187.395086408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643864673.28760397</v>
      </c>
      <c r="F45" s="44">
        <f>IFERROR(E45/D45,0)</f>
        <v>0.36111741819233145</v>
      </c>
      <c r="G45" s="118">
        <f>D45-E45</f>
        <v>1139114050.116652</v>
      </c>
      <c r="H45" s="118">
        <f ca="1">IFERROR(G45/C3,0)</f>
        <v>81365289.294046566</v>
      </c>
      <c r="I45" s="116"/>
    </row>
    <row r="46" spans="2:14" ht="18.75" customHeight="1" x14ac:dyDescent="0.25">
      <c r="B46" s="220" t="s">
        <v>146</v>
      </c>
      <c r="C46" s="221"/>
      <c r="D46" s="47">
        <f>D43+D44+D45</f>
        <v>10097522879.624619</v>
      </c>
      <c r="E46" s="47">
        <f>E43+E44+E45</f>
        <v>3819916524.2183623</v>
      </c>
      <c r="F46" s="43">
        <f>IFERROR(E46/D46,0)</f>
        <v>0.37830233907431066</v>
      </c>
      <c r="G46" s="119">
        <f>G43+G44+G45</f>
        <v>6277606355.4062557</v>
      </c>
      <c r="H46" s="119">
        <f ca="1">IFERROR(G46/C3,0)</f>
        <v>448400453.95758969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7" t="s">
        <v>147</v>
      </c>
      <c r="C48" s="228"/>
      <c r="D48" s="228"/>
      <c r="E48" s="228"/>
      <c r="F48" s="228"/>
      <c r="G48" s="228"/>
      <c r="H48" s="228"/>
      <c r="I48" s="228"/>
      <c r="J48" s="229"/>
      <c r="K48" s="243"/>
      <c r="L48" s="244"/>
      <c r="M48" s="244"/>
      <c r="N48" s="245"/>
    </row>
    <row r="49" spans="2:14" ht="20.100000000000001" customHeight="1" x14ac:dyDescent="0.25">
      <c r="B49" s="222" t="s">
        <v>41</v>
      </c>
      <c r="C49" s="222" t="s">
        <v>42</v>
      </c>
      <c r="D49" s="217" t="s">
        <v>138</v>
      </c>
      <c r="E49" s="218"/>
      <c r="F49" s="219"/>
      <c r="G49" s="120" t="s">
        <v>139</v>
      </c>
      <c r="H49" s="120"/>
      <c r="I49" s="120"/>
      <c r="J49" s="222" t="s">
        <v>140</v>
      </c>
      <c r="K49" s="132" t="s">
        <v>148</v>
      </c>
      <c r="L49" s="132"/>
      <c r="M49" s="132"/>
      <c r="N49" s="246" t="s">
        <v>149</v>
      </c>
    </row>
    <row r="50" spans="2:14" ht="22.5" customHeight="1" x14ac:dyDescent="0.25">
      <c r="B50" s="222"/>
      <c r="C50" s="222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2"/>
      <c r="K50" s="133" t="s">
        <v>143</v>
      </c>
      <c r="L50" s="133" t="s">
        <v>111</v>
      </c>
      <c r="M50" s="133" t="s">
        <v>146</v>
      </c>
      <c r="N50" s="246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112604837.314255</v>
      </c>
      <c r="H51" s="122">
        <f>N8</f>
        <v>24457774.658475999</v>
      </c>
      <c r="I51" s="122">
        <f t="shared" ref="I51:I64" si="1">G51+H51</f>
        <v>137062611.97273099</v>
      </c>
      <c r="J51" s="61">
        <f t="shared" ref="J51:J64" si="2">IFERROR(I51/F51,0)</f>
        <v>0.28263020020171326</v>
      </c>
      <c r="K51" s="51">
        <f t="shared" ref="K51:M64" si="3">D51-G51</f>
        <v>304078640.685745</v>
      </c>
      <c r="L51" s="51">
        <f t="shared" si="3"/>
        <v>43812626.562178314</v>
      </c>
      <c r="M51" s="51">
        <f t="shared" si="3"/>
        <v>347891267.24792331</v>
      </c>
      <c r="N51" s="51">
        <f ca="1">IFERROR(M51/C3,0)</f>
        <v>24849376.231994521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227558165.142396</v>
      </c>
      <c r="H52" s="122">
        <f>N9</f>
        <v>39427622.934717</v>
      </c>
      <c r="I52" s="122">
        <f t="shared" si="1"/>
        <v>266985788.077113</v>
      </c>
      <c r="J52" s="61">
        <f t="shared" si="2"/>
        <v>0.35754032943458997</v>
      </c>
      <c r="K52" s="54">
        <f t="shared" si="3"/>
        <v>327624205.85760403</v>
      </c>
      <c r="L52" s="54">
        <f t="shared" si="3"/>
        <v>152119161.065283</v>
      </c>
      <c r="M52" s="54">
        <f t="shared" si="3"/>
        <v>479743366.92288697</v>
      </c>
      <c r="N52" s="54">
        <f ca="1">IFERROR(M52/C3,0)</f>
        <v>34267383.351634786</v>
      </c>
    </row>
    <row r="53" spans="2:14" ht="20.100000000000001" customHeight="1" x14ac:dyDescent="0.25">
      <c r="B53" s="155" t="s">
        <v>176</v>
      </c>
      <c r="C53" s="156" t="s">
        <v>177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58499359.200000003</v>
      </c>
      <c r="H53" s="122">
        <f>IF(D22="",0,D22)</f>
        <v>0</v>
      </c>
      <c r="I53" s="122">
        <f>G53+H53</f>
        <v>58499359.200000003</v>
      </c>
      <c r="J53" s="61">
        <f>IFERROR(I53/F53,0)</f>
        <v>0.24226018757488305</v>
      </c>
      <c r="K53" s="54">
        <f>D53-G53</f>
        <v>182973908.80000001</v>
      </c>
      <c r="L53" s="54">
        <f>E53-H53</f>
        <v>0</v>
      </c>
      <c r="M53" s="54">
        <f>F53-I53</f>
        <v>182973908.80000001</v>
      </c>
      <c r="N53" s="54">
        <f ca="1">IFERROR(M53/C3,0)</f>
        <v>13069564.914285716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304658045.987652</v>
      </c>
      <c r="H54" s="122">
        <f t="shared" ref="H54:H58" si="4">N10</f>
        <v>13595672.313951001</v>
      </c>
      <c r="I54" s="122">
        <f t="shared" si="1"/>
        <v>318253718.30160302</v>
      </c>
      <c r="J54" s="61">
        <f t="shared" si="2"/>
        <v>0.48396666284055917</v>
      </c>
      <c r="K54" s="54">
        <f>D54-G54</f>
        <v>306054426.012348</v>
      </c>
      <c r="L54" s="54">
        <f t="shared" si="3"/>
        <v>33286154.50338389</v>
      </c>
      <c r="M54" s="54">
        <f t="shared" si="3"/>
        <v>339340580.51573187</v>
      </c>
      <c r="N54" s="54">
        <f ca="1">IFERROR(M54/C3,0)</f>
        <v>24238612.89398085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114350700.78</v>
      </c>
      <c r="H55" s="122">
        <f t="shared" si="4"/>
        <v>18496237.719999999</v>
      </c>
      <c r="I55" s="122">
        <f t="shared" si="1"/>
        <v>132846938.5</v>
      </c>
      <c r="J55" s="61">
        <f t="shared" si="2"/>
        <v>0.27226493724772566</v>
      </c>
      <c r="K55" s="54">
        <f t="shared" si="3"/>
        <v>290712583.22000003</v>
      </c>
      <c r="L55" s="54">
        <f t="shared" si="3"/>
        <v>64373077.471524149</v>
      </c>
      <c r="M55" s="54">
        <f t="shared" si="3"/>
        <v>355085660.69152415</v>
      </c>
      <c r="N55" s="54">
        <f ca="1">IFERROR(M55/C3,0)</f>
        <v>25363261.477966011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188104283.13257799</v>
      </c>
      <c r="H56" s="122">
        <f t="shared" si="4"/>
        <v>33735268.665836997</v>
      </c>
      <c r="I56" s="122">
        <f t="shared" si="1"/>
        <v>221839551.79841498</v>
      </c>
      <c r="J56" s="61">
        <f t="shared" si="2"/>
        <v>0.39959698219333051</v>
      </c>
      <c r="K56" s="54">
        <f t="shared" si="3"/>
        <v>285814548.86742198</v>
      </c>
      <c r="L56" s="54">
        <f t="shared" si="3"/>
        <v>47504125.456816606</v>
      </c>
      <c r="M56" s="54">
        <f t="shared" si="3"/>
        <v>333318674.32423866</v>
      </c>
      <c r="N56" s="54">
        <f ca="1">IFERROR(M56/C3,0)</f>
        <v>23808476.737445619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407270698.05517799</v>
      </c>
      <c r="H57" s="122">
        <f t="shared" si="4"/>
        <v>36349333.359916002</v>
      </c>
      <c r="I57" s="122">
        <f t="shared" si="1"/>
        <v>443620031.41509402</v>
      </c>
      <c r="J57" s="61">
        <f t="shared" si="2"/>
        <v>0.42101692868246526</v>
      </c>
      <c r="K57" s="54">
        <f t="shared" si="3"/>
        <v>554487646.94482207</v>
      </c>
      <c r="L57" s="54">
        <f t="shared" si="3"/>
        <v>55579242.979240388</v>
      </c>
      <c r="M57" s="54">
        <f t="shared" si="3"/>
        <v>610066889.92406237</v>
      </c>
      <c r="N57" s="54">
        <f ca="1">IFERROR(M57/C3,0)</f>
        <v>43576206.423147313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191588257.960246</v>
      </c>
      <c r="H58" s="122">
        <f t="shared" si="4"/>
        <v>32230803.599858999</v>
      </c>
      <c r="I58" s="122">
        <f>G58+H58</f>
        <v>223819061.560105</v>
      </c>
      <c r="J58" s="61">
        <f>IFERROR(I58/F58,0)</f>
        <v>0.39330779354768952</v>
      </c>
      <c r="K58" s="54">
        <f t="shared" si="3"/>
        <v>313698801.03975403</v>
      </c>
      <c r="L58" s="54">
        <f t="shared" si="3"/>
        <v>31550600.400141001</v>
      </c>
      <c r="M58" s="54">
        <f t="shared" si="3"/>
        <v>345249401.43989503</v>
      </c>
      <c r="N58" s="54">
        <f ca="1">IFERROR(M58/C3,0)</f>
        <v>24660671.531421073</v>
      </c>
    </row>
    <row r="59" spans="2:14" ht="20.100000000000001" customHeight="1" x14ac:dyDescent="0.25">
      <c r="B59" s="155" t="s">
        <v>176</v>
      </c>
      <c r="C59" s="156" t="s">
        <v>178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127633638.149975</v>
      </c>
      <c r="H59" s="122">
        <f>IF(D23="",0,D23)</f>
        <v>0</v>
      </c>
      <c r="I59" s="122">
        <f>G59+H59</f>
        <v>127633638.149975</v>
      </c>
      <c r="J59" s="61">
        <f>IFERROR(I59/F59,0)</f>
        <v>0.31582035727163527</v>
      </c>
      <c r="K59" s="54">
        <f>D59-G59</f>
        <v>276500025.850025</v>
      </c>
      <c r="L59" s="54">
        <f>E59-H59</f>
        <v>0</v>
      </c>
      <c r="M59" s="54">
        <f>F59-I59</f>
        <v>276500025.850025</v>
      </c>
      <c r="N59" s="54">
        <f ca="1">IFERROR(M59/C3,0)</f>
        <v>19750001.846430358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165098050.07452199</v>
      </c>
      <c r="H60" s="122">
        <f t="shared" ref="H60:H64" si="5">N15</f>
        <v>47061462.078239001</v>
      </c>
      <c r="I60" s="122">
        <f t="shared" si="1"/>
        <v>212159512.15276098</v>
      </c>
      <c r="J60" s="61">
        <f t="shared" si="2"/>
        <v>0.39109063487044016</v>
      </c>
      <c r="K60" s="54">
        <f t="shared" si="3"/>
        <v>238919258.92547801</v>
      </c>
      <c r="L60" s="54">
        <f t="shared" si="3"/>
        <v>91402928.139756411</v>
      </c>
      <c r="M60" s="54">
        <f t="shared" si="3"/>
        <v>330322187.06523442</v>
      </c>
      <c r="N60" s="54">
        <f ca="1">IFERROR(M60/C3,0)</f>
        <v>23594441.93323103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192566857.280359</v>
      </c>
      <c r="H61" s="122">
        <f t="shared" si="5"/>
        <v>28378087.389970999</v>
      </c>
      <c r="I61" s="122">
        <f t="shared" si="1"/>
        <v>220944944.67032999</v>
      </c>
      <c r="J61" s="61">
        <f t="shared" si="2"/>
        <v>0.32003789520052162</v>
      </c>
      <c r="K61" s="54">
        <f t="shared" si="3"/>
        <v>439062738.71964097</v>
      </c>
      <c r="L61" s="54">
        <f t="shared" si="3"/>
        <v>30363513.220654268</v>
      </c>
      <c r="M61" s="54">
        <f t="shared" si="3"/>
        <v>469426251.94029528</v>
      </c>
      <c r="N61" s="54">
        <f ca="1">IFERROR(M61/C3,0)</f>
        <v>33530446.567163948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108591336.892453</v>
      </c>
      <c r="H62" s="122">
        <f t="shared" si="5"/>
        <v>13237421.249368001</v>
      </c>
      <c r="I62" s="122">
        <f t="shared" si="1"/>
        <v>121828758.141821</v>
      </c>
      <c r="J62" s="61">
        <f t="shared" si="2"/>
        <v>0.27054589433167009</v>
      </c>
      <c r="K62" s="54">
        <f t="shared" si="3"/>
        <v>277951686.10754699</v>
      </c>
      <c r="L62" s="54">
        <f t="shared" si="3"/>
        <v>50526733.55044581</v>
      </c>
      <c r="M62" s="54">
        <f t="shared" si="3"/>
        <v>328478419.65799284</v>
      </c>
      <c r="N62" s="54">
        <f ca="1">IFERROR(M62/C3,0)</f>
        <v>23462744.261285204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382747313.217785</v>
      </c>
      <c r="H63" s="122">
        <f t="shared" si="5"/>
        <v>126707529.597831</v>
      </c>
      <c r="I63" s="122">
        <f t="shared" si="1"/>
        <v>509454842.81561601</v>
      </c>
      <c r="J63" s="61">
        <f t="shared" si="2"/>
        <v>0.55790444354961699</v>
      </c>
      <c r="K63" s="54">
        <f t="shared" si="3"/>
        <v>200603628.782215</v>
      </c>
      <c r="L63" s="54">
        <f t="shared" si="3"/>
        <v>203099415.39488637</v>
      </c>
      <c r="M63" s="54">
        <f t="shared" si="3"/>
        <v>403703044.17710137</v>
      </c>
      <c r="N63" s="54">
        <f ca="1">IFERROR(M63/C3,0)</f>
        <v>28835931.726935811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107988107.054208</v>
      </c>
      <c r="H64" s="122">
        <f t="shared" si="5"/>
        <v>73114987.120986998</v>
      </c>
      <c r="I64" s="122">
        <f t="shared" si="1"/>
        <v>181103094.17519498</v>
      </c>
      <c r="J64" s="61">
        <f t="shared" si="2"/>
        <v>0.34996056364962891</v>
      </c>
      <c r="K64" s="54">
        <f t="shared" si="3"/>
        <v>151537581.94579202</v>
      </c>
      <c r="L64" s="54">
        <f t="shared" si="3"/>
        <v>184855044.78689939</v>
      </c>
      <c r="M64" s="54">
        <f t="shared" si="3"/>
        <v>336392626.73269141</v>
      </c>
      <c r="N64" s="54">
        <f ca="1">IFERROR(M64/C3,0)</f>
        <v>24028044.766620815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2689259650.2416067</v>
      </c>
      <c r="H65" s="152">
        <f>SUM(H51:H64)</f>
        <v>486792200.689152</v>
      </c>
      <c r="I65" s="152">
        <f>SUM(I51:I64)</f>
        <v>3176051850.9307594</v>
      </c>
      <c r="J65" s="153">
        <f>IFERROR(I65/F65,0)</f>
        <v>0.38198748978374947</v>
      </c>
      <c r="K65" s="154">
        <f>SUM(K51:K64)</f>
        <v>4150019681.7583933</v>
      </c>
      <c r="L65" s="154">
        <f>SUM(L51:L64)</f>
        <v>988472623.53120947</v>
      </c>
      <c r="M65" s="154">
        <f>SUM(M51:M64)</f>
        <v>5138492305.2896032</v>
      </c>
      <c r="N65" s="154">
        <f ca="1">IFERROR(M65/C3,0)</f>
        <v>367035164.66354311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8.75" customHeight="1" x14ac:dyDescent="0.25">
      <c r="B68" s="222" t="s">
        <v>41</v>
      </c>
      <c r="C68" s="222" t="s">
        <v>42</v>
      </c>
      <c r="D68" s="134" t="s">
        <v>139</v>
      </c>
    </row>
    <row r="69" spans="2:14" ht="18" customHeight="1" x14ac:dyDescent="0.25">
      <c r="B69" s="222"/>
      <c r="C69" s="222"/>
      <c r="D69" s="71" t="s">
        <v>172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52237116.340000004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37539638.980000004</v>
      </c>
    </row>
    <row r="72" spans="2:14" ht="20.100000000000001" customHeight="1" x14ac:dyDescent="0.25">
      <c r="B72" s="201" t="s">
        <v>176</v>
      </c>
      <c r="C72" s="202" t="s">
        <v>177</v>
      </c>
      <c r="D72" s="192">
        <f>IF(E22="",0,E22)</f>
        <v>4036035.92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82499999.260000005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10797297.199999999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439943261.85992801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75525224.480000004</v>
      </c>
    </row>
    <row r="78" spans="2:14" ht="20.100000000000001" customHeight="1" x14ac:dyDescent="0.25">
      <c r="B78" s="201" t="s">
        <v>176</v>
      </c>
      <c r="C78" s="202" t="s">
        <v>178</v>
      </c>
      <c r="D78" s="192">
        <f>IF(E23="",0,E23)</f>
        <v>5693693.54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26756757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177396394.809971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83152214.019998997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4259459.54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24237838.32</v>
      </c>
    </row>
    <row r="84" spans="2:9" ht="20.100000000000001" customHeight="1" x14ac:dyDescent="0.25">
      <c r="B84" s="57" t="s">
        <v>152</v>
      </c>
      <c r="C84" s="58"/>
      <c r="D84" s="129">
        <f>SUM(D70:D83)</f>
        <v>1024074931.2698979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124968693.85541201</v>
      </c>
      <c r="F89" s="61">
        <f t="shared" ref="F89:F94" si="7">IFERROR(E89/D89,0)</f>
        <v>0.44942321247956279</v>
      </c>
      <c r="G89" s="125">
        <f>D89-E89</f>
        <v>153095924.04879755</v>
      </c>
      <c r="H89" s="125">
        <f ca="1">IFERROR(G89/C3,0)</f>
        <v>10935423.146342682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156883432.39585999</v>
      </c>
      <c r="F90" s="61">
        <f t="shared" si="7"/>
        <v>0.37566202746215377</v>
      </c>
      <c r="G90" s="126">
        <f>D90-E90</f>
        <v>260735120.7906616</v>
      </c>
      <c r="H90" s="126">
        <f ca="1">IFERROR(G90/C3,0)</f>
        <v>18623937.199332971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362012547.03633201</v>
      </c>
      <c r="F91" s="61">
        <f t="shared" si="7"/>
        <v>0.33294769418126402</v>
      </c>
      <c r="G91" s="125">
        <f>D91-E91</f>
        <v>725283005.27719271</v>
      </c>
      <c r="H91" s="125">
        <f ca="1">IFERROR(G91/C3,0)</f>
        <v>51805928.948370911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643864673.28760397</v>
      </c>
      <c r="F94" s="43">
        <f t="shared" si="7"/>
        <v>0.36111741819233145</v>
      </c>
      <c r="G94" s="119">
        <f>SUM(G89:G93)</f>
        <v>1139114050.116652</v>
      </c>
      <c r="H94" s="119">
        <f ca="1">IFERROR(G94/C3,0)</f>
        <v>81365289.294046566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94"/>
  <sheetViews>
    <sheetView showGridLines="0" topLeftCell="A50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26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3" t="s">
        <v>160</v>
      </c>
      <c r="C41" s="224"/>
      <c r="D41" s="225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0" t="s">
        <v>146</v>
      </c>
      <c r="C46" s="221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7" t="s">
        <v>147</v>
      </c>
      <c r="C48" s="228"/>
      <c r="D48" s="228"/>
      <c r="E48" s="228"/>
      <c r="F48" s="228"/>
      <c r="G48" s="228"/>
      <c r="H48" s="228"/>
      <c r="I48" s="228"/>
      <c r="J48" s="229"/>
      <c r="K48" s="243"/>
      <c r="L48" s="244"/>
      <c r="M48" s="244"/>
      <c r="N48" s="245"/>
    </row>
    <row r="49" spans="2:14" ht="15.75" x14ac:dyDescent="0.25">
      <c r="B49" s="222" t="s">
        <v>41</v>
      </c>
      <c r="C49" s="222" t="s">
        <v>42</v>
      </c>
      <c r="D49" s="217" t="s">
        <v>138</v>
      </c>
      <c r="E49" s="218"/>
      <c r="F49" s="219"/>
      <c r="G49" s="120" t="s">
        <v>139</v>
      </c>
      <c r="H49" s="120"/>
      <c r="I49" s="120"/>
      <c r="J49" s="222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2"/>
      <c r="C50" s="222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2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2" t="s">
        <v>41</v>
      </c>
      <c r="C68" s="222" t="s">
        <v>42</v>
      </c>
      <c r="D68" s="134" t="s">
        <v>139</v>
      </c>
    </row>
    <row r="69" spans="2:14" ht="15.75" x14ac:dyDescent="0.25">
      <c r="B69" s="222"/>
      <c r="C69" s="222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3" t="s">
        <v>179</v>
      </c>
      <c r="C41" s="224"/>
      <c r="D41" s="225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0" t="s">
        <v>146</v>
      </c>
      <c r="C46" s="221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7" t="s">
        <v>147</v>
      </c>
      <c r="C48" s="228"/>
      <c r="D48" s="228"/>
      <c r="E48" s="228"/>
      <c r="F48" s="228"/>
      <c r="G48" s="228"/>
      <c r="H48" s="228"/>
      <c r="I48" s="228"/>
      <c r="J48" s="229"/>
      <c r="K48" s="243"/>
      <c r="L48" s="244"/>
      <c r="M48" s="244"/>
      <c r="N48" s="245"/>
    </row>
    <row r="49" spans="2:14" ht="15.75" x14ac:dyDescent="0.25">
      <c r="B49" s="222" t="s">
        <v>41</v>
      </c>
      <c r="C49" s="222" t="s">
        <v>42</v>
      </c>
      <c r="D49" s="217" t="s">
        <v>138</v>
      </c>
      <c r="E49" s="218"/>
      <c r="F49" s="219"/>
      <c r="G49" s="120" t="s">
        <v>139</v>
      </c>
      <c r="H49" s="120"/>
      <c r="I49" s="120"/>
      <c r="J49" s="222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2"/>
      <c r="C50" s="222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2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2" t="s">
        <v>41</v>
      </c>
      <c r="C68" s="222" t="s">
        <v>42</v>
      </c>
      <c r="D68" s="134" t="s">
        <v>139</v>
      </c>
    </row>
    <row r="69" spans="2:14" ht="15.75" x14ac:dyDescent="0.25">
      <c r="B69" s="222"/>
      <c r="C69" s="222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3" t="s">
        <v>163</v>
      </c>
      <c r="C41" s="224"/>
      <c r="D41" s="225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0" t="s">
        <v>146</v>
      </c>
      <c r="C46" s="221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7" t="s">
        <v>147</v>
      </c>
      <c r="C48" s="228"/>
      <c r="D48" s="228"/>
      <c r="E48" s="228"/>
      <c r="F48" s="228"/>
      <c r="G48" s="228"/>
      <c r="H48" s="228"/>
      <c r="I48" s="228"/>
      <c r="J48" s="229"/>
      <c r="K48" s="243"/>
      <c r="L48" s="244"/>
      <c r="M48" s="244"/>
      <c r="N48" s="245"/>
    </row>
    <row r="49" spans="2:14" ht="15.75" x14ac:dyDescent="0.25">
      <c r="B49" s="222" t="s">
        <v>41</v>
      </c>
      <c r="C49" s="222" t="s">
        <v>42</v>
      </c>
      <c r="D49" s="217" t="s">
        <v>138</v>
      </c>
      <c r="E49" s="218"/>
      <c r="F49" s="219"/>
      <c r="G49" s="120" t="s">
        <v>139</v>
      </c>
      <c r="H49" s="120"/>
      <c r="I49" s="120"/>
      <c r="J49" s="222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2"/>
      <c r="C50" s="222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2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2" t="s">
        <v>41</v>
      </c>
      <c r="C68" s="222" t="s">
        <v>42</v>
      </c>
      <c r="D68" s="134" t="s">
        <v>139</v>
      </c>
    </row>
    <row r="69" spans="2:14" ht="15.75" x14ac:dyDescent="0.25">
      <c r="B69" s="222"/>
      <c r="C69" s="222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3" t="s">
        <v>165</v>
      </c>
      <c r="C41" s="224"/>
      <c r="D41" s="225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0" t="s">
        <v>146</v>
      </c>
      <c r="C46" s="221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7" t="s">
        <v>147</v>
      </c>
      <c r="C48" s="228"/>
      <c r="D48" s="228"/>
      <c r="E48" s="228"/>
      <c r="F48" s="228"/>
      <c r="G48" s="228"/>
      <c r="H48" s="228"/>
      <c r="I48" s="228"/>
      <c r="J48" s="229"/>
      <c r="K48" s="243"/>
      <c r="L48" s="244"/>
      <c r="M48" s="244"/>
      <c r="N48" s="245"/>
    </row>
    <row r="49" spans="2:14" ht="15.75" x14ac:dyDescent="0.25">
      <c r="B49" s="222" t="s">
        <v>41</v>
      </c>
      <c r="C49" s="222" t="s">
        <v>42</v>
      </c>
      <c r="D49" s="217" t="s">
        <v>138</v>
      </c>
      <c r="E49" s="218"/>
      <c r="F49" s="219"/>
      <c r="G49" s="120" t="s">
        <v>139</v>
      </c>
      <c r="H49" s="120"/>
      <c r="I49" s="120"/>
      <c r="J49" s="222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2"/>
      <c r="C50" s="222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2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2" t="s">
        <v>41</v>
      </c>
      <c r="C68" s="222" t="s">
        <v>42</v>
      </c>
      <c r="D68" s="134" t="s">
        <v>139</v>
      </c>
    </row>
    <row r="69" spans="2:14" ht="15.75" x14ac:dyDescent="0.25">
      <c r="B69" s="222"/>
      <c r="C69" s="222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3" t="s">
        <v>167</v>
      </c>
      <c r="C41" s="224"/>
      <c r="D41" s="225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0" t="s">
        <v>146</v>
      </c>
      <c r="C46" s="221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7" t="s">
        <v>147</v>
      </c>
      <c r="C48" s="228"/>
      <c r="D48" s="228"/>
      <c r="E48" s="228"/>
      <c r="F48" s="228"/>
      <c r="G48" s="228"/>
      <c r="H48" s="228"/>
      <c r="I48" s="228"/>
      <c r="J48" s="229"/>
      <c r="K48" s="243"/>
      <c r="L48" s="244"/>
      <c r="M48" s="244"/>
      <c r="N48" s="245"/>
    </row>
    <row r="49" spans="2:14" ht="15.75" x14ac:dyDescent="0.25">
      <c r="B49" s="222" t="s">
        <v>41</v>
      </c>
      <c r="C49" s="222" t="s">
        <v>42</v>
      </c>
      <c r="D49" s="217" t="s">
        <v>138</v>
      </c>
      <c r="E49" s="218"/>
      <c r="F49" s="219"/>
      <c r="G49" s="120" t="s">
        <v>139</v>
      </c>
      <c r="H49" s="120"/>
      <c r="I49" s="120"/>
      <c r="J49" s="222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2"/>
      <c r="C50" s="222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2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2" t="s">
        <v>41</v>
      </c>
      <c r="C68" s="222" t="s">
        <v>42</v>
      </c>
      <c r="D68" s="134" t="s">
        <v>139</v>
      </c>
    </row>
    <row r="69" spans="2:14" ht="15.75" x14ac:dyDescent="0.25">
      <c r="B69" s="222"/>
      <c r="C69" s="222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3" t="s">
        <v>180</v>
      </c>
      <c r="C41" s="224"/>
      <c r="D41" s="225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0" t="s">
        <v>146</v>
      </c>
      <c r="C46" s="221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7" t="s">
        <v>147</v>
      </c>
      <c r="C48" s="228"/>
      <c r="D48" s="228"/>
      <c r="E48" s="228"/>
      <c r="F48" s="228"/>
      <c r="G48" s="228"/>
      <c r="H48" s="228"/>
      <c r="I48" s="228"/>
      <c r="J48" s="229"/>
      <c r="K48" s="243"/>
      <c r="L48" s="244"/>
      <c r="M48" s="244"/>
      <c r="N48" s="245"/>
    </row>
    <row r="49" spans="2:14" ht="15.75" x14ac:dyDescent="0.25">
      <c r="B49" s="222" t="s">
        <v>41</v>
      </c>
      <c r="C49" s="222" t="s">
        <v>42</v>
      </c>
      <c r="D49" s="217" t="s">
        <v>138</v>
      </c>
      <c r="E49" s="218"/>
      <c r="F49" s="219"/>
      <c r="G49" s="120" t="s">
        <v>139</v>
      </c>
      <c r="H49" s="120"/>
      <c r="I49" s="120"/>
      <c r="J49" s="222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2"/>
      <c r="C50" s="222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2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2" t="s">
        <v>41</v>
      </c>
      <c r="C68" s="222" t="s">
        <v>42</v>
      </c>
      <c r="D68" s="134" t="s">
        <v>139</v>
      </c>
    </row>
    <row r="69" spans="2:14" ht="15.75" x14ac:dyDescent="0.25">
      <c r="B69" s="222"/>
      <c r="C69" s="222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3" t="s">
        <v>182</v>
      </c>
      <c r="C41" s="224"/>
      <c r="D41" s="225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0" t="s">
        <v>146</v>
      </c>
      <c r="C46" s="221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7" t="s">
        <v>147</v>
      </c>
      <c r="C48" s="228"/>
      <c r="D48" s="228"/>
      <c r="E48" s="228"/>
      <c r="F48" s="228"/>
      <c r="G48" s="228"/>
      <c r="H48" s="228"/>
      <c r="I48" s="228"/>
      <c r="J48" s="229"/>
      <c r="K48" s="243"/>
      <c r="L48" s="244"/>
      <c r="M48" s="244"/>
      <c r="N48" s="245"/>
    </row>
    <row r="49" spans="2:14" ht="15.75" x14ac:dyDescent="0.25">
      <c r="B49" s="222" t="s">
        <v>41</v>
      </c>
      <c r="C49" s="222" t="s">
        <v>42</v>
      </c>
      <c r="D49" s="217" t="s">
        <v>138</v>
      </c>
      <c r="E49" s="218"/>
      <c r="F49" s="219"/>
      <c r="G49" s="120" t="s">
        <v>139</v>
      </c>
      <c r="H49" s="120"/>
      <c r="I49" s="120"/>
      <c r="J49" s="222" t="s">
        <v>140</v>
      </c>
      <c r="K49" s="132" t="s">
        <v>148</v>
      </c>
      <c r="L49" s="132"/>
      <c r="M49" s="132"/>
      <c r="N49" s="246" t="s">
        <v>149</v>
      </c>
    </row>
    <row r="50" spans="2:14" ht="47.25" x14ac:dyDescent="0.25">
      <c r="B50" s="222"/>
      <c r="C50" s="222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2"/>
      <c r="K50" s="133" t="s">
        <v>143</v>
      </c>
      <c r="L50" s="133" t="s">
        <v>111</v>
      </c>
      <c r="M50" s="133" t="s">
        <v>146</v>
      </c>
      <c r="N50" s="246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2" t="s">
        <v>41</v>
      </c>
      <c r="C68" s="222" t="s">
        <v>42</v>
      </c>
      <c r="D68" s="134" t="s">
        <v>139</v>
      </c>
    </row>
    <row r="69" spans="2:14" ht="15.75" x14ac:dyDescent="0.25">
      <c r="B69" s="222"/>
      <c r="C69" s="222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0" t="s">
        <v>145</v>
      </c>
      <c r="C87" s="241"/>
      <c r="D87" s="241"/>
      <c r="E87" s="241"/>
      <c r="F87" s="24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Admin-Sales</cp:lastModifiedBy>
  <cp:revision>0</cp:revision>
  <dcterms:created xsi:type="dcterms:W3CDTF">2026-03-24T08:59:20Z</dcterms:created>
  <dcterms:modified xsi:type="dcterms:W3CDTF">2026-05-15T00:50:56Z</dcterms:modified>
  <dc:language>en-US</dc:language>
</cp:coreProperties>
</file>