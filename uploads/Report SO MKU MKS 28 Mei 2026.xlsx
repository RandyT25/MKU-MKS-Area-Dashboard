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AFE2D912-4CFF-4A47-BA9F-82CE4D5B888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2" sheetId="3" r:id="rId1"/>
    <sheet name="Sheet" sheetId="1" r:id="rId2"/>
  </sheets>
  <definedNames>
    <definedName name="_xlnm._FilterDatabase" localSheetId="1" hidden="1">Sheet!$A$1:$Q$271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272" i="1" l="1"/>
</calcChain>
</file>

<file path=xl/sharedStrings.xml><?xml version="1.0" encoding="utf-8"?>
<sst xmlns="http://schemas.openxmlformats.org/spreadsheetml/2006/main" count="3108" uniqueCount="649">
  <si>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</si>
  <si>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</si>
  <si>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</si>
  <si>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</si>
  <si>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</si>
  <si>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</si>
  <si>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</si>
  <si>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</si>
  <si>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</si>
  <si>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</si>
  <si>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</si>
  <si>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</si>
  <si>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</si>
  <si>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</si>
  <si>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</si>
  <si>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</si>
  <si>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</si>
  <si>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SO-KS/2605/260001</t>
  </si>
  <si>
    <t>MKS Bali</t>
  </si>
  <si>
    <t>KABAK BAKERY</t>
  </si>
  <si>
    <t>Cash</t>
  </si>
  <si>
    <t>Dewi Kristiani</t>
  </si>
  <si>
    <t>PSF0005</t>
  </si>
  <si>
    <t>Tepung Pita Emas @25Kg/Sack</t>
  </si>
  <si>
    <t>SACK</t>
  </si>
  <si>
    <t>Invoice</t>
  </si>
  <si>
    <t>Sudah Jadi FJ</t>
  </si>
  <si>
    <t>untuk pengiriman tgl 28 Mei</t>
  </si>
  <si>
    <t>SO-KS/2605/260002</t>
  </si>
  <si>
    <t>UD. METRI</t>
  </si>
  <si>
    <t>Ni Ketut Sriasih (GT)</t>
  </si>
  <si>
    <t>120007</t>
  </si>
  <si>
    <t>Tepung Double Zero 1kg/pack</t>
  </si>
  <si>
    <t>KG</t>
  </si>
  <si>
    <t/>
  </si>
  <si>
    <t>Credit</t>
  </si>
  <si>
    <t>Monica</t>
  </si>
  <si>
    <t>PCS</t>
  </si>
  <si>
    <t>SO-KS/2605/260004</t>
  </si>
  <si>
    <t>LACASETTA RESTAURANT</t>
  </si>
  <si>
    <t>150382</t>
  </si>
  <si>
    <t>Levoni Parma Ham Boneless 14 months approx. 7 kg</t>
  </si>
  <si>
    <t>1 loaf</t>
  </si>
  <si>
    <t>SO-KS/2605/260005</t>
  </si>
  <si>
    <t>1 loaf Tambahan</t>
  </si>
  <si>
    <t>SO-KS/2605/260008</t>
  </si>
  <si>
    <t>LOLAS ULUWATU</t>
  </si>
  <si>
    <t>Juni</t>
  </si>
  <si>
    <t>PPK0010</t>
  </si>
  <si>
    <t>Block Red Cheddar Mix Cheese 5x2kg</t>
  </si>
  <si>
    <t>2 loaf</t>
  </si>
  <si>
    <t>SO-KS/2605/260011</t>
  </si>
  <si>
    <t>STADIUM RESTAURANT</t>
  </si>
  <si>
    <t>Eka</t>
  </si>
  <si>
    <t>SFM007</t>
  </si>
  <si>
    <t>Tepung Double Zero @25Kg/Sack</t>
  </si>
  <si>
    <t>SO-KS/2605/260013</t>
  </si>
  <si>
    <t>BOGA WARASTAMA</t>
  </si>
  <si>
    <t>I MADE LUIH</t>
  </si>
  <si>
    <t>SO-KS/2605/260015</t>
  </si>
  <si>
    <t>JALAPENO CANGGU</t>
  </si>
  <si>
    <t xml:space="preserve"> 2 blok</t>
  </si>
  <si>
    <t>Sujana</t>
  </si>
  <si>
    <t>SO-KS/2605/260017</t>
  </si>
  <si>
    <t>LE CROISSANT</t>
  </si>
  <si>
    <t>SO-KS/2605/260018</t>
  </si>
  <si>
    <t>BOTTEGA ITALIAN PETITENGET</t>
  </si>
  <si>
    <t>BIKU RESTAURANT</t>
  </si>
  <si>
    <t>4 loaf</t>
  </si>
  <si>
    <t>SO-KS/2605/260020</t>
  </si>
  <si>
    <t>TN CAKES</t>
  </si>
  <si>
    <t>120020</t>
  </si>
  <si>
    <t>Tepung Yokozuna 1kg/pack</t>
  </si>
  <si>
    <t>ZIA TINA BALI</t>
  </si>
  <si>
    <t>SO-KS/2605/260023</t>
  </si>
  <si>
    <t>ARTE CANGGU</t>
  </si>
  <si>
    <t>Taufik</t>
  </si>
  <si>
    <t>SFM018</t>
  </si>
  <si>
    <t>Tepung Ninja @25Kg/Sack</t>
  </si>
  <si>
    <t>SO-KS/2605/260024</t>
  </si>
  <si>
    <t>DSDS RESTAURANT UBUD</t>
  </si>
  <si>
    <t>Picrom Stalyon</t>
  </si>
  <si>
    <t>SO-KS/2605/260025</t>
  </si>
  <si>
    <t>YAYAK SUPPLIER</t>
  </si>
  <si>
    <t>Wira</t>
  </si>
  <si>
    <t>150338</t>
  </si>
  <si>
    <t>FOODY Star Chicken Sausage 250 Gr</t>
  </si>
  <si>
    <t>PACK</t>
  </si>
  <si>
    <t>SO-KS/2605/260030</t>
  </si>
  <si>
    <t>BULGARI</t>
  </si>
  <si>
    <t>SO-KS/2605/260032</t>
  </si>
  <si>
    <t>SHERATON BALI KUTA RESORT</t>
  </si>
  <si>
    <t>LANI</t>
  </si>
  <si>
    <t>PSJ0044</t>
  </si>
  <si>
    <t>Halal Premium Oxtail Whole Cut 3Cm (2 Kg/Pack)</t>
  </si>
  <si>
    <t>SO-KS/2605/260036</t>
  </si>
  <si>
    <t>CONRAD HOTEL</t>
  </si>
  <si>
    <t>SO-KS/2605/260041</t>
  </si>
  <si>
    <t>SANDI WIJAYA</t>
  </si>
  <si>
    <t>Ni Ketut Sriasih (MT)</t>
  </si>
  <si>
    <t>080241</t>
  </si>
  <si>
    <t>THE ALTERNATIVE Barista Almond Milk 1 Lt</t>
  </si>
  <si>
    <t>SO-KS/2605/260042</t>
  </si>
  <si>
    <t>RADISSON BLU BALI ULUWATU</t>
  </si>
  <si>
    <t>SO-KS/2605/260043</t>
  </si>
  <si>
    <t>PT AURORA CAKE BAKERY</t>
  </si>
  <si>
    <t>SFM009</t>
  </si>
  <si>
    <t>Tepung Hime @25Kg/Sack</t>
  </si>
  <si>
    <t>SO-KS/2605/260045</t>
  </si>
  <si>
    <t>MONTANA DEL CAFE KINTAMANI</t>
  </si>
  <si>
    <t>120018</t>
  </si>
  <si>
    <t>Tepung Ninja 1kg/pack</t>
  </si>
  <si>
    <t xml:space="preserve"> kirim ke jl. Cekomaria No. 14 Peguyangan Kangin (Tarte Dessert)</t>
  </si>
  <si>
    <t>SO-KS/2605/260046</t>
  </si>
  <si>
    <t>TOKO BRENDY</t>
  </si>
  <si>
    <t>NP1</t>
  </si>
  <si>
    <t>060004</t>
  </si>
  <si>
    <t>Nescafe Cappuccino Caramel Era 500gr/Pack</t>
  </si>
  <si>
    <t>060007</t>
  </si>
  <si>
    <t>Nescafe Classic Vending 120gr/Pack</t>
  </si>
  <si>
    <t>SO-KS/2605/260048</t>
  </si>
  <si>
    <t>ELOK CAFE ULUWATU</t>
  </si>
  <si>
    <t>PLN0003</t>
  </si>
  <si>
    <t>ELLENKA BARISTA COCONUT MILK 1000ML APL</t>
  </si>
  <si>
    <t>SO-KS/2605/260049</t>
  </si>
  <si>
    <t>NYOMAN'S COFFEE</t>
  </si>
  <si>
    <t>dikirim ke sanur (jl. batur sari no.34, sanur kauh)</t>
  </si>
  <si>
    <t>SO-KS/2605/260050</t>
  </si>
  <si>
    <t>LUMBUNG PANGAN</t>
  </si>
  <si>
    <t>NP2</t>
  </si>
  <si>
    <t>060006</t>
  </si>
  <si>
    <t>Nescafe Classic Sac+Bag Era 60x2gr</t>
  </si>
  <si>
    <t>SO-KS/2605/260051</t>
  </si>
  <si>
    <t>PT. AROMADUTA RASA PRIMA</t>
  </si>
  <si>
    <t>300098</t>
  </si>
  <si>
    <t>MAGGI Seasoning @800ml/Btl</t>
  </si>
  <si>
    <t>BTL</t>
  </si>
  <si>
    <t>SO-KS/2605/260052</t>
  </si>
  <si>
    <t>CLEANER STORE</t>
  </si>
  <si>
    <t>SO-KS/2605/260053</t>
  </si>
  <si>
    <t>BALI TROPIC RESORT &amp; SPA</t>
  </si>
  <si>
    <t>120015</t>
  </si>
  <si>
    <t>Tepung Japanese Tempura 1kg/pack</t>
  </si>
  <si>
    <t>SO-KS/2605/260054</t>
  </si>
  <si>
    <t>GYUKAKU RESTORAN ( ICON MALL BALI )</t>
  </si>
  <si>
    <t>NP3</t>
  </si>
  <si>
    <t>060013</t>
  </si>
  <si>
    <t>Nestea Lemon Tea 1kg/Pack</t>
  </si>
  <si>
    <t>SO-KS/2605/260055</t>
  </si>
  <si>
    <t>PT. ADIKARYA PANGAN FRESHINDO</t>
  </si>
  <si>
    <t>SO-KS/2605/260058</t>
  </si>
  <si>
    <t>PT. SINAR KARUNIA SEJAHTERA</t>
  </si>
  <si>
    <t>SO-KS/2605/260061</t>
  </si>
  <si>
    <t>PSJ0063</t>
  </si>
  <si>
    <t>Amron Tenderloin Whole</t>
  </si>
  <si>
    <t>SADARA BOUTIQUE BEACH RESORT</t>
  </si>
  <si>
    <t>SO-KS/2605/260064</t>
  </si>
  <si>
    <t>SOOGUD COFFEE</t>
  </si>
  <si>
    <t>PLN0005</t>
  </si>
  <si>
    <t>RICH CRÈME ND 08 1000G POUCH</t>
  </si>
  <si>
    <t>POU</t>
  </si>
  <si>
    <t>I Made Luih (Sanur)</t>
  </si>
  <si>
    <t>SO-KS/2605/260066</t>
  </si>
  <si>
    <t>WARUNG LOKAL CANGGU</t>
  </si>
  <si>
    <t>nota Canggu. Untuk pengirimannya tolong ke office kami yang berada di Muding</t>
  </si>
  <si>
    <t>SO-KS/2605/260067</t>
  </si>
  <si>
    <t>nota Uluwatu . Untuk pengirimannya tolong ke office kami yang berada di Muding</t>
  </si>
  <si>
    <t>SO-KS/2605/260069</t>
  </si>
  <si>
    <t>AUTOGRILL</t>
  </si>
  <si>
    <t>PSJ0127</t>
  </si>
  <si>
    <t>Amron Striploin Whole</t>
  </si>
  <si>
    <t>SO-KS/2605/260070</t>
  </si>
  <si>
    <t>PLN0002</t>
  </si>
  <si>
    <t>RICH CREME WHIPING CREAM 800G POUCH</t>
  </si>
  <si>
    <t>SO-KS/2605/260071</t>
  </si>
  <si>
    <t>INTERCONTINENTAL BALI RESORT</t>
  </si>
  <si>
    <t>SO-KS/2605/260074</t>
  </si>
  <si>
    <t>LITTLE LIMA COFFEE</t>
  </si>
  <si>
    <t>SO-KS/2605/260078</t>
  </si>
  <si>
    <t>PT. SILOAM INTERNATIONAL HOSPITALS TBK</t>
  </si>
  <si>
    <t>SO-KS/2605/260080</t>
  </si>
  <si>
    <t>CV. FENNY BERSAMA</t>
  </si>
  <si>
    <t>SFM052</t>
  </si>
  <si>
    <t>Inofa Heat Treated Wheat Flour SF 346 @25kg/sack</t>
  </si>
  <si>
    <t>SO-KS/2605/260081</t>
  </si>
  <si>
    <t>PNS0005</t>
  </si>
  <si>
    <t>Nestle Milo Npro 1.5Kg</t>
  </si>
  <si>
    <t>SO-KS/2605/260083</t>
  </si>
  <si>
    <t>DIKIRM CARGO</t>
  </si>
  <si>
    <t>SO-KS/2605/260084</t>
  </si>
  <si>
    <t>DIKIRIM KARTINI</t>
  </si>
  <si>
    <t>SO-KS/2605/260085</t>
  </si>
  <si>
    <t>120009</t>
  </si>
  <si>
    <t>Tepung Easymix Fish n Chips 1kg/pack</t>
  </si>
  <si>
    <t>SO-KS/2605/260086</t>
  </si>
  <si>
    <t>060015</t>
  </si>
  <si>
    <t>Nestea Lychee Tea Npro 560gr/Pack</t>
  </si>
  <si>
    <t>060018</t>
  </si>
  <si>
    <t>Nestle Lemonade Original 640gr/Pack</t>
  </si>
  <si>
    <t>300099</t>
  </si>
  <si>
    <t>Magic Lezat @1kg/pack</t>
  </si>
  <si>
    <t>SO-KS/2605/260087</t>
  </si>
  <si>
    <t>PT. SSP TAURUS GEMILANG INDONESIA</t>
  </si>
  <si>
    <t>120006</t>
  </si>
  <si>
    <t>Tepung Crispy Ala Kentucky 1kg/pack</t>
  </si>
  <si>
    <t>LOADING DOCK INTERNASIONAL</t>
  </si>
  <si>
    <t>SO-KS/2605/260088</t>
  </si>
  <si>
    <t>GENKI SUSHI ICON</t>
  </si>
  <si>
    <t>020020</t>
  </si>
  <si>
    <t>NESTLE Milo Activ-Go NPro 960Gr/Pack</t>
  </si>
  <si>
    <t>SO-KS/2605/260089</t>
  </si>
  <si>
    <t>PT. CANGGU DELI</t>
  </si>
  <si>
    <t>SO-KS/2605/260090</t>
  </si>
  <si>
    <t>CENTRAL KITCHEN LOSTERIA (SUKAWATI)</t>
  </si>
  <si>
    <t>SO-KS/2605/260092</t>
  </si>
  <si>
    <t>2080 BURGER NUSA DUA</t>
  </si>
  <si>
    <t>YOGA MART</t>
  </si>
  <si>
    <t>KTN</t>
  </si>
  <si>
    <t>SO-KS/2605/260094</t>
  </si>
  <si>
    <t>PEPITO MARKET DEWI SRI</t>
  </si>
  <si>
    <t>120014</t>
  </si>
  <si>
    <t>Tepung Hime 1kg/pack</t>
  </si>
  <si>
    <t>SO-KS/2605/260095</t>
  </si>
  <si>
    <t>MITRA PANGAN</t>
  </si>
  <si>
    <t>SO-KS/2605/260096</t>
  </si>
  <si>
    <t>CV. BUKIT ARTA PANGAN</t>
  </si>
  <si>
    <t>SO-KS/2605/260097</t>
  </si>
  <si>
    <t>POPULAR DELI CANGGU</t>
  </si>
  <si>
    <t>SO-KS/2605/260098</t>
  </si>
  <si>
    <t>FAJAR MILLENIUM</t>
  </si>
  <si>
    <t>SO-KS/2605/260099</t>
  </si>
  <si>
    <t>PEPITO FRESH MARKET PECATU GRAHA</t>
  </si>
  <si>
    <t>SO-KS/2605/260100</t>
  </si>
  <si>
    <t>PJ BAKEHOUSE</t>
  </si>
  <si>
    <t>SO-KS/2605/260101</t>
  </si>
  <si>
    <t>PEPITO MARKET DALUNG</t>
  </si>
  <si>
    <t>SO-KS/2605/260102</t>
  </si>
  <si>
    <t>PASTA MARCO JIMBARAN</t>
  </si>
  <si>
    <t>SO-KS/2605/260103</t>
  </si>
  <si>
    <t>BREAD YARD</t>
  </si>
  <si>
    <t>SO-KS/2605/260104</t>
  </si>
  <si>
    <t>PPTO MRKT SEMER</t>
  </si>
  <si>
    <t>SO-KS/2605/260105</t>
  </si>
  <si>
    <t>FINNS BEACH CLUB</t>
  </si>
  <si>
    <t>PPA0092</t>
  </si>
  <si>
    <t>Emborg Pizza Topping 2.3 Kg</t>
  </si>
  <si>
    <t>kitchen asian</t>
  </si>
  <si>
    <t>SO-KS/2605/260106</t>
  </si>
  <si>
    <t>PPTO MRKT BUWIT</t>
  </si>
  <si>
    <t>SO-KS/2605/260107</t>
  </si>
  <si>
    <t>BELLA ITALIAN GRAND MAS</t>
  </si>
  <si>
    <t>SO-KS/2605/260108</t>
  </si>
  <si>
    <t>TOKO PRANATA</t>
  </si>
  <si>
    <t>SO-KS/2605/260109</t>
  </si>
  <si>
    <t>TOKO KONDRIANI</t>
  </si>
  <si>
    <t>SO-KS/2605/260110</t>
  </si>
  <si>
    <t>TSM CENTRAL</t>
  </si>
  <si>
    <t>SO-KS/2605/260111</t>
  </si>
  <si>
    <t>CV. SURYA PANGAN</t>
  </si>
  <si>
    <t>Di kirim Mahendradatta</t>
  </si>
  <si>
    <t>SO-KS/2605/260112</t>
  </si>
  <si>
    <t>Di kirim munggu</t>
  </si>
  <si>
    <t>SO-KS/2605/260113</t>
  </si>
  <si>
    <t>SO-KS/2605/260115</t>
  </si>
  <si>
    <t>BAMBU BALI ULUWATU</t>
  </si>
  <si>
    <t>PSJ0007</t>
  </si>
  <si>
    <t>Friboi Brazil Tenderloin Whole</t>
  </si>
  <si>
    <t>cafe. 7 loaf</t>
  </si>
  <si>
    <t>SO-KS/2605/260116</t>
  </si>
  <si>
    <t>PPTO MRKT TEBONGKANG</t>
  </si>
  <si>
    <t>SO-KS/2605/260117</t>
  </si>
  <si>
    <t>oasis. 7 loaf</t>
  </si>
  <si>
    <t>SO-KS/2605/260119</t>
  </si>
  <si>
    <t>KORIDOR COFFEE</t>
  </si>
  <si>
    <t>SO-KS/2605/260120</t>
  </si>
  <si>
    <t>SO-KS/2605/260122</t>
  </si>
  <si>
    <t>RYOSHI MALL BALI GALERIA</t>
  </si>
  <si>
    <t>PSJ0203</t>
  </si>
  <si>
    <t>Borello Rump</t>
  </si>
  <si>
    <t xml:space="preserve"> bantu dicarikan yg sedikit lemaknya</t>
  </si>
  <si>
    <t>SO-KS/2605/260123</t>
  </si>
  <si>
    <t>NUSANTARA SUPPLIER</t>
  </si>
  <si>
    <t>120011</t>
  </si>
  <si>
    <t>Tepung Easymix Pisang Goreng @1kg/pack</t>
  </si>
  <si>
    <t>SO-KS/2605/260124</t>
  </si>
  <si>
    <t>WENY BAKERY</t>
  </si>
  <si>
    <t>SO-KS/2605/260125</t>
  </si>
  <si>
    <t>REVOLVER UMALAS</t>
  </si>
  <si>
    <t>SO-KS/2605/260126</t>
  </si>
  <si>
    <t>RAMEN 1 MBG</t>
  </si>
  <si>
    <t>INVOICE 1</t>
  </si>
  <si>
    <t>SO-KS/2605/260127</t>
  </si>
  <si>
    <t>BITE BALI</t>
  </si>
  <si>
    <t>PSF0014</t>
  </si>
  <si>
    <t>Tepung 00 Fusion @25Kg</t>
  </si>
  <si>
    <t>SO-KS/2605/260128</t>
  </si>
  <si>
    <t>INVOICE 2</t>
  </si>
  <si>
    <t>SO-KS/2605/260129</t>
  </si>
  <si>
    <t>ALAS HARUM UBUD</t>
  </si>
  <si>
    <t>BAR CRETYA</t>
  </si>
  <si>
    <t>SO-KS/2605/260130</t>
  </si>
  <si>
    <t>LOLAS CANTINA CANGGU</t>
  </si>
  <si>
    <t>SO-KS/2605/260131</t>
  </si>
  <si>
    <t>PPTO EXP UMALAS</t>
  </si>
  <si>
    <t>SO-KS/2605/260134</t>
  </si>
  <si>
    <t>NOURISH UNGASAN</t>
  </si>
  <si>
    <t>SO-KS/2605/260135</t>
  </si>
  <si>
    <t>TRIBE HOTEL KUTA</t>
  </si>
  <si>
    <t>SO-KS/2605/260136</t>
  </si>
  <si>
    <t>MERUSAKA NUSA DUA</t>
  </si>
  <si>
    <t>SO-KS/2605/260137</t>
  </si>
  <si>
    <t>SO-KS/2605/260138</t>
  </si>
  <si>
    <t xml:space="preserve"> kitchen fbc</t>
  </si>
  <si>
    <t>SO-KS/2605/260139</t>
  </si>
  <si>
    <t>PSJ0275</t>
  </si>
  <si>
    <t>Pickled Gherkins (2kg/pack)</t>
  </si>
  <si>
    <t>SO-KS/2605/260140</t>
  </si>
  <si>
    <t>PADMA BALI RESORT</t>
  </si>
  <si>
    <t>SO-KS/2605/260142</t>
  </si>
  <si>
    <t>JUMEIRAH</t>
  </si>
  <si>
    <t>SO-KS/2605/260143</t>
  </si>
  <si>
    <t>SO-KS/2605/260144</t>
  </si>
  <si>
    <t>SO-KS/2605/260145</t>
  </si>
  <si>
    <t>ST REGIS</t>
  </si>
  <si>
    <t>SO-KS/2605/260146</t>
  </si>
  <si>
    <t>SO-KS/2605/260147</t>
  </si>
  <si>
    <t>HILTON HOTEL</t>
  </si>
  <si>
    <t>SO-KS/2605/260148</t>
  </si>
  <si>
    <t>POT0983</t>
  </si>
  <si>
    <t>IKPS Sechuan Preserved Vegetable 340 Gr</t>
  </si>
  <si>
    <t>CAN</t>
  </si>
  <si>
    <t>SO-KS/2605/260150</t>
  </si>
  <si>
    <t>SO-KS/2605/260151</t>
  </si>
  <si>
    <t>THE LAGUNA</t>
  </si>
  <si>
    <t>4 LOAF</t>
  </si>
  <si>
    <t>SO-KS/2605/260155</t>
  </si>
  <si>
    <t>SO-KS/2605/260156</t>
  </si>
  <si>
    <t>BALI ECO DELI</t>
  </si>
  <si>
    <t>080239</t>
  </si>
  <si>
    <t>THE ALTERNATIVE Barista Soy Milk 1 Lt</t>
  </si>
  <si>
    <t>dikirim ke Prema Cargo Sanur Jln HangTuah Sanur</t>
  </si>
  <si>
    <t>SO-KS/2605/260157</t>
  </si>
  <si>
    <t>NESTLE BNR</t>
  </si>
  <si>
    <t>CBD</t>
  </si>
  <si>
    <t>SO-KS/2605/260160</t>
  </si>
  <si>
    <t>TIS CAFE</t>
  </si>
  <si>
    <t>SO-KS/2605/260161</t>
  </si>
  <si>
    <t>ART CAFE BUMBU BALI</t>
  </si>
  <si>
    <t>PSJ0011</t>
  </si>
  <si>
    <t>Chuck Tenderloin Whole</t>
  </si>
  <si>
    <t>SO-KS/2605/260163</t>
  </si>
  <si>
    <t>THE GARCIA UBUD</t>
  </si>
  <si>
    <t>SO-KS/2605/260164</t>
  </si>
  <si>
    <t>DISCOVERY KARTIKA PLAZA HOTEL</t>
  </si>
  <si>
    <t>SO-KS/2605/260166</t>
  </si>
  <si>
    <t>SO-KS/2605/260167</t>
  </si>
  <si>
    <t>JU BALI - GRILL BAR AND JACUZZI CLUB</t>
  </si>
  <si>
    <t>SO-KS/2605/260169</t>
  </si>
  <si>
    <t>SO-KS/2605/260171</t>
  </si>
  <si>
    <t>YENY KITCHEN</t>
  </si>
  <si>
    <t>SO-KS/2605/260172</t>
  </si>
  <si>
    <t>SO-KS/2605/260173</t>
  </si>
  <si>
    <t>MAYA UBUD</t>
  </si>
  <si>
    <t>SO-KS/2605/260174</t>
  </si>
  <si>
    <t>MAMAKA</t>
  </si>
  <si>
    <t>SO-KS/2605/260175</t>
  </si>
  <si>
    <t>THE SEMINYAK</t>
  </si>
  <si>
    <t>DI KIRIM SEBELUM JAM 3</t>
  </si>
  <si>
    <t>SO-KS/2605/260176</t>
  </si>
  <si>
    <t>POTATO HEAD</t>
  </si>
  <si>
    <t>SO-KS/2605/260177</t>
  </si>
  <si>
    <t>PT BALI PERKASASUKSES</t>
  </si>
  <si>
    <t>SO-KS/2605/260179</t>
  </si>
  <si>
    <t>NAV KARAOKE TEUKU UMAR</t>
  </si>
  <si>
    <t>060017</t>
  </si>
  <si>
    <t>Nestle Blackcurrant Drink 750gr/Pack</t>
  </si>
  <si>
    <t>SO-KS/2605/260181</t>
  </si>
  <si>
    <t>FRANKIES BAR AND GRILL</t>
  </si>
  <si>
    <t>SO-KS/2605/260182</t>
  </si>
  <si>
    <t>ZERO 4 KARAOKE</t>
  </si>
  <si>
    <t>PSJ0024</t>
  </si>
  <si>
    <t>Halal Minced Beef 1Kg/Pack</t>
  </si>
  <si>
    <t>SO-KS/2605/260183</t>
  </si>
  <si>
    <t>MAMAS GERMAN REST.</t>
  </si>
  <si>
    <t>Management Bali</t>
  </si>
  <si>
    <t>SO-KS/2605/260184</t>
  </si>
  <si>
    <t>080026</t>
  </si>
  <si>
    <t>Greenfields ESL Fresh Milk Full Cream Milk 1Lt</t>
  </si>
  <si>
    <t>LTR</t>
  </si>
  <si>
    <t>SO-KS/2605/260185</t>
  </si>
  <si>
    <t>PT. SOEJASCH BALI</t>
  </si>
  <si>
    <t>070125</t>
  </si>
  <si>
    <t>GRECI Polpachef 4.05 Kg</t>
  </si>
  <si>
    <t>TIN</t>
  </si>
  <si>
    <t>SPC SBY-2, MINTA ED MINIMAL 6 BULAN</t>
  </si>
  <si>
    <t>SO-KU/2605/260001</t>
  </si>
  <si>
    <t>MKU Bali</t>
  </si>
  <si>
    <t>TUI BLUE BERAWA HOTEL</t>
  </si>
  <si>
    <t>PAA0001</t>
  </si>
  <si>
    <t>Bergold Mozzarella Block</t>
  </si>
  <si>
    <t>PEA0006</t>
  </si>
  <si>
    <t>Gold Box Extra Butter MP341 5 Kg</t>
  </si>
  <si>
    <t>SO-KU/2605/260002</t>
  </si>
  <si>
    <t>ULU SEGARA LUXURY SUITES &amp; VILLAS</t>
  </si>
  <si>
    <t>PAS0014</t>
  </si>
  <si>
    <t>Crr Rock'n Hash Brown Triangular 10Kg/Ctn</t>
  </si>
  <si>
    <t>SO-KU/2605/260004</t>
  </si>
  <si>
    <t>METLAND VENYA UBUD</t>
  </si>
  <si>
    <t>SO-KU/2605/260009</t>
  </si>
  <si>
    <t>SANUR KIDS SOHO CAFE</t>
  </si>
  <si>
    <t>PAS0027</t>
  </si>
  <si>
    <t>Maestro FF 10x10mm Straight Cut 10Kg/Ctn</t>
  </si>
  <si>
    <t>SO-KU/2605/260011</t>
  </si>
  <si>
    <t>SKOOBY BURGER</t>
  </si>
  <si>
    <t>PKI0003</t>
  </si>
  <si>
    <t>Premium Batter Coated SC Fries 4x2.5 Kg</t>
  </si>
  <si>
    <t>SO-KU/2605/260012</t>
  </si>
  <si>
    <t>POT0046</t>
  </si>
  <si>
    <t>Australian Butter Unsalted</t>
  </si>
  <si>
    <t>SO-KU/2605/260018</t>
  </si>
  <si>
    <t>JOHNNY ROCKET SEMINYAK</t>
  </si>
  <si>
    <t>PIF0011</t>
  </si>
  <si>
    <t>Pristine Classic Whip Topping 1 Lt</t>
  </si>
  <si>
    <t>PIF0012</t>
  </si>
  <si>
    <t>Pristine Classic Cooking Cream 1 Lt</t>
  </si>
  <si>
    <t>SO-KU/2605/260019</t>
  </si>
  <si>
    <t>CV. ANUGERAH JAYA BALI</t>
  </si>
  <si>
    <t>PMS0130</t>
  </si>
  <si>
    <t>Masterista Syrup Classic Caramel 850ml</t>
  </si>
  <si>
    <t>dikirim ke jfc pidada</t>
  </si>
  <si>
    <t>PMS0132</t>
  </si>
  <si>
    <t>Masterista Syrup Vanilla Tradition 850ml</t>
  </si>
  <si>
    <t>PMS0143</t>
  </si>
  <si>
    <t>Masterista Syrup Premium Hazelnut 850 Ml</t>
  </si>
  <si>
    <t>SO-KU/2605/260020</t>
  </si>
  <si>
    <t>ASS-MO-TB10</t>
  </si>
  <si>
    <t>Manggo Tea @10tb/pack</t>
  </si>
  <si>
    <t>BOX</t>
  </si>
  <si>
    <t>SO-KU/2605/260021</t>
  </si>
  <si>
    <t>KONGKOW COFFEE CANGGU</t>
  </si>
  <si>
    <t>PMS0094</t>
  </si>
  <si>
    <t>Masterista Syrup Butterscotch 850 Ml</t>
  </si>
  <si>
    <t>SO-KU/2605/260024</t>
  </si>
  <si>
    <t>REJEKI FROZEN MART</t>
  </si>
  <si>
    <t>PSJ0019</t>
  </si>
  <si>
    <t>Pork B Sliced (1kg/pack)</t>
  </si>
  <si>
    <t>SO-KU/2605/260025</t>
  </si>
  <si>
    <t>PMS0031</t>
  </si>
  <si>
    <t>Masterista Aren Sugar Liquid 1000Gr</t>
  </si>
  <si>
    <t>SO-KU/2605/260028</t>
  </si>
  <si>
    <t>NUJU COFFEE UBUD</t>
  </si>
  <si>
    <t>PMS0024</t>
  </si>
  <si>
    <t>Masterista Original Matcha 800Gr</t>
  </si>
  <si>
    <t>PMS0026</t>
  </si>
  <si>
    <t>Masterista Dark Chocolate 800Gr</t>
  </si>
  <si>
    <t>SO-KU/2605/260029</t>
  </si>
  <si>
    <t>PMS0028</t>
  </si>
  <si>
    <t>Masterista Taro Expecta 800Gr</t>
  </si>
  <si>
    <t>PT. STUJA MANAGEMENT</t>
  </si>
  <si>
    <t>PMS0157</t>
  </si>
  <si>
    <t>Masterista Syrup Spicy Ginger 850 Ml</t>
  </si>
  <si>
    <t>SO-KU/2605/260034</t>
  </si>
  <si>
    <t>PT. GEMILANG KARYA KULINER (PLAGOO)</t>
  </si>
  <si>
    <t>PKI0001</t>
  </si>
  <si>
    <t>Premium Crincle Cut Fries 6x2 Kg</t>
  </si>
  <si>
    <t>SO-KU/2605/260035</t>
  </si>
  <si>
    <t>PENINSULA BEACH RESORT</t>
  </si>
  <si>
    <t>SO-KU/2605/260036</t>
  </si>
  <si>
    <t>MRD1318A</t>
  </si>
  <si>
    <t>MAMAS BELLY RIND ON SB OUT (SKIN ON) 3-5KG/PACK</t>
  </si>
  <si>
    <t>SO-KU/2605/260037</t>
  </si>
  <si>
    <t>BAKERS CORNER TUBAN</t>
  </si>
  <si>
    <t>Lani P</t>
  </si>
  <si>
    <t>PMS0076</t>
  </si>
  <si>
    <t>Masterista Creamer Base (Creamy)</t>
  </si>
  <si>
    <t>SO-KU/2605/260038</t>
  </si>
  <si>
    <t>PPTO EXP PECATU</t>
  </si>
  <si>
    <t>CKP1S-164</t>
  </si>
  <si>
    <t>Daebak Soju Lychee @360ml/btl</t>
  </si>
  <si>
    <t>SO-KU/2605/260039</t>
  </si>
  <si>
    <t>PAL0003</t>
  </si>
  <si>
    <t>Isabi Smoked Salmon Slice 1Kg/Pack</t>
  </si>
  <si>
    <t>SO-KU/2605/260041</t>
  </si>
  <si>
    <t>PPTO MRKT PETITENGET</t>
  </si>
  <si>
    <t>CKP1S-181</t>
  </si>
  <si>
    <t>Daebak Soju Grape 360ml</t>
  </si>
  <si>
    <t>SO-KU/2605/260042</t>
  </si>
  <si>
    <t>CKP1S-160</t>
  </si>
  <si>
    <t>Daebak Soju Mango @360ml/btl</t>
  </si>
  <si>
    <t>SO-KU/2605/260043</t>
  </si>
  <si>
    <t>SO-KU/2605/260044</t>
  </si>
  <si>
    <t>PPTO MRKT LOVINA</t>
  </si>
  <si>
    <t>CKP1S-166</t>
  </si>
  <si>
    <t>Cap Tikus Original 320ml</t>
  </si>
  <si>
    <t>SO-KU/2605/260045</t>
  </si>
  <si>
    <t>ASS-JT-LP250</t>
  </si>
  <si>
    <t>Jasmine Tea @250gr/Pouch</t>
  </si>
  <si>
    <t>ASS-PP-LP250</t>
  </si>
  <si>
    <t>Peppermint @250gr</t>
  </si>
  <si>
    <t>ASS-PL-LP250</t>
  </si>
  <si>
    <t>Lemongrass @250gr</t>
  </si>
  <si>
    <t>ASS-CH-L250</t>
  </si>
  <si>
    <t>Chamomile Dream @250gr</t>
  </si>
  <si>
    <t>ASS-EG-LP250</t>
  </si>
  <si>
    <t>Earl Grey @250gr</t>
  </si>
  <si>
    <t>SO-KU/2605/260047</t>
  </si>
  <si>
    <t>SO-KU/2605/260050</t>
  </si>
  <si>
    <t>program lock volume</t>
  </si>
  <si>
    <t>CKP1S-163</t>
  </si>
  <si>
    <t>Daebak Soju Peach @360ml/btl</t>
  </si>
  <si>
    <t>SO-KU/2605/260051</t>
  </si>
  <si>
    <t>PPTO MRKT PERERENAN</t>
  </si>
  <si>
    <t>SO-KU/2605/260053</t>
  </si>
  <si>
    <t>POS0024</t>
  </si>
  <si>
    <t>O Sole Pomodori Pelati Peeled Tomatoes 2.5Kg</t>
  </si>
  <si>
    <t>SO-KU/2605/260054</t>
  </si>
  <si>
    <t>PLAGOO HOLIDAY HOTEL</t>
  </si>
  <si>
    <t>SO-KU/2605/260055</t>
  </si>
  <si>
    <t>PENJUALAN CASH</t>
  </si>
  <si>
    <t>PAS0036</t>
  </si>
  <si>
    <t>Crr Rock'n Hash Brown Triangular 2.5Kg</t>
  </si>
  <si>
    <t>Penjualan cash (plagoo)
An ibu yenny - sales monica</t>
  </si>
  <si>
    <t>SO-KU/2605/260056</t>
  </si>
  <si>
    <t>cafe</t>
  </si>
  <si>
    <t>SO-KU/2605/260057</t>
  </si>
  <si>
    <t>oasis</t>
  </si>
  <si>
    <t>SO-KU/2605/260058</t>
  </si>
  <si>
    <t xml:space="preserve"> 3 loaf (pack) / 6,9kg</t>
  </si>
  <si>
    <t>SO-KU/2605/260062</t>
  </si>
  <si>
    <t>WACKO DRUPADI</t>
  </si>
  <si>
    <t>Kirim sales kamis. 1 loaf</t>
  </si>
  <si>
    <t>SO-KU/2605/260063</t>
  </si>
  <si>
    <t>SO-KU/2605/260064</t>
  </si>
  <si>
    <t>SO-KU/2605/260065</t>
  </si>
  <si>
    <t xml:space="preserve"> BAR CRETYA</t>
  </si>
  <si>
    <t>SO-KU/2605/260067</t>
  </si>
  <si>
    <t>AYAPI ASIAN FODIZ</t>
  </si>
  <si>
    <t>PQW0010</t>
  </si>
  <si>
    <t>IQF FF Shoestring 10Kg/Ctn</t>
  </si>
  <si>
    <t>SO-KU/2605/260068</t>
  </si>
  <si>
    <t>AMARTHA FROZEN FOOD</t>
  </si>
  <si>
    <t>SO-KU/2605/260069</t>
  </si>
  <si>
    <t>SO-KU/2605/260070</t>
  </si>
  <si>
    <t>SO-KU/2605/260071</t>
  </si>
  <si>
    <t>LUSI &amp; PAKAN BY THE RIVER</t>
  </si>
  <si>
    <t>PMS0027</t>
  </si>
  <si>
    <t>Masterista Red Velvet Expecta 800Gr</t>
  </si>
  <si>
    <t>SO-KU/2605/260072</t>
  </si>
  <si>
    <t>STHALA UBUD</t>
  </si>
  <si>
    <t>SO-KU/2605/260073</t>
  </si>
  <si>
    <t>GRAND MERCURE SEMINYAK</t>
  </si>
  <si>
    <t>POT0038</t>
  </si>
  <si>
    <t>Premium Straight Cut 2Kg</t>
  </si>
  <si>
    <t>SO-KU/2605/260074</t>
  </si>
  <si>
    <t>TOYA DEVASYA GEOPARK RESORT KINTAMANI</t>
  </si>
  <si>
    <t>KIRIM KINTAMANI</t>
  </si>
  <si>
    <t>SO-KU/2605/260075</t>
  </si>
  <si>
    <t>CENTRAL KITCHEN BALI</t>
  </si>
  <si>
    <t>ASS-JVJ</t>
  </si>
  <si>
    <t>Javanese Jasmine Tea @50TB/Box</t>
  </si>
  <si>
    <t>PO BHALANCE</t>
  </si>
  <si>
    <t>ASS-PGT</t>
  </si>
  <si>
    <t>Pure Green Tea @50TB/Box</t>
  </si>
  <si>
    <t>SO-KU/2605/260076</t>
  </si>
  <si>
    <t>SO-KU/2605/260077</t>
  </si>
  <si>
    <t>SO-KU/2605/260078</t>
  </si>
  <si>
    <t>SO-KU/2605/260079</t>
  </si>
  <si>
    <t>SO-KU/2605/260080</t>
  </si>
  <si>
    <t>KOPI DANU KINTAMANI</t>
  </si>
  <si>
    <t>KIRIM KE KINTAMANI</t>
  </si>
  <si>
    <t>PMS0036</t>
  </si>
  <si>
    <t>Artisan Pure Matcha (500Gr/Pack)</t>
  </si>
  <si>
    <t>SO-KU/2605/260081</t>
  </si>
  <si>
    <t>POT0110</t>
  </si>
  <si>
    <t>Bergold Shredded Pizza Topping Mozzarella</t>
  </si>
  <si>
    <t>SO-KU/2605/260082</t>
  </si>
  <si>
    <t>SO-KU/2605/260083</t>
  </si>
  <si>
    <t>SO-KU/2605/260084</t>
  </si>
  <si>
    <t>SO-KU/2605/260085</t>
  </si>
  <si>
    <t>HYATT REGENCY SANUR</t>
  </si>
  <si>
    <t>ASS-CH-TB50</t>
  </si>
  <si>
    <t>Chamomile Dream @50Tb/Box</t>
  </si>
  <si>
    <t>ASS-EBT</t>
  </si>
  <si>
    <t>English Breakfast@50TB/Box</t>
  </si>
  <si>
    <t>PMS0082</t>
  </si>
  <si>
    <t>Ice Shaken Orange Punch 1 Kg</t>
  </si>
  <si>
    <t>SO-KU/2605/260086</t>
  </si>
  <si>
    <t>SO-KU/2605/260087</t>
  </si>
  <si>
    <t>PMS0141</t>
  </si>
  <si>
    <t>Flavourista Syrup Strawberry 1000 Ml</t>
  </si>
  <si>
    <t>PMS0165</t>
  </si>
  <si>
    <t>Flavourista Syrup Vanilla 1000 Ml</t>
  </si>
  <si>
    <t>SO-KU/2605/260088</t>
  </si>
  <si>
    <t>SO-KU/2605/260089</t>
  </si>
  <si>
    <t>BEST WESTERN PREMIER UBUD</t>
  </si>
  <si>
    <t>SO-KU/2605/260090</t>
  </si>
  <si>
    <t>tambahan kitchen fbc</t>
  </si>
  <si>
    <t>SO-KU/2605/260091</t>
  </si>
  <si>
    <t>KOJA PANTAI SANUR</t>
  </si>
  <si>
    <t>150226</t>
  </si>
  <si>
    <t>Belly Skinless Premium (2.5Kg/Pack)</t>
  </si>
  <si>
    <t>1 LOAF</t>
  </si>
  <si>
    <t>SO-KU/2605/260092</t>
  </si>
  <si>
    <t>ALILA HOTEL SEMINYAK</t>
  </si>
  <si>
    <t>SO-KU/2605/260093</t>
  </si>
  <si>
    <t>MERCURE BALI LEGIAN</t>
  </si>
  <si>
    <t>SO-KU/2605/260094</t>
  </si>
  <si>
    <t>SO-KU/2605/260095</t>
  </si>
  <si>
    <t>SO-KU/2605/260096</t>
  </si>
  <si>
    <t>MOVENPICK</t>
  </si>
  <si>
    <t>PAS0039</t>
  </si>
  <si>
    <t>Crr Rock'n Simply Crrrrips Straight Cut Fries 2.5 Kg</t>
  </si>
  <si>
    <t>SO-KU/2605/260097</t>
  </si>
  <si>
    <t>SO-KU/2605/260098</t>
  </si>
  <si>
    <t>PEA0003</t>
  </si>
  <si>
    <t>Gold Box Melange Butter MP331</t>
  </si>
  <si>
    <t>SO-KU/2605/260099</t>
  </si>
  <si>
    <t>SO-KU/2605/260100</t>
  </si>
  <si>
    <t>POT0120</t>
  </si>
  <si>
    <t>Bottegaio Umbro Olio Evo Cucina 5Lt</t>
  </si>
  <si>
    <t>GLN</t>
  </si>
  <si>
    <t>SO-KU/2605/260102</t>
  </si>
  <si>
    <t>SO-KU/2605/260103</t>
  </si>
  <si>
    <t>DAS BISTRO</t>
  </si>
  <si>
    <t>SO-KU/2605/260104</t>
  </si>
  <si>
    <t>SPC JOGJA</t>
  </si>
  <si>
    <t>SO-KU/2605/260105</t>
  </si>
  <si>
    <t>ASS-LY-TB50</t>
  </si>
  <si>
    <t>Lychee Tea @50TB/Box</t>
  </si>
  <si>
    <t>SO-KU/2605/260106</t>
  </si>
  <si>
    <t>SPC SBY, MINTA ED MINIMAL 6 BULAN</t>
  </si>
  <si>
    <t>SO-KU/2605/260107</t>
  </si>
  <si>
    <t>PEA0004</t>
  </si>
  <si>
    <t>Gold Box Extra Butter MP341</t>
  </si>
  <si>
    <t>untuk WHSO</t>
  </si>
  <si>
    <t>SO-KU/2605/260108</t>
  </si>
  <si>
    <t>SO-KU/2605/260109</t>
  </si>
  <si>
    <t>SO-KU/2605/260110</t>
  </si>
  <si>
    <t>PAS0026</t>
  </si>
  <si>
    <t>Crr Rock'n Batter Skin On Fries 9x9mm 10Kg/Ctn</t>
  </si>
  <si>
    <t>SO-KU/2605/260112</t>
  </si>
  <si>
    <t>HANDARA GOLF &amp; RESORT BALI</t>
  </si>
  <si>
    <t>100 KG</t>
  </si>
  <si>
    <t>PKI0002</t>
  </si>
  <si>
    <t>Premium Crincle Cut Fries 2 Kg</t>
  </si>
  <si>
    <t>Row Labels</t>
  </si>
  <si>
    <t>Grand Total</t>
  </si>
  <si>
    <t>Sum of Sub T.Jual(Rp)</t>
  </si>
  <si>
    <t>NP5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</si>
</sst>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2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70.339639467595" createdVersion="8" refreshedVersion="8" minRefreshableVersion="3" recordCount="270" xr:uid="{74DED2D8-9869-4568-872A-0A58D4467F97}">
  <cacheSource type="worksheet">
    <worksheetSource ref="A1:Q271" sheet="Sheet"/>
  </cacheSource>
  <cacheFields count="17">
    <cacheField name="Tgl Kirim" numFmtId="164">
      <sharedItems containsSemiMixedTypes="0" containsNonDate="0" containsDate="1" containsString="0" minDate="2026-05-28T00:00:00" maxDate="2026-05-29T00:00:00"/>
    </cacheField>
    <cacheField name="Tgl SO" numFmtId="164">
      <sharedItems containsSemiMixedTypes="0" containsNonDate="0" containsDate="1" containsString="0" minDate="2026-05-26T00:00:00" maxDate="2026-05-27T00:00:00"/>
    </cacheField>
    <cacheField name="No SO" numFmtId="0">
      <sharedItems/>
    </cacheField>
    <cacheField name="Nama Divisi" numFmtId="0">
      <sharedItems/>
    </cacheField>
    <cacheField name="Nama Customer" numFmtId="0">
      <sharedItems count="139">
        <s v="KABAK BAKERY"/>
        <s v="UD. METRI"/>
        <s v="LACASETTA RESTAURANT"/>
        <s v="LOLAS ULUWATU"/>
        <s v="STADIUM RESTAURANT"/>
        <s v="BOGA WARASTAMA"/>
        <s v="JALAPENO CANGGU"/>
        <s v="LE CROISSANT"/>
        <s v="BOTTEGA ITALIAN PETITENGET"/>
        <s v="TN CAKES"/>
        <s v="ARTE CANGGU"/>
        <s v="DSDS RESTAURANT UBUD"/>
        <s v="YAYAK SUPPLIER"/>
        <s v="BULGARI"/>
        <s v="SHERATON BALI KUTA RESORT"/>
        <s v="CONRAD HOTEL"/>
        <s v="SANDI WIJAYA"/>
        <s v="RADISSON BLU BALI ULUWATU"/>
        <s v="PT AURORA CAKE BAKERY"/>
        <s v="MONTANA DEL CAFE KINTAMANI"/>
        <s v="TOKO BRENDY"/>
        <s v="ELOK CAFE ULUWATU"/>
        <s v="NYOMAN'S COFFEE"/>
        <s v="LUMBUNG PANGAN"/>
        <s v="PT. AROMADUTA RASA PRIMA"/>
        <s v="CLEANER STORE"/>
        <s v="BALI TROPIC RESORT &amp; SPA"/>
        <s v="GYUKAKU RESTORAN ( ICON MALL BALI )"/>
        <s v="PT. ADIKARYA PANGAN FRESHINDO"/>
        <s v="PT. SINAR KARUNIA SEJAHTERA"/>
        <s v="BIKU RESTAURANT"/>
        <s v="SOOGUD COFFEE"/>
        <s v="WARUNG LOKAL CANGGU"/>
        <s v="AUTOGRILL"/>
        <s v="SADARA BOUTIQUE BEACH RESORT"/>
        <s v="INTERCONTINENTAL BALI RESORT"/>
        <s v="LITTLE LIMA COFFEE"/>
        <s v="PT. SILOAM INTERNATIONAL HOSPITALS TBK"/>
        <s v="CV. FENNY BERSAMA"/>
        <s v="PT. SSP TAURUS GEMILANG INDONESIA"/>
        <s v="GENKI SUSHI ICON"/>
        <s v="PT. CANGGU DELI"/>
        <s v="CENTRAL KITCHEN LOSTERIA (SUKAWATI)"/>
        <s v="2080 BURGER NUSA DUA"/>
        <s v="PEPITO MARKET DEWI SRI"/>
        <s v="MITRA PANGAN"/>
        <s v="CV. BUKIT ARTA PANGAN"/>
        <s v="POPULAR DELI CANGGU"/>
        <s v="FAJAR MILLENIUM"/>
        <s v="PEPITO FRESH MARKET PECATU GRAHA"/>
        <s v="PJ BAKEHOUSE"/>
        <s v="PEPITO MARKET DALUNG"/>
        <s v="PASTA MARCO JIMBARAN"/>
        <s v="BREAD YARD"/>
        <s v="PPTO MRKT SEMER"/>
        <s v="FINNS BEACH CLUB"/>
        <s v="PPTO MRKT BUWIT"/>
        <s v="BELLA ITALIAN GRAND MAS"/>
        <s v="TOKO PRANATA"/>
        <s v="TOKO KONDRIANI"/>
        <s v="TSM CENTRAL"/>
        <s v="CV. SURYA PANGAN"/>
        <s v="BAMBU BALI ULUWATU"/>
        <s v="PPTO MRKT TEBONGKANG"/>
        <s v="KORIDOR COFFEE"/>
        <s v="RYOSHI MALL BALI GALERIA"/>
        <s v="NUSANTARA SUPPLIER"/>
        <s v="WENY BAKERY"/>
        <s v="REVOLVER UMALAS"/>
        <s v="RAMEN 1 MBG"/>
        <s v="BITE BALI"/>
        <s v="ALAS HARUM UBUD"/>
        <s v="LOLAS CANTINA CANGGU"/>
        <s v="PPTO EXP UMALAS"/>
        <s v="NOURISH UNGASAN"/>
        <s v="TRIBE HOTEL KUTA"/>
        <s v="MERUSAKA NUSA DUA"/>
        <s v="PADMA BALI RESORT"/>
        <s v="JUMEIRAH"/>
        <s v="ST REGIS"/>
        <s v="HILTON HOTEL"/>
        <s v="THE LAGUNA"/>
        <s v="BALI ECO DELI"/>
        <s v="NESTLE BNR"/>
        <s v="TIS CAFE"/>
        <s v="ART CAFE BUMBU BALI"/>
        <s v="THE GARCIA UBUD"/>
        <s v="DISCOVERY KARTIKA PLAZA HOTEL"/>
        <s v="JU BALI - GRILL BAR AND JACUZZI CLUB"/>
        <s v="YENY KITCHEN"/>
        <s v="MAYA UBUD"/>
        <s v="MAMAKA"/>
        <s v="THE SEMINYAK"/>
        <s v="POTATO HEAD"/>
        <s v="PT BALI PERKASASUKSES"/>
        <s v="NAV KARAOKE TEUKU UMAR"/>
        <s v="FRANKIES BAR AND GRILL"/>
        <s v="ZERO 4 KARAOKE"/>
        <s v="MAMAS GERMAN REST."/>
        <s v="PT. SOEJASCH BALI"/>
        <s v="TUI BLUE BERAWA HOTEL"/>
        <s v="ULU SEGARA LUXURY SUITES &amp; VILLAS"/>
        <s v="METLAND VENYA UBUD"/>
        <s v="SANUR KIDS SOHO CAFE"/>
        <s v="SKOOBY BURGER"/>
        <s v="ZIA TINA BALI"/>
        <s v="JOHNNY ROCKET SEMINYAK"/>
        <s v="CV. ANUGERAH JAYA BALI"/>
        <s v="KONGKOW COFFEE CANGGU"/>
        <s v="REJEKI FROZEN MART"/>
        <s v="NUJU COFFEE UBUD"/>
        <s v="PT. GEMILANG KARYA KULINER (PLAGOO)"/>
        <s v="PENINSULA BEACH RESORT"/>
        <s v="BAKERS CORNER TUBAN"/>
        <s v="PPTO EXP PECATU"/>
        <s v="PPTO MRKT PETITENGET"/>
        <s v="PPTO MRKT LOVINA"/>
        <s v="PT. STUJA MANAGEMENT"/>
        <s v="YOGA MART"/>
        <s v="PPTO MRKT PERERENAN"/>
        <s v="PLAGOO HOLIDAY HOTEL"/>
        <s v="PENJUALAN CASH"/>
        <s v="WACKO DRUPADI"/>
        <s v="AYAPI ASIAN FODIZ"/>
        <s v="AMARTHA FROZEN FOOD"/>
        <s v="LUSI &amp; PAKAN BY THE RIVER"/>
        <s v="STHALA UBUD"/>
        <s v="GRAND MERCURE SEMINYAK"/>
        <s v="TOYA DEVASYA GEOPARK RESORT KINTAMANI"/>
        <s v="CENTRAL KITCHEN BALI"/>
        <s v="KOPI DANU KINTAMANI"/>
        <s v="HYATT REGENCY SANUR"/>
        <s v="BEST WESTERN PREMIER UBUD"/>
        <s v="KOJA PANTAI SANUR"/>
        <s v="ALILA HOTEL SEMINYAK"/>
        <s v="MERCURE BALI LEGIAN"/>
        <s v="MOVENPICK"/>
        <s v="DAS BISTRO"/>
        <s v="HANDARA GOLF &amp; RESORT BALI"/>
      </sharedItems>
    </cacheField>
    <cacheField name="Syarat Bayar" numFmtId="0">
      <sharedItems count="2">
        <s v="Cash"/>
        <s v="Credit"/>
      </sharedItems>
    </cacheField>
    <cacheField name="Nama Sales" numFmtId="0">
      <sharedItems count="19">
        <s v="Dewi Kristiani"/>
        <s v="Ni Ketut Sriasih (GT)"/>
        <s v="Juni"/>
        <s v="Eka"/>
        <s v="I MADE LUIH"/>
        <s v="Sujana"/>
        <s v="Taufik"/>
        <s v="Picrom Stalyon"/>
        <s v="Wira"/>
        <s v="Monica"/>
        <s v="LANI"/>
        <s v="Ni Ketut Sriasih (MT)"/>
        <s v="NP2"/>
        <s v="NP1"/>
        <s v="NP3"/>
        <s v="NP5"/>
        <s v="I Made Luih (Sanur)"/>
        <s v="Management Bali"/>
        <s v="Lani P"/>
      </sharedItems>
    </cacheField>
    <cacheField name="Kode Brg" numFmtId="0">
      <sharedItems/>
    </cacheField>
    <cacheField name="Nama Brg" numFmtId="0">
      <sharedItems count="100">
        <s v="Tepung Pita Emas @25Kg/Sack"/>
        <s v="Tepung Double Zero 1kg/pack"/>
        <s v="Levoni Parma Ham Boneless 14 months approx. 7 kg"/>
        <s v="Block Red Cheddar Mix Cheese 5x2kg"/>
        <s v="Tepung Double Zero @25Kg/Sack"/>
        <s v="Tepung Yokozuna 1kg/pack"/>
        <s v="Tepung Ninja @25Kg/Sack"/>
        <s v="FOODY Star Chicken Sausage 250 Gr"/>
        <s v="Halal Premium Oxtail Whole Cut 3Cm (2 Kg/Pack)"/>
        <s v="THE ALTERNATIVE Barista Almond Milk 1 Lt"/>
        <s v="Tepung Hime @25Kg/Sack"/>
        <s v="Tepung Ninja 1kg/pack"/>
        <s v="ELLENKA BARISTA COCONUT MILK 1000ML APL"/>
        <s v="Nescafe Classic Sac+Bag Era 60x2gr"/>
        <s v="Nescafe Classic Vending 120gr/Pack"/>
        <s v="MAGGI Seasoning @800ml/Btl"/>
        <s v="Tepung Japanese Tempura 1kg/pack"/>
        <s v="Nestea Lemon Tea 1kg/Pack"/>
        <s v="Amron Tenderloin Whole"/>
        <s v="RICH CRÈME ND 08 1000G POUCH"/>
        <s v="Amron Striploin Whole"/>
        <s v="RICH CREME WHIPING CREAM 800G POUCH"/>
        <s v="Nescafe Cappuccino Caramel Era 500gr/Pack"/>
        <s v="Inofa Heat Treated Wheat Flour SF 346 @25kg/sack"/>
        <s v="Nestle Milo Npro 1.5Kg"/>
        <s v="Tepung Easymix Fish n Chips 1kg/pack"/>
        <s v="Nestea Lychee Tea Npro 560gr/Pack"/>
        <s v="Nestle Lemonade Original 640gr/Pack"/>
        <s v="Magic Lezat @1kg/pack"/>
        <s v="Tepung Crispy Ala Kentucky 1kg/pack"/>
        <s v="NESTLE Milo Activ-Go NPro 960Gr/Pack"/>
        <s v="Tepung Hime 1kg/pack"/>
        <s v="Emborg Pizza Topping 2.3 Kg"/>
        <s v="Friboi Brazil Tenderloin Whole"/>
        <s v="Borello Rump"/>
        <s v="Tepung Easymix Pisang Goreng @1kg/pack"/>
        <s v="Tepung 00 Fusion @25Kg"/>
        <s v="Pickled Gherkins (2kg/pack)"/>
        <s v="IKPS Sechuan Preserved Vegetable 340 Gr"/>
        <s v="THE ALTERNATIVE Barista Soy Milk 1 Lt"/>
        <s v="Chuck Tenderloin Whole"/>
        <s v="Nestle Blackcurrant Drink 750gr/Pack"/>
        <s v="Halal Minced Beef 1Kg/Pack"/>
        <s v="Greenfields ESL Fresh Milk Full Cream Milk 1Lt"/>
        <s v="GRECI Polpachef 4.05 Kg"/>
        <s v="Bergold Mozzarella Block"/>
        <s v="Gold Box Extra Butter MP341 5 Kg"/>
        <s v="Crr Rock'n Hash Brown Triangular 10Kg/Ctn"/>
        <s v="Maestro FF 10x10mm Straight Cut 10Kg/Ctn"/>
        <s v="Premium Batter Coated SC Fries 4x2.5 Kg"/>
        <s v="Australian Butter Unsalted"/>
        <s v="Pristine Classic Whip Topping 1 Lt"/>
        <s v="Pristine Classic Cooking Cream 1 Lt"/>
        <s v="Masterista Syrup Classic Caramel 850ml"/>
        <s v="Masterista Syrup Vanilla Tradition 850ml"/>
        <s v="Masterista Syrup Premium Hazelnut 850 Ml"/>
        <s v="Manggo Tea @10tb/pack"/>
        <s v="Masterista Syrup Butterscotch 850 Ml"/>
        <s v="Pork B Sliced (1kg/pack)"/>
        <s v="Masterista Aren Sugar Liquid 1000Gr"/>
        <s v="Masterista Original Matcha 800Gr"/>
        <s v="Masterista Dark Chocolate 800Gr"/>
        <s v="Masterista Taro Expecta 800Gr"/>
        <s v="Premium Crincle Cut Fries 6x2 Kg"/>
        <s v="MAMAS BELLY RIND ON SB OUT (SKIN ON) 3-5KG/PACK"/>
        <s v="Masterista Creamer Base (Creamy)"/>
        <s v="Daebak Soju Lychee @360ml/btl"/>
        <s v="Isabi Smoked Salmon Slice 1Kg/Pack"/>
        <s v="Daebak Soju Grape 360ml"/>
        <s v="Daebak Soju Mango @360ml/btl"/>
        <s v="Cap Tikus Original 320ml"/>
        <s v="Jasmine Tea @250gr/Pouch"/>
        <s v="Peppermint @250gr"/>
        <s v="Lemongrass @250gr"/>
        <s v="Chamomile Dream @250gr"/>
        <s v="Earl Grey @250gr"/>
        <s v="Masterista Syrup Spicy Ginger 850 Ml"/>
        <s v="Daebak Soju Peach @360ml/btl"/>
        <s v="O Sole Pomodori Pelati Peeled Tomatoes 2.5Kg"/>
        <s v="Crr Rock'n Hash Brown Triangular 2.5Kg"/>
        <s v="IQF FF Shoestring 10Kg/Ctn"/>
        <s v="Masterista Red Velvet Expecta 800Gr"/>
        <s v="Premium Straight Cut 2Kg"/>
        <s v="Javanese Jasmine Tea @50TB/Box"/>
        <s v="Pure Green Tea @50TB/Box"/>
        <s v="Artisan Pure Matcha (500Gr/Pack)"/>
        <s v="Bergold Shredded Pizza Topping Mozzarella"/>
        <s v="Chamomile Dream @50Tb/Box"/>
        <s v="English Breakfast@50TB/Box"/>
        <s v="Ice Shaken Orange Punch 1 Kg"/>
        <s v="Flavourista Syrup Strawberry 1000 Ml"/>
        <s v="Flavourista Syrup Vanilla 1000 Ml"/>
        <s v="Belly Skinless Premium (2.5Kg/Pack)"/>
        <s v="Crr Rock'n Simply Crrrrips Straight Cut Fries 2.5 Kg"/>
        <s v="Gold Box Melange Butter MP331"/>
        <s v="Bottegaio Umbro Olio Evo Cucina 5Lt"/>
        <s v="Lychee Tea @50TB/Box"/>
        <s v="Gold Box Extra Butter MP341"/>
        <s v="Crr Rock'n Batter Skin On Fries 9x9mm 10Kg/Ctn"/>
        <s v="Premium Crincle Cut Fries 2 Kg"/>
      </sharedItems>
    </cacheField>
    <cacheField name="SO (Pcs)" numFmtId="165">
      <sharedItems containsSemiMixedTypes="0" containsString="0" containsNumber="1" minValue="1" maxValue="4800"/>
    </cacheField>
    <cacheField name="Satuan" numFmtId="0">
      <sharedItems/>
    </cacheField>
    <cacheField name="FJ (Pcs)" numFmtId="165">
      <sharedItems containsSemiMixedTypes="0" containsString="0" containsNumber="1" minValue="1" maxValue="4800"/>
    </cacheField>
    <cacheField name="Sub T.Jual(Rp)" numFmtId="165">
      <sharedItems containsSemiMixedTypes="0" containsString="0" containsNumber="1" minValue="13320" maxValue="333201595.54000002"/>
    </cacheField>
    <cacheField name="BS-SO(Pcs)" numFmtId="165">
      <sharedItems containsSemiMixedTypes="0" containsString="0" containsNumber="1" minValue="-7" maxValue="2.8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d v="2026-05-28T00:00:00"/>
    <d v="2026-05-26T00:00:00"/>
    <s v="SO-KS/2605/260001"/>
    <s v="MKS Bali"/>
    <x v="0"/>
    <x v="0"/>
    <x v="0"/>
    <s v="PSF0005"/>
    <x v="0"/>
    <n v="1"/>
    <s v="SACK"/>
    <n v="1"/>
    <n v="255300"/>
    <n v="0"/>
    <s v="Invoice"/>
    <s v="Sudah Jadi FJ"/>
    <s v="untuk pengiriman tgl 28 Mei"/>
  </r>
  <r>
    <d v="2026-05-28T00:00:00"/>
    <d v="2026-05-26T00:00:00"/>
    <s v="SO-KS/2605/260002"/>
    <s v="MKS Bali"/>
    <x v="1"/>
    <x v="0"/>
    <x v="1"/>
    <s v="120007"/>
    <x v="1"/>
    <n v="30"/>
    <s v="KG"/>
    <n v="30"/>
    <n v="449999.88"/>
    <n v="0"/>
    <s v="Invoice"/>
    <s v="Sudah Jadi FJ"/>
    <s v=""/>
  </r>
  <r>
    <d v="2026-05-28T00:00:00"/>
    <d v="2026-05-26T00:00:00"/>
    <s v="SO-KS/2605/260004"/>
    <s v="MKS Bali"/>
    <x v="2"/>
    <x v="1"/>
    <x v="0"/>
    <s v="150382"/>
    <x v="2"/>
    <n v="7"/>
    <s v="KG"/>
    <n v="7.69"/>
    <n v="4998500.04"/>
    <n v="0.69"/>
    <s v="Invoice"/>
    <s v="Sudah Jadi FJ"/>
    <s v="1 loaf"/>
  </r>
  <r>
    <d v="2026-05-28T00:00:00"/>
    <d v="2026-05-26T00:00:00"/>
    <s v="SO-KS/2605/260005"/>
    <s v="MKS Bali"/>
    <x v="2"/>
    <x v="1"/>
    <x v="0"/>
    <s v="150382"/>
    <x v="2"/>
    <n v="7"/>
    <s v="KG"/>
    <n v="8.6300000000000008"/>
    <n v="5609500.04"/>
    <n v="1.63"/>
    <s v="Invoice"/>
    <s v="Sudah Jadi FJ"/>
    <s v="1 loaf Tambahan"/>
  </r>
  <r>
    <d v="2026-05-28T00:00:00"/>
    <d v="2026-05-26T00:00:00"/>
    <s v="SO-KS/2605/260008"/>
    <s v="MKS Bali"/>
    <x v="3"/>
    <x v="1"/>
    <x v="2"/>
    <s v="PPK0010"/>
    <x v="3"/>
    <n v="4"/>
    <s v="KG"/>
    <n v="4.2"/>
    <n v="588000.02"/>
    <n v="0.2"/>
    <s v="Invoice"/>
    <s v="Sudah Jadi FJ"/>
    <s v="2 loaf"/>
  </r>
  <r>
    <d v="2026-05-28T00:00:00"/>
    <d v="2026-05-26T00:00:00"/>
    <s v="SO-KS/2605/260011"/>
    <s v="MKS Bali"/>
    <x v="4"/>
    <x v="1"/>
    <x v="3"/>
    <s v="SFM007"/>
    <x v="4"/>
    <n v="1"/>
    <s v="SACK"/>
    <n v="1"/>
    <n v="327450"/>
    <n v="0"/>
    <s v="Invoice"/>
    <s v="Sudah Jadi FJ"/>
    <s v=""/>
  </r>
  <r>
    <d v="2026-05-28T00:00:00"/>
    <d v="2026-05-26T00:00:00"/>
    <s v="SO-KS/2605/260013"/>
    <s v="MKS Bali"/>
    <x v="5"/>
    <x v="0"/>
    <x v="4"/>
    <s v="SFM007"/>
    <x v="4"/>
    <n v="4"/>
    <s v="SACK"/>
    <n v="4"/>
    <n v="1208000"/>
    <n v="0"/>
    <s v="Invoice"/>
    <s v="Sudah Jadi FJ"/>
    <s v=""/>
  </r>
  <r>
    <d v="2026-05-28T00:00:00"/>
    <d v="2026-05-26T00:00:00"/>
    <s v="SO-KS/2605/260015"/>
    <s v="MKS Bali"/>
    <x v="6"/>
    <x v="0"/>
    <x v="0"/>
    <s v="PPK0010"/>
    <x v="3"/>
    <n v="4"/>
    <s v="KG"/>
    <n v="4.1500000000000004"/>
    <n v="581000.02"/>
    <n v="0.15"/>
    <s v="Invoice"/>
    <s v="Sudah Jadi FJ"/>
    <s v=" 2 blok"/>
  </r>
  <r>
    <d v="2026-05-28T00:00:00"/>
    <d v="2026-05-26T00:00:00"/>
    <s v="SO-KS/2605/260017"/>
    <s v="MKS Bali"/>
    <x v="7"/>
    <x v="0"/>
    <x v="4"/>
    <s v="SFM007"/>
    <x v="4"/>
    <n v="1"/>
    <s v="SACK"/>
    <n v="1"/>
    <n v="285000"/>
    <n v="0"/>
    <s v="Invoice"/>
    <s v="Sudah Jadi FJ"/>
    <s v=""/>
  </r>
  <r>
    <d v="2026-05-28T00:00:00"/>
    <d v="2026-05-26T00:00:00"/>
    <s v="SO-KS/2605/260018"/>
    <s v="MKS Bali"/>
    <x v="8"/>
    <x v="1"/>
    <x v="5"/>
    <s v="SFM007"/>
    <x v="4"/>
    <n v="1"/>
    <s v="SACK"/>
    <n v="1"/>
    <n v="290000"/>
    <n v="0"/>
    <s v="Invoice"/>
    <s v="Sudah Jadi FJ"/>
    <s v=""/>
  </r>
  <r>
    <d v="2026-05-28T00:00:00"/>
    <d v="2026-05-26T00:00:00"/>
    <s v="SO-KS/2605/260020"/>
    <s v="MKS Bali"/>
    <x v="9"/>
    <x v="1"/>
    <x v="5"/>
    <s v="120020"/>
    <x v="5"/>
    <n v="20"/>
    <s v="KG"/>
    <n v="20"/>
    <n v="255999.97"/>
    <n v="0"/>
    <s v="Invoice"/>
    <s v="Sudah Jadi FJ"/>
    <s v=""/>
  </r>
  <r>
    <d v="2026-05-28T00:00:00"/>
    <d v="2026-05-26T00:00:00"/>
    <s v="SO-KS/2605/260023"/>
    <s v="MKS Bali"/>
    <x v="10"/>
    <x v="1"/>
    <x v="6"/>
    <s v="SFM018"/>
    <x v="6"/>
    <n v="1"/>
    <s v="SACK"/>
    <n v="1"/>
    <n v="314999.99"/>
    <n v="0"/>
    <s v="Invoice"/>
    <s v="Sudah Jadi FJ"/>
    <s v=""/>
  </r>
  <r>
    <d v="2026-05-28T00:00:00"/>
    <d v="2026-05-26T00:00:00"/>
    <s v="SO-KS/2605/260023"/>
    <s v="MKS Bali"/>
    <x v="10"/>
    <x v="1"/>
    <x v="6"/>
    <s v="SFM007"/>
    <x v="4"/>
    <n v="3"/>
    <s v="SACK"/>
    <n v="3"/>
    <n v="945000"/>
    <n v="0"/>
    <s v="Invoice"/>
    <s v="Sudah Jadi FJ"/>
    <s v=""/>
  </r>
  <r>
    <d v="2026-05-28T00:00:00"/>
    <d v="2026-05-26T00:00:00"/>
    <s v="SO-KS/2605/260024"/>
    <s v="MKS Bali"/>
    <x v="11"/>
    <x v="0"/>
    <x v="7"/>
    <s v="120007"/>
    <x v="1"/>
    <n v="20"/>
    <s v="KG"/>
    <n v="20"/>
    <n v="333000"/>
    <n v="0"/>
    <s v="Invoice"/>
    <s v="Sudah Jadi FJ"/>
    <s v=""/>
  </r>
  <r>
    <d v="2026-05-28T00:00:00"/>
    <d v="2026-05-26T00:00:00"/>
    <s v="SO-KS/2605/260025"/>
    <s v="MKS Bali"/>
    <x v="12"/>
    <x v="0"/>
    <x v="8"/>
    <s v="150338"/>
    <x v="7"/>
    <n v="40"/>
    <s v="PACK"/>
    <n v="40"/>
    <n v="700000.19"/>
    <n v="0"/>
    <s v="Invoice"/>
    <s v="Sudah Jadi FJ"/>
    <s v=""/>
  </r>
  <r>
    <d v="2026-05-28T00:00:00"/>
    <d v="2026-05-26T00:00:00"/>
    <s v="SO-KS/2605/260030"/>
    <s v="MKS Bali"/>
    <x v="13"/>
    <x v="1"/>
    <x v="9"/>
    <s v="SFM018"/>
    <x v="6"/>
    <n v="2"/>
    <s v="SACK"/>
    <n v="2"/>
    <n v="568000"/>
    <n v="0"/>
    <s v="Invoice"/>
    <s v="Sudah Jadi FJ"/>
    <s v=""/>
  </r>
  <r>
    <d v="2026-05-28T00:00:00"/>
    <d v="2026-05-26T00:00:00"/>
    <s v="SO-KS/2605/260032"/>
    <s v="MKS Bali"/>
    <x v="14"/>
    <x v="1"/>
    <x v="10"/>
    <s v="PSJ0044"/>
    <x v="8"/>
    <n v="4"/>
    <s v="KG"/>
    <n v="3.7"/>
    <n v="888000"/>
    <n v="-0.3"/>
    <s v="Invoice"/>
    <s v="Sudah Jadi FJ"/>
    <s v=""/>
  </r>
  <r>
    <d v="2026-05-28T00:00:00"/>
    <d v="2026-05-26T00:00:00"/>
    <s v="SO-KS/2605/260036"/>
    <s v="MKS Bali"/>
    <x v="15"/>
    <x v="1"/>
    <x v="9"/>
    <s v="SFM007"/>
    <x v="4"/>
    <n v="3"/>
    <s v="SACK"/>
    <n v="3"/>
    <n v="840000"/>
    <n v="0"/>
    <s v="Invoice"/>
    <s v="Sudah Jadi FJ"/>
    <s v=""/>
  </r>
  <r>
    <d v="2026-05-28T00:00:00"/>
    <d v="2026-05-26T00:00:00"/>
    <s v="SO-KS/2605/260041"/>
    <s v="MKS Bali"/>
    <x v="16"/>
    <x v="1"/>
    <x v="11"/>
    <s v="080241"/>
    <x v="9"/>
    <n v="12"/>
    <s v="PCS"/>
    <n v="12"/>
    <n v="559440"/>
    <n v="0"/>
    <s v="Invoice"/>
    <s v="Sudah Jadi FJ"/>
    <s v=""/>
  </r>
  <r>
    <d v="2026-05-28T00:00:00"/>
    <d v="2026-05-26T00:00:00"/>
    <s v="SO-KS/2605/260042"/>
    <s v="MKS Bali"/>
    <x v="17"/>
    <x v="1"/>
    <x v="9"/>
    <s v="120020"/>
    <x v="5"/>
    <n v="40"/>
    <s v="KG"/>
    <n v="40"/>
    <n v="621600"/>
    <n v="0"/>
    <s v="Invoice"/>
    <s v="Sudah Jadi FJ"/>
    <s v=""/>
  </r>
  <r>
    <d v="2026-05-28T00:00:00"/>
    <d v="2026-05-26T00:00:00"/>
    <s v="SO-KS/2605/260043"/>
    <s v="MKS Bali"/>
    <x v="18"/>
    <x v="0"/>
    <x v="0"/>
    <s v="SFM009"/>
    <x v="10"/>
    <n v="1"/>
    <s v="SACK"/>
    <n v="1"/>
    <n v="300000"/>
    <n v="0"/>
    <s v="Invoice"/>
    <s v="Sudah Jadi FJ"/>
    <s v=""/>
  </r>
  <r>
    <d v="2026-05-28T00:00:00"/>
    <d v="2026-05-26T00:00:00"/>
    <s v="SO-KS/2605/260045"/>
    <s v="MKS Bali"/>
    <x v="19"/>
    <x v="0"/>
    <x v="7"/>
    <s v="120018"/>
    <x v="11"/>
    <n v="10"/>
    <s v="KG"/>
    <n v="10"/>
    <n v="160950"/>
    <n v="0"/>
    <s v="Invoice"/>
    <s v="Sudah Jadi FJ"/>
    <s v=" kirim ke jl. Cekomaria No. 14 Peguyangan Kangin (Tarte Dessert)"/>
  </r>
  <r>
    <d v="2026-05-28T00:00:00"/>
    <d v="2026-05-26T00:00:00"/>
    <s v="SO-KS/2605/260045"/>
    <s v="MKS Bali"/>
    <x v="19"/>
    <x v="0"/>
    <x v="7"/>
    <s v="120020"/>
    <x v="5"/>
    <n v="10"/>
    <s v="KG"/>
    <n v="10"/>
    <n v="155400"/>
    <n v="0"/>
    <s v="Invoice"/>
    <s v="Sudah Jadi FJ"/>
    <s v=" kirim ke jl. Cekomaria No. 14 Peguyangan Kangin (Tarte Dessert)"/>
  </r>
  <r>
    <d v="2026-05-28T00:00:00"/>
    <d v="2026-05-26T00:00:00"/>
    <s v="SO-KS/2605/260046"/>
    <s v="MKS Bali"/>
    <x v="20"/>
    <x v="0"/>
    <x v="1"/>
    <s v="120007"/>
    <x v="1"/>
    <n v="100"/>
    <s v="KG"/>
    <n v="100"/>
    <n v="1599999.51"/>
    <n v="0"/>
    <s v="Invoice"/>
    <s v="Sudah Jadi FJ"/>
    <s v=""/>
  </r>
  <r>
    <d v="2026-05-28T00:00:00"/>
    <d v="2026-05-26T00:00:00"/>
    <s v="SO-KS/2605/260048"/>
    <s v="MKS Bali"/>
    <x v="21"/>
    <x v="0"/>
    <x v="2"/>
    <s v="PLN0003"/>
    <x v="12"/>
    <n v="12"/>
    <s v="PACK"/>
    <n v="12"/>
    <n v="506160"/>
    <n v="0"/>
    <s v="Invoice"/>
    <s v="Sudah Jadi FJ"/>
    <s v=""/>
  </r>
  <r>
    <d v="2026-05-28T00:00:00"/>
    <d v="2026-05-26T00:00:00"/>
    <s v="SO-KS/2605/260048"/>
    <s v="MKS Bali"/>
    <x v="21"/>
    <x v="0"/>
    <x v="2"/>
    <s v="080241"/>
    <x v="9"/>
    <n v="12"/>
    <s v="PCS"/>
    <n v="12"/>
    <n v="559440"/>
    <n v="0"/>
    <s v="Invoice"/>
    <s v="Sudah Jadi FJ"/>
    <s v=""/>
  </r>
  <r>
    <d v="2026-05-28T00:00:00"/>
    <d v="2026-05-26T00:00:00"/>
    <s v="SO-KS/2605/260049"/>
    <s v="MKS Bali"/>
    <x v="22"/>
    <x v="0"/>
    <x v="6"/>
    <s v="080241"/>
    <x v="9"/>
    <n v="8"/>
    <s v="PCS"/>
    <n v="8"/>
    <n v="372960"/>
    <n v="0"/>
    <s v="Invoice"/>
    <s v="Sudah Jadi FJ"/>
    <s v="dikirim ke sanur (jl. batur sari no.34, sanur kauh)"/>
  </r>
  <r>
    <d v="2026-05-28T00:00:00"/>
    <d v="2026-05-26T00:00:00"/>
    <s v="SO-KS/2605/260050"/>
    <s v="MKS Bali"/>
    <x v="23"/>
    <x v="0"/>
    <x v="12"/>
    <s v="060006"/>
    <x v="13"/>
    <n v="10"/>
    <s v="PACK"/>
    <n v="10"/>
    <n v="694169.99"/>
    <n v="0"/>
    <s v="Invoice"/>
    <s v="Sudah Jadi FJ"/>
    <s v=""/>
  </r>
  <r>
    <d v="2026-05-28T00:00:00"/>
    <d v="2026-05-26T00:00:00"/>
    <s v="SO-KS/2605/260050"/>
    <s v="MKS Bali"/>
    <x v="23"/>
    <x v="0"/>
    <x v="12"/>
    <s v="060007"/>
    <x v="14"/>
    <n v="12"/>
    <s v="PACK"/>
    <n v="12"/>
    <n v="648000"/>
    <n v="0"/>
    <s v="Invoice"/>
    <s v="Sudah Jadi FJ"/>
    <s v=""/>
  </r>
  <r>
    <d v="2026-05-28T00:00:00"/>
    <d v="2026-05-26T00:00:00"/>
    <s v="SO-KS/2605/260051"/>
    <s v="MKS Bali"/>
    <x v="24"/>
    <x v="1"/>
    <x v="13"/>
    <s v="300098"/>
    <x v="15"/>
    <n v="10"/>
    <s v="BTL"/>
    <n v="10"/>
    <n v="760350"/>
    <n v="0"/>
    <s v="Invoice"/>
    <s v="Sudah Jadi FJ"/>
    <s v=""/>
  </r>
  <r>
    <d v="2026-05-28T00:00:00"/>
    <d v="2026-05-26T00:00:00"/>
    <s v="SO-KS/2605/260052"/>
    <s v="MKS Bali"/>
    <x v="25"/>
    <x v="1"/>
    <x v="12"/>
    <s v="060006"/>
    <x v="13"/>
    <n v="100"/>
    <s v="PACK"/>
    <n v="100"/>
    <n v="6941700"/>
    <n v="0"/>
    <s v="Invoice"/>
    <s v="Sudah Jadi FJ"/>
    <s v=""/>
  </r>
  <r>
    <d v="2026-05-28T00:00:00"/>
    <d v="2026-05-26T00:00:00"/>
    <s v="SO-KS/2605/260053"/>
    <s v="MKS Bali"/>
    <x v="26"/>
    <x v="1"/>
    <x v="9"/>
    <s v="120015"/>
    <x v="16"/>
    <n v="20"/>
    <s v="KG"/>
    <n v="20"/>
    <n v="725940"/>
    <n v="0"/>
    <s v="Invoice"/>
    <s v="Sudah Jadi FJ"/>
    <s v=""/>
  </r>
  <r>
    <d v="2026-05-28T00:00:00"/>
    <d v="2026-05-26T00:00:00"/>
    <s v="SO-KS/2605/260054"/>
    <s v="MKS Bali"/>
    <x v="27"/>
    <x v="1"/>
    <x v="14"/>
    <s v="060013"/>
    <x v="17"/>
    <n v="12"/>
    <s v="PACK"/>
    <n v="12"/>
    <n v="770400.03"/>
    <n v="0"/>
    <s v="Invoice"/>
    <s v="Sudah Jadi FJ"/>
    <s v=""/>
  </r>
  <r>
    <d v="2026-05-28T00:00:00"/>
    <d v="2026-05-26T00:00:00"/>
    <s v="SO-KS/2605/260055"/>
    <s v="MKS Bali"/>
    <x v="28"/>
    <x v="1"/>
    <x v="11"/>
    <s v="120007"/>
    <x v="1"/>
    <n v="20"/>
    <s v="KG"/>
    <n v="20"/>
    <n v="365500.8"/>
    <n v="0"/>
    <s v="Invoice"/>
    <s v="Sudah Jadi FJ"/>
    <s v=""/>
  </r>
  <r>
    <d v="2026-05-28T00:00:00"/>
    <d v="2026-05-26T00:00:00"/>
    <s v="SO-KS/2605/260058"/>
    <s v="MKS Bali"/>
    <x v="29"/>
    <x v="0"/>
    <x v="15"/>
    <s v="060006"/>
    <x v="13"/>
    <n v="4800"/>
    <s v="PACK"/>
    <n v="4800"/>
    <n v="333201595.54000002"/>
    <n v="0"/>
    <s v="Invoice"/>
    <s v="Sudah Jadi FJ"/>
    <s v=""/>
  </r>
  <r>
    <d v="2026-05-28T00:00:00"/>
    <d v="2026-05-26T00:00:00"/>
    <s v="SO-KS/2605/260061"/>
    <s v="MKS Bali"/>
    <x v="30"/>
    <x v="1"/>
    <x v="5"/>
    <s v="PSJ0063"/>
    <x v="18"/>
    <n v="8"/>
    <s v="KG"/>
    <n v="7.75"/>
    <n v="1240000"/>
    <n v="-0.25"/>
    <s v="Invoice"/>
    <s v="Sudah Jadi FJ"/>
    <s v="4 loaf"/>
  </r>
  <r>
    <d v="2026-05-28T00:00:00"/>
    <d v="2026-05-26T00:00:00"/>
    <s v="SO-KS/2605/260064"/>
    <s v="MKS Bali"/>
    <x v="31"/>
    <x v="0"/>
    <x v="4"/>
    <s v="PLN0005"/>
    <x v="19"/>
    <n v="12"/>
    <s v="POU"/>
    <n v="8"/>
    <n v="479520"/>
    <n v="-4"/>
    <s v="Invoice"/>
    <s v="Sudah Jadi FJ"/>
    <s v=""/>
  </r>
  <r>
    <d v="2026-05-28T00:00:00"/>
    <d v="2026-05-26T00:00:00"/>
    <s v="SO-KS/2605/260066"/>
    <s v="MKS Bali"/>
    <x v="32"/>
    <x v="1"/>
    <x v="0"/>
    <s v="120015"/>
    <x v="16"/>
    <n v="110"/>
    <s v="KG"/>
    <n v="110"/>
    <n v="3992670"/>
    <n v="0"/>
    <s v="Invoice"/>
    <s v="Sudah Jadi FJ"/>
    <s v="nota Canggu. Untuk pengirimannya tolong ke office kami yang berada di Muding"/>
  </r>
  <r>
    <d v="2026-05-28T00:00:00"/>
    <d v="2026-05-26T00:00:00"/>
    <s v="SO-KS/2605/260067"/>
    <s v="MKS Bali"/>
    <x v="32"/>
    <x v="1"/>
    <x v="0"/>
    <s v="120015"/>
    <x v="16"/>
    <n v="160"/>
    <s v="KG"/>
    <n v="160"/>
    <n v="5807520"/>
    <n v="0"/>
    <s v="Invoice"/>
    <s v="Sudah Jadi FJ"/>
    <s v="nota Uluwatu . Untuk pengirimannya tolong ke office kami yang berada di Muding"/>
  </r>
  <r>
    <d v="2026-05-28T00:00:00"/>
    <d v="2026-05-26T00:00:00"/>
    <s v="SO-KS/2605/260069"/>
    <s v="MKS Bali"/>
    <x v="33"/>
    <x v="1"/>
    <x v="3"/>
    <s v="PSJ0127"/>
    <x v="20"/>
    <n v="8"/>
    <s v="KG"/>
    <n v="7.97"/>
    <n v="956400"/>
    <n v="-0.03"/>
    <s v="Invoice"/>
    <s v="Sudah Jadi FJ"/>
    <s v=""/>
  </r>
  <r>
    <d v="2026-05-28T00:00:00"/>
    <d v="2026-05-26T00:00:00"/>
    <s v="SO-KS/2605/260070"/>
    <s v="MKS Bali"/>
    <x v="34"/>
    <x v="1"/>
    <x v="9"/>
    <s v="PLN0002"/>
    <x v="21"/>
    <n v="10"/>
    <s v="POU"/>
    <n v="5"/>
    <n v="449999.99"/>
    <n v="-5"/>
    <s v="Invoice"/>
    <s v="Sudah Jadi FJ"/>
    <s v=""/>
  </r>
  <r>
    <d v="2026-05-28T00:00:00"/>
    <d v="2026-05-26T00:00:00"/>
    <s v="SO-KS/2605/260071"/>
    <s v="MKS Bali"/>
    <x v="35"/>
    <x v="1"/>
    <x v="9"/>
    <s v="080241"/>
    <x v="9"/>
    <n v="4"/>
    <s v="PCS"/>
    <n v="4"/>
    <n v="186480"/>
    <n v="0"/>
    <s v="Invoice"/>
    <s v="Sudah Jadi FJ"/>
    <s v=""/>
  </r>
  <r>
    <d v="2026-05-28T00:00:00"/>
    <d v="2026-05-26T00:00:00"/>
    <s v="SO-KS/2605/260074"/>
    <s v="MKS Bali"/>
    <x v="36"/>
    <x v="0"/>
    <x v="6"/>
    <s v="080241"/>
    <x v="9"/>
    <n v="12"/>
    <s v="PCS"/>
    <n v="12"/>
    <n v="559440"/>
    <n v="0"/>
    <s v="Invoice"/>
    <s v="Sudah Jadi FJ"/>
    <s v=""/>
  </r>
  <r>
    <d v="2026-05-28T00:00:00"/>
    <d v="2026-05-26T00:00:00"/>
    <s v="SO-KS/2605/260078"/>
    <s v="MKS Bali"/>
    <x v="37"/>
    <x v="1"/>
    <x v="13"/>
    <s v="060004"/>
    <x v="22"/>
    <n v="100"/>
    <s v="PACK"/>
    <n v="100"/>
    <n v="6882000"/>
    <n v="0"/>
    <s v="Invoice"/>
    <s v="Sudah Jadi FJ"/>
    <s v=""/>
  </r>
  <r>
    <d v="2026-05-28T00:00:00"/>
    <d v="2026-05-26T00:00:00"/>
    <s v="SO-KS/2605/260080"/>
    <s v="MKS Bali"/>
    <x v="38"/>
    <x v="1"/>
    <x v="8"/>
    <s v="SFM007"/>
    <x v="4"/>
    <n v="10"/>
    <s v="SACK"/>
    <n v="10"/>
    <n v="2749999.99"/>
    <n v="0"/>
    <s v="Invoice"/>
    <s v="Sudah Jadi FJ"/>
    <s v=""/>
  </r>
  <r>
    <d v="2026-05-28T00:00:00"/>
    <d v="2026-05-26T00:00:00"/>
    <s v="SO-KS/2605/260080"/>
    <s v="MKS Bali"/>
    <x v="38"/>
    <x v="1"/>
    <x v="8"/>
    <s v="SFM052"/>
    <x v="23"/>
    <n v="5"/>
    <s v="SACK"/>
    <n v="5"/>
    <n v="2800000"/>
    <n v="0"/>
    <s v="Invoice"/>
    <s v="Sudah Jadi FJ"/>
    <s v=""/>
  </r>
  <r>
    <d v="2026-05-28T00:00:00"/>
    <d v="2026-05-26T00:00:00"/>
    <s v="SO-KS/2605/260081"/>
    <s v="MKS Bali"/>
    <x v="38"/>
    <x v="1"/>
    <x v="12"/>
    <s v="PNS0005"/>
    <x v="24"/>
    <n v="8"/>
    <s v="PACK"/>
    <n v="8"/>
    <n v="1065600"/>
    <n v="0"/>
    <s v="Invoice"/>
    <s v="Sudah Jadi FJ"/>
    <s v=""/>
  </r>
  <r>
    <d v="2026-05-28T00:00:00"/>
    <d v="2026-05-26T00:00:00"/>
    <s v="SO-KS/2605/260083"/>
    <s v="MKS Bali"/>
    <x v="38"/>
    <x v="1"/>
    <x v="8"/>
    <s v="120007"/>
    <x v="1"/>
    <n v="500"/>
    <s v="KG"/>
    <n v="500"/>
    <n v="7249998.2999999998"/>
    <n v="0"/>
    <s v="Invoice"/>
    <s v="Sudah Jadi FJ"/>
    <s v="DIKIRM CARGO"/>
  </r>
  <r>
    <d v="2026-05-28T00:00:00"/>
    <d v="2026-05-26T00:00:00"/>
    <s v="SO-KS/2605/260084"/>
    <s v="MKS Bali"/>
    <x v="38"/>
    <x v="1"/>
    <x v="8"/>
    <s v="120007"/>
    <x v="1"/>
    <n v="500"/>
    <s v="KG"/>
    <n v="500"/>
    <n v="7249998.2999999998"/>
    <n v="0"/>
    <s v="Invoice"/>
    <s v="Sudah Jadi FJ"/>
    <s v="DIKIRIM KARTINI"/>
  </r>
  <r>
    <d v="2026-05-28T00:00:00"/>
    <d v="2026-05-26T00:00:00"/>
    <s v="SO-KS/2605/260085"/>
    <s v="MKS Bali"/>
    <x v="38"/>
    <x v="1"/>
    <x v="8"/>
    <s v="120009"/>
    <x v="25"/>
    <n v="20"/>
    <s v="KG"/>
    <n v="20"/>
    <n v="719999.95"/>
    <n v="0"/>
    <s v="Invoice"/>
    <s v="Sudah Jadi FJ"/>
    <s v=""/>
  </r>
  <r>
    <d v="2026-05-28T00:00:00"/>
    <d v="2026-05-26T00:00:00"/>
    <s v="SO-KS/2605/260085"/>
    <s v="MKS Bali"/>
    <x v="38"/>
    <x v="1"/>
    <x v="8"/>
    <s v="120015"/>
    <x v="16"/>
    <n v="30"/>
    <s v="KG"/>
    <n v="30"/>
    <n v="1049999.95"/>
    <n v="0"/>
    <s v="Invoice"/>
    <s v="Sudah Jadi FJ"/>
    <s v=""/>
  </r>
  <r>
    <d v="2026-05-28T00:00:00"/>
    <d v="2026-05-26T00:00:00"/>
    <s v="SO-KS/2605/260086"/>
    <s v="MKS Bali"/>
    <x v="38"/>
    <x v="1"/>
    <x v="12"/>
    <s v="060015"/>
    <x v="26"/>
    <n v="12"/>
    <s v="PACK"/>
    <n v="12"/>
    <n v="613200.05000000005"/>
    <n v="0"/>
    <s v="Invoice"/>
    <s v="Sudah Jadi FJ"/>
    <s v=""/>
  </r>
  <r>
    <d v="2026-05-28T00:00:00"/>
    <d v="2026-05-26T00:00:00"/>
    <s v="SO-KS/2605/260086"/>
    <s v="MKS Bali"/>
    <x v="38"/>
    <x v="1"/>
    <x v="12"/>
    <s v="060018"/>
    <x v="27"/>
    <n v="12"/>
    <s v="PACK"/>
    <n v="12"/>
    <n v="649200.02"/>
    <n v="0"/>
    <s v="Invoice"/>
    <s v="Sudah Jadi FJ"/>
    <s v=""/>
  </r>
  <r>
    <d v="2026-05-28T00:00:00"/>
    <d v="2026-05-26T00:00:00"/>
    <s v="SO-KS/2605/260086"/>
    <s v="MKS Bali"/>
    <x v="38"/>
    <x v="1"/>
    <x v="12"/>
    <s v="300099"/>
    <x v="28"/>
    <n v="12"/>
    <s v="PACK"/>
    <n v="12"/>
    <n v="523799.94"/>
    <n v="0"/>
    <s v="Invoice"/>
    <s v="Sudah Jadi FJ"/>
    <s v=""/>
  </r>
  <r>
    <d v="2026-05-28T00:00:00"/>
    <d v="2026-05-26T00:00:00"/>
    <s v="SO-KS/2605/260087"/>
    <s v="MKS Bali"/>
    <x v="39"/>
    <x v="1"/>
    <x v="3"/>
    <s v="120006"/>
    <x v="29"/>
    <n v="10"/>
    <s v="KG"/>
    <n v="10"/>
    <n v="300000.03000000003"/>
    <n v="0"/>
    <s v="Invoice"/>
    <s v="Sudah Jadi FJ"/>
    <s v="LOADING DOCK INTERNASIONAL"/>
  </r>
  <r>
    <d v="2026-05-28T00:00:00"/>
    <d v="2026-05-26T00:00:00"/>
    <s v="SO-KS/2605/260087"/>
    <s v="MKS Bali"/>
    <x v="39"/>
    <x v="1"/>
    <x v="3"/>
    <s v="SFM007"/>
    <x v="4"/>
    <n v="1"/>
    <s v="SACK"/>
    <n v="1"/>
    <n v="327450"/>
    <n v="0"/>
    <s v="Invoice"/>
    <s v="Sudah Jadi FJ"/>
    <s v="LOADING DOCK INTERNASIONAL"/>
  </r>
  <r>
    <d v="2026-05-28T00:00:00"/>
    <d v="2026-05-26T00:00:00"/>
    <s v="SO-KS/2605/260088"/>
    <s v="MKS Bali"/>
    <x v="40"/>
    <x v="1"/>
    <x v="14"/>
    <s v="060013"/>
    <x v="17"/>
    <n v="5"/>
    <s v="PACK"/>
    <n v="5"/>
    <n v="288900.01"/>
    <n v="0"/>
    <s v="Invoice"/>
    <s v="Sudah Jadi FJ"/>
    <s v=""/>
  </r>
  <r>
    <d v="2026-05-28T00:00:00"/>
    <d v="2026-05-26T00:00:00"/>
    <s v="SO-KS/2605/260088"/>
    <s v="MKS Bali"/>
    <x v="40"/>
    <x v="1"/>
    <x v="14"/>
    <s v="020020"/>
    <x v="30"/>
    <n v="3"/>
    <s v="PACK"/>
    <n v="3"/>
    <n v="315000"/>
    <n v="0"/>
    <s v="Invoice"/>
    <s v="Sudah Jadi FJ"/>
    <s v=""/>
  </r>
  <r>
    <d v="2026-05-28T00:00:00"/>
    <d v="2026-05-26T00:00:00"/>
    <s v="SO-KS/2605/260089"/>
    <s v="MKS Bali"/>
    <x v="41"/>
    <x v="1"/>
    <x v="0"/>
    <s v="120007"/>
    <x v="1"/>
    <n v="36"/>
    <s v="KG"/>
    <n v="36"/>
    <n v="599400"/>
    <n v="0"/>
    <s v="Invoice"/>
    <s v="Sudah Jadi FJ"/>
    <s v=""/>
  </r>
  <r>
    <d v="2026-05-28T00:00:00"/>
    <d v="2026-05-26T00:00:00"/>
    <s v="SO-KS/2605/260090"/>
    <s v="MKS Bali"/>
    <x v="42"/>
    <x v="1"/>
    <x v="14"/>
    <s v="060007"/>
    <x v="14"/>
    <n v="48"/>
    <s v="PACK"/>
    <n v="48"/>
    <n v="2850480"/>
    <n v="0"/>
    <s v="Invoice"/>
    <s v="Sudah Jadi FJ"/>
    <s v=""/>
  </r>
  <r>
    <d v="2026-05-28T00:00:00"/>
    <d v="2026-05-26T00:00:00"/>
    <s v="SO-KS/2605/260092"/>
    <s v="MKS Bali"/>
    <x v="43"/>
    <x v="0"/>
    <x v="2"/>
    <s v="120015"/>
    <x v="16"/>
    <n v="20"/>
    <s v="KG"/>
    <n v="20"/>
    <n v="725940"/>
    <n v="0"/>
    <s v="Invoice"/>
    <s v="Sudah Jadi FJ"/>
    <s v=""/>
  </r>
  <r>
    <d v="2026-05-28T00:00:00"/>
    <d v="2026-05-26T00:00:00"/>
    <s v="SO-KS/2605/260094"/>
    <s v="MKS Bali"/>
    <x v="44"/>
    <x v="1"/>
    <x v="11"/>
    <s v="120014"/>
    <x v="31"/>
    <n v="20"/>
    <s v="KG"/>
    <n v="20"/>
    <n v="384060"/>
    <n v="0"/>
    <s v="Invoice"/>
    <s v="Sudah Jadi FJ"/>
    <s v=""/>
  </r>
  <r>
    <d v="2026-05-28T00:00:00"/>
    <d v="2026-05-26T00:00:00"/>
    <s v="SO-KS/2605/260095"/>
    <s v="MKS Bali"/>
    <x v="45"/>
    <x v="0"/>
    <x v="1"/>
    <s v="120007"/>
    <x v="1"/>
    <n v="60"/>
    <s v="KG"/>
    <n v="60"/>
    <n v="929999.74"/>
    <n v="0"/>
    <s v="Invoice"/>
    <s v="Sudah Jadi FJ"/>
    <s v=""/>
  </r>
  <r>
    <d v="2026-05-28T00:00:00"/>
    <d v="2026-05-26T00:00:00"/>
    <s v="SO-KS/2605/260096"/>
    <s v="MKS Bali"/>
    <x v="46"/>
    <x v="1"/>
    <x v="1"/>
    <s v="120007"/>
    <x v="1"/>
    <n v="50"/>
    <s v="KG"/>
    <n v="50"/>
    <n v="764999.79"/>
    <n v="0"/>
    <s v="Invoice"/>
    <s v="Sudah Jadi FJ"/>
    <s v=""/>
  </r>
  <r>
    <d v="2026-05-28T00:00:00"/>
    <d v="2026-05-26T00:00:00"/>
    <s v="SO-KS/2605/260097"/>
    <s v="MKS Bali"/>
    <x v="47"/>
    <x v="1"/>
    <x v="11"/>
    <s v="120007"/>
    <x v="1"/>
    <n v="20"/>
    <s v="KG"/>
    <n v="20"/>
    <n v="372960"/>
    <n v="0"/>
    <s v="Invoice"/>
    <s v="Sudah Jadi FJ"/>
    <s v=""/>
  </r>
  <r>
    <d v="2026-05-28T00:00:00"/>
    <d v="2026-05-26T00:00:00"/>
    <s v="SO-KS/2605/260098"/>
    <s v="MKS Bali"/>
    <x v="48"/>
    <x v="1"/>
    <x v="8"/>
    <s v="120007"/>
    <x v="1"/>
    <n v="100"/>
    <s v="KG"/>
    <n v="100"/>
    <n v="1449999.66"/>
    <n v="0"/>
    <s v="Invoice"/>
    <s v="Sudah Jadi FJ"/>
    <s v=""/>
  </r>
  <r>
    <d v="2026-05-28T00:00:00"/>
    <d v="2026-05-26T00:00:00"/>
    <s v="SO-KS/2605/260098"/>
    <s v="MKS Bali"/>
    <x v="48"/>
    <x v="1"/>
    <x v="8"/>
    <s v="SFM007"/>
    <x v="4"/>
    <n v="15"/>
    <s v="SACK"/>
    <n v="15"/>
    <n v="4200000.13"/>
    <n v="0"/>
    <s v="Invoice"/>
    <s v="Sudah Jadi FJ"/>
    <s v=""/>
  </r>
  <r>
    <d v="2026-05-28T00:00:00"/>
    <d v="2026-05-26T00:00:00"/>
    <s v="SO-KS/2605/260099"/>
    <s v="MKS Bali"/>
    <x v="49"/>
    <x v="1"/>
    <x v="11"/>
    <s v="120007"/>
    <x v="1"/>
    <n v="80"/>
    <s v="KG"/>
    <n v="80"/>
    <n v="1491840"/>
    <n v="0"/>
    <s v="Invoice"/>
    <s v="Sudah Jadi FJ"/>
    <s v=""/>
  </r>
  <r>
    <d v="2026-05-28T00:00:00"/>
    <d v="2026-05-26T00:00:00"/>
    <s v="SO-KS/2605/260100"/>
    <s v="MKS Bali"/>
    <x v="50"/>
    <x v="1"/>
    <x v="6"/>
    <s v="PSF0005"/>
    <x v="0"/>
    <n v="17"/>
    <s v="SACK"/>
    <n v="10"/>
    <n v="2300000"/>
    <n v="-7"/>
    <s v="Invoice"/>
    <s v="Sudah Jadi FJ"/>
    <s v=""/>
  </r>
  <r>
    <d v="2026-05-28T00:00:00"/>
    <d v="2026-05-26T00:00:00"/>
    <s v="SO-KS/2605/260101"/>
    <s v="MKS Bali"/>
    <x v="51"/>
    <x v="1"/>
    <x v="11"/>
    <s v="120007"/>
    <x v="1"/>
    <n v="20"/>
    <s v="KG"/>
    <n v="20"/>
    <n v="372960"/>
    <n v="0"/>
    <s v="Invoice"/>
    <s v="Sudah Jadi FJ"/>
    <s v=""/>
  </r>
  <r>
    <d v="2026-05-28T00:00:00"/>
    <d v="2026-05-26T00:00:00"/>
    <s v="SO-KS/2605/260102"/>
    <s v="MKS Bali"/>
    <x v="52"/>
    <x v="0"/>
    <x v="2"/>
    <s v="SFM007"/>
    <x v="4"/>
    <n v="1"/>
    <s v="SACK"/>
    <n v="1"/>
    <n v="327450"/>
    <n v="0"/>
    <s v="Invoice"/>
    <s v="Sudah Jadi FJ"/>
    <s v=""/>
  </r>
  <r>
    <d v="2026-05-28T00:00:00"/>
    <d v="2026-05-26T00:00:00"/>
    <s v="SO-KS/2605/260102"/>
    <s v="MKS Bali"/>
    <x v="52"/>
    <x v="0"/>
    <x v="2"/>
    <s v="SFM009"/>
    <x v="10"/>
    <n v="1"/>
    <s v="SACK"/>
    <n v="1"/>
    <n v="355200"/>
    <n v="0"/>
    <s v="Invoice"/>
    <s v="Sudah Jadi FJ"/>
    <s v=""/>
  </r>
  <r>
    <d v="2026-05-28T00:00:00"/>
    <d v="2026-05-26T00:00:00"/>
    <s v="SO-KS/2605/260103"/>
    <s v="MKS Bali"/>
    <x v="53"/>
    <x v="1"/>
    <x v="5"/>
    <s v="SFM007"/>
    <x v="4"/>
    <n v="10"/>
    <s v="SACK"/>
    <n v="10"/>
    <n v="2849999.99"/>
    <n v="0"/>
    <s v="Invoice"/>
    <s v="Sudah Jadi FJ"/>
    <s v=""/>
  </r>
  <r>
    <d v="2026-05-28T00:00:00"/>
    <d v="2026-05-26T00:00:00"/>
    <s v="SO-KS/2605/260104"/>
    <s v="MKS Bali"/>
    <x v="54"/>
    <x v="1"/>
    <x v="11"/>
    <s v="120007"/>
    <x v="1"/>
    <n v="60"/>
    <s v="KG"/>
    <n v="60"/>
    <n v="1118880"/>
    <n v="0"/>
    <s v="Invoice"/>
    <s v="Sudah Jadi FJ"/>
    <s v=""/>
  </r>
  <r>
    <d v="2026-05-28T00:00:00"/>
    <d v="2026-05-26T00:00:00"/>
    <s v="SO-KS/2605/260104"/>
    <s v="MKS Bali"/>
    <x v="54"/>
    <x v="1"/>
    <x v="11"/>
    <s v="120018"/>
    <x v="11"/>
    <n v="20"/>
    <s v="KG"/>
    <n v="20"/>
    <n v="361860"/>
    <n v="0"/>
    <s v="Invoice"/>
    <s v="Sudah Jadi FJ"/>
    <s v=""/>
  </r>
  <r>
    <d v="2026-05-28T00:00:00"/>
    <d v="2026-05-26T00:00:00"/>
    <s v="SO-KS/2605/260105"/>
    <s v="MKS Bali"/>
    <x v="55"/>
    <x v="1"/>
    <x v="6"/>
    <s v="PPA0092"/>
    <x v="32"/>
    <n v="50"/>
    <s v="KG"/>
    <n v="50.6"/>
    <n v="5059999.99"/>
    <n v="0.6"/>
    <s v="Invoice"/>
    <s v="Sudah Jadi FJ"/>
    <s v="kitchen asian"/>
  </r>
  <r>
    <d v="2026-05-28T00:00:00"/>
    <d v="2026-05-26T00:00:00"/>
    <s v="SO-KS/2605/260106"/>
    <s v="MKS Bali"/>
    <x v="56"/>
    <x v="1"/>
    <x v="11"/>
    <s v="120007"/>
    <x v="1"/>
    <n v="60"/>
    <s v="KG"/>
    <n v="60"/>
    <n v="1118880"/>
    <n v="0"/>
    <s v="Invoice"/>
    <s v="Sudah Jadi FJ"/>
    <s v=""/>
  </r>
  <r>
    <d v="2026-05-28T00:00:00"/>
    <d v="2026-05-26T00:00:00"/>
    <s v="SO-KS/2605/260106"/>
    <s v="MKS Bali"/>
    <x v="56"/>
    <x v="1"/>
    <x v="11"/>
    <s v="120018"/>
    <x v="11"/>
    <n v="40"/>
    <s v="KG"/>
    <n v="40"/>
    <n v="723720"/>
    <n v="0"/>
    <s v="Invoice"/>
    <s v="Sudah Jadi FJ"/>
    <s v=""/>
  </r>
  <r>
    <d v="2026-05-28T00:00:00"/>
    <d v="2026-05-26T00:00:00"/>
    <s v="SO-KS/2605/260107"/>
    <s v="MKS Bali"/>
    <x v="57"/>
    <x v="0"/>
    <x v="3"/>
    <s v="SFM007"/>
    <x v="4"/>
    <n v="3"/>
    <s v="SACK"/>
    <n v="3"/>
    <n v="807000"/>
    <n v="0"/>
    <s v="Invoice"/>
    <s v="Sudah Jadi FJ"/>
    <s v=""/>
  </r>
  <r>
    <d v="2026-05-28T00:00:00"/>
    <d v="2026-05-26T00:00:00"/>
    <s v="SO-KS/2605/260108"/>
    <s v="MKS Bali"/>
    <x v="58"/>
    <x v="0"/>
    <x v="1"/>
    <s v="120006"/>
    <x v="29"/>
    <n v="20"/>
    <s v="KG"/>
    <n v="20"/>
    <n v="654900"/>
    <n v="0"/>
    <s v="Invoice"/>
    <s v="Sudah Jadi FJ"/>
    <s v=""/>
  </r>
  <r>
    <d v="2026-05-28T00:00:00"/>
    <d v="2026-05-26T00:00:00"/>
    <s v="SO-KS/2605/260108"/>
    <s v="MKS Bali"/>
    <x v="58"/>
    <x v="0"/>
    <x v="1"/>
    <s v="120007"/>
    <x v="1"/>
    <n v="50"/>
    <s v="KG"/>
    <n v="50"/>
    <n v="799999.76"/>
    <n v="0"/>
    <s v="Invoice"/>
    <s v="Sudah Jadi FJ"/>
    <s v=""/>
  </r>
  <r>
    <d v="2026-05-28T00:00:00"/>
    <d v="2026-05-26T00:00:00"/>
    <s v="SO-KS/2605/260109"/>
    <s v="MKS Bali"/>
    <x v="59"/>
    <x v="0"/>
    <x v="1"/>
    <s v="120007"/>
    <x v="1"/>
    <n v="50"/>
    <s v="KG"/>
    <n v="50"/>
    <n v="799999.76"/>
    <n v="0"/>
    <s v="Invoice"/>
    <s v="Sudah Jadi FJ"/>
    <s v=""/>
  </r>
  <r>
    <d v="2026-05-28T00:00:00"/>
    <d v="2026-05-26T00:00:00"/>
    <s v="SO-KS/2605/260110"/>
    <s v="MKS Bali"/>
    <x v="60"/>
    <x v="1"/>
    <x v="8"/>
    <s v="120007"/>
    <x v="1"/>
    <n v="50"/>
    <s v="KG"/>
    <n v="50"/>
    <n v="774999.78"/>
    <n v="0"/>
    <s v="Invoice"/>
    <s v="Sudah Jadi FJ"/>
    <s v=""/>
  </r>
  <r>
    <d v="2026-05-28T00:00:00"/>
    <d v="2026-05-26T00:00:00"/>
    <s v="SO-KS/2605/260111"/>
    <s v="MKS Bali"/>
    <x v="61"/>
    <x v="1"/>
    <x v="8"/>
    <s v="120007"/>
    <x v="1"/>
    <n v="500"/>
    <s v="KG"/>
    <n v="500"/>
    <n v="7249998.2999999998"/>
    <n v="0"/>
    <s v="Invoice"/>
    <s v="Sudah Jadi FJ"/>
    <s v="Di kirim Mahendradatta"/>
  </r>
  <r>
    <d v="2026-05-28T00:00:00"/>
    <d v="2026-05-26T00:00:00"/>
    <s v="SO-KS/2605/260112"/>
    <s v="MKS Bali"/>
    <x v="61"/>
    <x v="1"/>
    <x v="8"/>
    <s v="120007"/>
    <x v="1"/>
    <n v="1000"/>
    <s v="KG"/>
    <n v="1000"/>
    <n v="14499996.6"/>
    <n v="0"/>
    <s v="Invoice"/>
    <s v="Sudah Jadi FJ"/>
    <s v="Di kirim munggu"/>
  </r>
  <r>
    <d v="2026-05-28T00:00:00"/>
    <d v="2026-05-26T00:00:00"/>
    <s v="SO-KS/2605/260113"/>
    <s v="MKS Bali"/>
    <x v="33"/>
    <x v="1"/>
    <x v="14"/>
    <s v="060015"/>
    <x v="26"/>
    <n v="1"/>
    <s v="PACK"/>
    <n v="1"/>
    <n v="56055"/>
    <n v="0"/>
    <s v="Invoice"/>
    <s v="Sudah Jadi FJ"/>
    <s v=""/>
  </r>
  <r>
    <d v="2026-05-28T00:00:00"/>
    <d v="2026-05-26T00:00:00"/>
    <s v="SO-KS/2605/260115"/>
    <s v="MKS Bali"/>
    <x v="62"/>
    <x v="1"/>
    <x v="2"/>
    <s v="PSJ0007"/>
    <x v="33"/>
    <n v="14"/>
    <s v="KG"/>
    <n v="16.89"/>
    <n v="5911500"/>
    <n v="2.89"/>
    <s v="Invoice"/>
    <s v="Sudah Jadi FJ"/>
    <s v="cafe. 7 loaf"/>
  </r>
  <r>
    <d v="2026-05-28T00:00:00"/>
    <d v="2026-05-26T00:00:00"/>
    <s v="SO-KS/2605/260116"/>
    <s v="MKS Bali"/>
    <x v="63"/>
    <x v="1"/>
    <x v="11"/>
    <s v="120014"/>
    <x v="31"/>
    <n v="20"/>
    <s v="KG"/>
    <n v="20"/>
    <n v="384060"/>
    <n v="0"/>
    <s v="Invoice"/>
    <s v="Sudah Jadi FJ"/>
    <s v=""/>
  </r>
  <r>
    <d v="2026-05-28T00:00:00"/>
    <d v="2026-05-26T00:00:00"/>
    <s v="SO-KS/2605/260116"/>
    <s v="MKS Bali"/>
    <x v="63"/>
    <x v="1"/>
    <x v="11"/>
    <s v="120018"/>
    <x v="11"/>
    <n v="20"/>
    <s v="KG"/>
    <n v="20"/>
    <n v="361860"/>
    <n v="0"/>
    <s v="Invoice"/>
    <s v="Sudah Jadi FJ"/>
    <s v=""/>
  </r>
  <r>
    <d v="2026-05-28T00:00:00"/>
    <d v="2026-05-26T00:00:00"/>
    <s v="SO-KS/2605/260117"/>
    <s v="MKS Bali"/>
    <x v="62"/>
    <x v="1"/>
    <x v="2"/>
    <s v="PSJ0007"/>
    <x v="33"/>
    <n v="14"/>
    <s v="KG"/>
    <n v="16.8599"/>
    <n v="5901000"/>
    <n v="2.8599000000000001"/>
    <s v="Invoice"/>
    <s v="Sudah Jadi FJ"/>
    <s v="oasis. 7 loaf"/>
  </r>
  <r>
    <d v="2026-05-28T00:00:00"/>
    <d v="2026-05-26T00:00:00"/>
    <s v="SO-KS/2605/260119"/>
    <s v="MKS Bali"/>
    <x v="64"/>
    <x v="1"/>
    <x v="4"/>
    <s v="SFM018"/>
    <x v="6"/>
    <n v="12"/>
    <s v="SACK"/>
    <n v="12"/>
    <n v="3480000.11"/>
    <n v="0"/>
    <s v="Invoice"/>
    <s v="Sudah Jadi FJ"/>
    <s v=""/>
  </r>
  <r>
    <d v="2026-05-28T00:00:00"/>
    <d v="2026-05-26T00:00:00"/>
    <s v="SO-KS/2605/260119"/>
    <s v="MKS Bali"/>
    <x v="64"/>
    <x v="1"/>
    <x v="4"/>
    <s v="SFM007"/>
    <x v="4"/>
    <n v="6"/>
    <s v="SACK"/>
    <n v="6"/>
    <n v="1770000.03"/>
    <n v="0"/>
    <s v="Invoice"/>
    <s v="Sudah Jadi FJ"/>
    <s v=""/>
  </r>
  <r>
    <d v="2026-05-28T00:00:00"/>
    <d v="2026-05-26T00:00:00"/>
    <s v="SO-KS/2605/260120"/>
    <s v="MKS Bali"/>
    <x v="59"/>
    <x v="0"/>
    <x v="12"/>
    <s v="300098"/>
    <x v="15"/>
    <n v="18"/>
    <s v="BTL"/>
    <n v="18"/>
    <n v="1250100.05"/>
    <n v="0"/>
    <s v="Invoice"/>
    <s v="Sudah Jadi FJ"/>
    <s v=""/>
  </r>
  <r>
    <d v="2026-05-28T00:00:00"/>
    <d v="2026-05-26T00:00:00"/>
    <s v="SO-KS/2605/260122"/>
    <s v="MKS Bali"/>
    <x v="65"/>
    <x v="0"/>
    <x v="3"/>
    <s v="PSJ0203"/>
    <x v="34"/>
    <n v="6"/>
    <s v="KG"/>
    <n v="5.28"/>
    <n v="834240"/>
    <n v="-0.72"/>
    <s v="Invoice"/>
    <s v="Sudah Jadi FJ"/>
    <s v=" bantu dicarikan yg sedikit lemaknya"/>
  </r>
  <r>
    <d v="2026-05-28T00:00:00"/>
    <d v="2026-05-26T00:00:00"/>
    <s v="SO-KS/2605/260123"/>
    <s v="MKS Bali"/>
    <x v="66"/>
    <x v="0"/>
    <x v="8"/>
    <s v="120011"/>
    <x v="35"/>
    <n v="20"/>
    <s v="KG"/>
    <n v="20"/>
    <n v="620000.05000000005"/>
    <n v="0"/>
    <s v="Invoice"/>
    <s v="Sudah Jadi FJ"/>
    <s v=""/>
  </r>
  <r>
    <d v="2026-05-28T00:00:00"/>
    <d v="2026-05-26T00:00:00"/>
    <s v="SO-KS/2605/260123"/>
    <s v="MKS Bali"/>
    <x v="66"/>
    <x v="0"/>
    <x v="8"/>
    <s v="120006"/>
    <x v="29"/>
    <n v="30"/>
    <s v="KG"/>
    <n v="30"/>
    <n v="930000.07"/>
    <n v="0"/>
    <s v="Invoice"/>
    <s v="Sudah Jadi FJ"/>
    <s v=""/>
  </r>
  <r>
    <d v="2026-05-28T00:00:00"/>
    <d v="2026-05-26T00:00:00"/>
    <s v="SO-KS/2605/260124"/>
    <s v="MKS Bali"/>
    <x v="67"/>
    <x v="0"/>
    <x v="16"/>
    <s v="SFM007"/>
    <x v="4"/>
    <n v="4"/>
    <s v="SACK"/>
    <n v="4"/>
    <n v="1200000"/>
    <n v="0"/>
    <s v="Invoice"/>
    <s v="Sudah Jadi FJ"/>
    <s v=""/>
  </r>
  <r>
    <d v="2026-05-28T00:00:00"/>
    <d v="2026-05-26T00:00:00"/>
    <s v="SO-KS/2605/260125"/>
    <s v="MKS Bali"/>
    <x v="68"/>
    <x v="1"/>
    <x v="0"/>
    <s v="080241"/>
    <x v="9"/>
    <n v="12"/>
    <s v="PCS"/>
    <n v="12"/>
    <n v="559440"/>
    <n v="0"/>
    <s v="Invoice"/>
    <s v="Sudah Jadi FJ"/>
    <s v=""/>
  </r>
  <r>
    <d v="2026-05-28T00:00:00"/>
    <d v="2026-05-26T00:00:00"/>
    <s v="SO-KS/2605/260126"/>
    <s v="MKS Bali"/>
    <x v="69"/>
    <x v="1"/>
    <x v="14"/>
    <s v="060015"/>
    <x v="26"/>
    <n v="24"/>
    <s v="PACK"/>
    <n v="24"/>
    <n v="1226400.1100000001"/>
    <n v="0"/>
    <s v="Invoice"/>
    <s v="Sudah Jadi FJ"/>
    <s v="INVOICE 1"/>
  </r>
  <r>
    <d v="2026-05-28T00:00:00"/>
    <d v="2026-05-26T00:00:00"/>
    <s v="SO-KS/2605/260127"/>
    <s v="MKS Bali"/>
    <x v="70"/>
    <x v="1"/>
    <x v="5"/>
    <s v="PSF0014"/>
    <x v="36"/>
    <n v="6"/>
    <s v="SACK"/>
    <n v="6"/>
    <n v="1949999.98"/>
    <n v="0"/>
    <s v="Invoice"/>
    <s v="Sudah Jadi FJ"/>
    <s v=""/>
  </r>
  <r>
    <d v="2026-05-28T00:00:00"/>
    <d v="2026-05-26T00:00:00"/>
    <s v="SO-KS/2605/260128"/>
    <s v="MKS Bali"/>
    <x v="69"/>
    <x v="1"/>
    <x v="14"/>
    <s v="060013"/>
    <x v="17"/>
    <n v="24"/>
    <s v="PACK"/>
    <n v="24"/>
    <n v="1540800.06"/>
    <n v="0"/>
    <s v="Invoice"/>
    <s v="Sudah Jadi FJ"/>
    <s v="INVOICE 2"/>
  </r>
  <r>
    <d v="2026-05-28T00:00:00"/>
    <d v="2026-05-26T00:00:00"/>
    <s v="SO-KS/2605/260129"/>
    <s v="MKS Bali"/>
    <x v="71"/>
    <x v="1"/>
    <x v="7"/>
    <s v="080241"/>
    <x v="9"/>
    <n v="12"/>
    <s v="PCS"/>
    <n v="12"/>
    <n v="559440"/>
    <n v="0"/>
    <s v="Invoice"/>
    <s v="Sudah Jadi FJ"/>
    <s v="BAR CRETYA"/>
  </r>
  <r>
    <d v="2026-05-28T00:00:00"/>
    <d v="2026-05-26T00:00:00"/>
    <s v="SO-KS/2605/260130"/>
    <s v="MKS Bali"/>
    <x v="72"/>
    <x v="1"/>
    <x v="6"/>
    <s v="PPK0010"/>
    <x v="3"/>
    <n v="2"/>
    <s v="KG"/>
    <n v="1.9"/>
    <n v="266000.01"/>
    <n v="-0.1"/>
    <s v="Invoice"/>
    <s v="Sudah Jadi FJ"/>
    <s v="1 loaf"/>
  </r>
  <r>
    <d v="2026-05-28T00:00:00"/>
    <d v="2026-05-26T00:00:00"/>
    <s v="SO-KS/2605/260131"/>
    <s v="MKS Bali"/>
    <x v="73"/>
    <x v="1"/>
    <x v="11"/>
    <s v="120007"/>
    <x v="1"/>
    <n v="20"/>
    <s v="KG"/>
    <n v="20"/>
    <n v="372960"/>
    <n v="0"/>
    <s v="Invoice"/>
    <s v="Sudah Jadi FJ"/>
    <s v=""/>
  </r>
  <r>
    <d v="2026-05-28T00:00:00"/>
    <d v="2026-05-26T00:00:00"/>
    <s v="SO-KS/2605/260134"/>
    <s v="MKS Bali"/>
    <x v="74"/>
    <x v="1"/>
    <x v="2"/>
    <s v="SFM007"/>
    <x v="4"/>
    <n v="2"/>
    <s v="SACK"/>
    <n v="2"/>
    <n v="640000"/>
    <n v="0"/>
    <s v="Invoice"/>
    <s v="Sudah Jadi FJ"/>
    <s v=""/>
  </r>
  <r>
    <d v="2026-05-28T00:00:00"/>
    <d v="2026-05-26T00:00:00"/>
    <s v="SO-KS/2605/260135"/>
    <s v="MKS Bali"/>
    <x v="75"/>
    <x v="1"/>
    <x v="10"/>
    <s v="PSJ0044"/>
    <x v="8"/>
    <n v="2"/>
    <s v="KG"/>
    <n v="2.33"/>
    <n v="559200"/>
    <n v="0.33"/>
    <s v="Invoice"/>
    <s v="Sudah Jadi FJ"/>
    <s v=""/>
  </r>
  <r>
    <d v="2026-05-28T00:00:00"/>
    <d v="2026-05-26T00:00:00"/>
    <s v="SO-KS/2605/260135"/>
    <s v="MKS Bali"/>
    <x v="75"/>
    <x v="1"/>
    <x v="10"/>
    <s v="PSJ0063"/>
    <x v="18"/>
    <n v="2"/>
    <s v="KG"/>
    <n v="2.2200000000000002"/>
    <n v="388500"/>
    <n v="0.22"/>
    <s v="Invoice"/>
    <s v="Sudah Jadi FJ"/>
    <s v=""/>
  </r>
  <r>
    <d v="2026-05-28T00:00:00"/>
    <d v="2026-05-26T00:00:00"/>
    <s v="SO-KS/2605/260136"/>
    <s v="MKS Bali"/>
    <x v="76"/>
    <x v="1"/>
    <x v="9"/>
    <s v="PSJ0063"/>
    <x v="18"/>
    <n v="3"/>
    <s v="KG"/>
    <n v="2.78"/>
    <n v="472600"/>
    <n v="-0.22"/>
    <s v="Invoice"/>
    <s v="Sudah Jadi FJ"/>
    <s v=""/>
  </r>
  <r>
    <d v="2026-05-28T00:00:00"/>
    <d v="2026-05-26T00:00:00"/>
    <s v="SO-KS/2605/260137"/>
    <s v="MKS Bali"/>
    <x v="76"/>
    <x v="1"/>
    <x v="9"/>
    <s v="PSJ0063"/>
    <x v="18"/>
    <n v="6"/>
    <s v="KG"/>
    <n v="6.68"/>
    <n v="1135600"/>
    <n v="0.68"/>
    <s v="Invoice"/>
    <s v="Sudah Jadi FJ"/>
    <s v=""/>
  </r>
  <r>
    <d v="2026-05-28T00:00:00"/>
    <d v="2026-05-26T00:00:00"/>
    <s v="SO-KS/2605/260138"/>
    <s v="MKS Bali"/>
    <x v="55"/>
    <x v="1"/>
    <x v="6"/>
    <s v="SFM007"/>
    <x v="4"/>
    <n v="6"/>
    <s v="SACK"/>
    <n v="6"/>
    <n v="1602000"/>
    <n v="0"/>
    <s v="Invoice"/>
    <s v="Sudah Jadi FJ"/>
    <s v=" kitchen fbc"/>
  </r>
  <r>
    <d v="2026-05-28T00:00:00"/>
    <d v="2026-05-26T00:00:00"/>
    <s v="SO-KS/2605/260139"/>
    <s v="MKS Bali"/>
    <x v="55"/>
    <x v="1"/>
    <x v="6"/>
    <s v="PSJ0275"/>
    <x v="37"/>
    <n v="1"/>
    <s v="PACK"/>
    <n v="1"/>
    <n v="115000"/>
    <n v="0"/>
    <s v="Invoice"/>
    <s v="Sudah Jadi FJ"/>
    <s v=" kitchen fbc"/>
  </r>
  <r>
    <d v="2026-05-28T00:00:00"/>
    <d v="2026-05-26T00:00:00"/>
    <s v="SO-KS/2605/260140"/>
    <s v="MKS Bali"/>
    <x v="77"/>
    <x v="1"/>
    <x v="10"/>
    <s v="SFM018"/>
    <x v="6"/>
    <n v="10"/>
    <s v="SACK"/>
    <n v="10"/>
    <n v="2749999.99"/>
    <n v="0"/>
    <s v="Invoice"/>
    <s v="Sudah Jadi FJ"/>
    <s v=""/>
  </r>
  <r>
    <d v="2026-05-28T00:00:00"/>
    <d v="2026-05-26T00:00:00"/>
    <s v="SO-KS/2605/260140"/>
    <s v="MKS Bali"/>
    <x v="77"/>
    <x v="1"/>
    <x v="10"/>
    <s v="SFM007"/>
    <x v="4"/>
    <n v="25"/>
    <s v="SACK"/>
    <n v="25"/>
    <n v="7125000.0899999999"/>
    <n v="0"/>
    <s v="Invoice"/>
    <s v="Sudah Jadi FJ"/>
    <s v=""/>
  </r>
  <r>
    <d v="2026-05-28T00:00:00"/>
    <d v="2026-05-26T00:00:00"/>
    <s v="SO-KS/2605/260142"/>
    <s v="MKS Bali"/>
    <x v="78"/>
    <x v="1"/>
    <x v="9"/>
    <s v="SFM007"/>
    <x v="4"/>
    <n v="3"/>
    <s v="SACK"/>
    <n v="3"/>
    <n v="982350"/>
    <n v="0"/>
    <s v="Invoice"/>
    <s v="Sudah Jadi FJ"/>
    <s v=""/>
  </r>
  <r>
    <d v="2026-05-28T00:00:00"/>
    <d v="2026-05-26T00:00:00"/>
    <s v="SO-KS/2605/260143"/>
    <s v="MKS Bali"/>
    <x v="33"/>
    <x v="1"/>
    <x v="3"/>
    <s v="SFM007"/>
    <x v="4"/>
    <n v="2"/>
    <s v="SACK"/>
    <n v="2"/>
    <n v="620000"/>
    <n v="0"/>
    <s v="Invoice"/>
    <s v="Sudah Jadi FJ"/>
    <s v=""/>
  </r>
  <r>
    <d v="2026-05-28T00:00:00"/>
    <d v="2026-05-26T00:00:00"/>
    <s v="SO-KS/2605/260144"/>
    <s v="MKS Bali"/>
    <x v="33"/>
    <x v="1"/>
    <x v="3"/>
    <s v="SFM007"/>
    <x v="4"/>
    <n v="1"/>
    <s v="SACK"/>
    <n v="1"/>
    <n v="310000"/>
    <n v="0"/>
    <s v="Invoice"/>
    <s v="Sudah Jadi FJ"/>
    <s v=""/>
  </r>
  <r>
    <d v="2026-05-28T00:00:00"/>
    <d v="2026-05-26T00:00:00"/>
    <s v="SO-KS/2605/260145"/>
    <s v="MKS Bali"/>
    <x v="79"/>
    <x v="1"/>
    <x v="9"/>
    <s v="SFM007"/>
    <x v="4"/>
    <n v="1"/>
    <s v="SACK"/>
    <n v="1"/>
    <n v="300000"/>
    <n v="0"/>
    <s v="Invoice"/>
    <s v="Sudah Jadi FJ"/>
    <s v=""/>
  </r>
  <r>
    <d v="2026-05-28T00:00:00"/>
    <d v="2026-05-26T00:00:00"/>
    <s v="SO-KS/2605/260145"/>
    <s v="MKS Bali"/>
    <x v="79"/>
    <x v="1"/>
    <x v="9"/>
    <s v="SFM009"/>
    <x v="10"/>
    <n v="1"/>
    <s v="SACK"/>
    <n v="1"/>
    <n v="304999.99"/>
    <n v="0"/>
    <s v="Invoice"/>
    <s v="Sudah Jadi FJ"/>
    <s v=""/>
  </r>
  <r>
    <d v="2026-05-28T00:00:00"/>
    <d v="2026-05-26T00:00:00"/>
    <s v="SO-KS/2605/260146"/>
    <s v="MKS Bali"/>
    <x v="35"/>
    <x v="1"/>
    <x v="9"/>
    <s v="PSJ0044"/>
    <x v="8"/>
    <n v="30"/>
    <s v="KG"/>
    <n v="27.879899999999999"/>
    <n v="6133600"/>
    <n v="-2.1200999999999999"/>
    <s v="Invoice"/>
    <s v="Sudah Jadi FJ"/>
    <s v=""/>
  </r>
  <r>
    <d v="2026-05-28T00:00:00"/>
    <d v="2026-05-26T00:00:00"/>
    <s v="SO-KS/2605/260147"/>
    <s v="MKS Bali"/>
    <x v="80"/>
    <x v="1"/>
    <x v="9"/>
    <s v="120015"/>
    <x v="16"/>
    <n v="2"/>
    <s v="KG"/>
    <n v="2"/>
    <n v="71999.990000000005"/>
    <n v="0"/>
    <s v="Invoice"/>
    <s v="Sudah Jadi FJ"/>
    <s v=""/>
  </r>
  <r>
    <d v="2026-05-28T00:00:00"/>
    <d v="2026-05-26T00:00:00"/>
    <s v="SO-KS/2605/260148"/>
    <s v="MKS Bali"/>
    <x v="80"/>
    <x v="1"/>
    <x v="9"/>
    <s v="POT0983"/>
    <x v="38"/>
    <n v="1"/>
    <s v="CAN"/>
    <n v="1"/>
    <n v="13320"/>
    <n v="0"/>
    <s v="Invoice"/>
    <s v="Sudah Jadi FJ"/>
    <s v=""/>
  </r>
  <r>
    <d v="2026-05-28T00:00:00"/>
    <d v="2026-05-26T00:00:00"/>
    <s v="SO-KS/2605/260150"/>
    <s v="MKS Bali"/>
    <x v="80"/>
    <x v="1"/>
    <x v="9"/>
    <s v="120015"/>
    <x v="16"/>
    <n v="1"/>
    <s v="KG"/>
    <n v="1"/>
    <n v="36000"/>
    <n v="0"/>
    <s v="Invoice"/>
    <s v="Sudah Jadi FJ"/>
    <s v=""/>
  </r>
  <r>
    <d v="2026-05-28T00:00:00"/>
    <d v="2026-05-26T00:00:00"/>
    <s v="SO-KS/2605/260151"/>
    <s v="MKS Bali"/>
    <x v="80"/>
    <x v="1"/>
    <x v="9"/>
    <s v="PSJ0203"/>
    <x v="34"/>
    <n v="6"/>
    <s v="KG"/>
    <n v="4.3"/>
    <n v="696600"/>
    <n v="-1.7"/>
    <s v="Invoice"/>
    <s v="Sudah Jadi FJ"/>
    <s v=""/>
  </r>
  <r>
    <d v="2026-05-28T00:00:00"/>
    <d v="2026-05-26T00:00:00"/>
    <s v="SO-KS/2605/260155"/>
    <s v="MKS Bali"/>
    <x v="81"/>
    <x v="1"/>
    <x v="9"/>
    <s v="PPA0092"/>
    <x v="32"/>
    <n v="9.1998999999999995"/>
    <s v="KG"/>
    <n v="9.1998999999999995"/>
    <n v="920000"/>
    <n v="0"/>
    <s v="Invoice"/>
    <s v="Sudah Jadi FJ"/>
    <s v="4 loaf"/>
  </r>
  <r>
    <d v="2026-05-28T00:00:00"/>
    <d v="2026-05-26T00:00:00"/>
    <s v="SO-KS/2605/260156"/>
    <s v="MKS Bali"/>
    <x v="82"/>
    <x v="0"/>
    <x v="3"/>
    <s v="080239"/>
    <x v="39"/>
    <n v="72"/>
    <s v="PCS"/>
    <n v="72"/>
    <n v="2769228"/>
    <n v="0"/>
    <s v="Invoice"/>
    <s v="Sudah Jadi FJ"/>
    <s v="dikirim ke Prema Cargo Sanur Jln HangTuah Sanur"/>
  </r>
  <r>
    <d v="2026-05-28T00:00:00"/>
    <d v="2026-05-26T00:00:00"/>
    <s v="SO-KS/2605/260157"/>
    <s v="MKS Bali"/>
    <x v="83"/>
    <x v="0"/>
    <x v="13"/>
    <s v="060004"/>
    <x v="22"/>
    <n v="12"/>
    <s v="PACK"/>
    <n v="12"/>
    <n v="757199.99"/>
    <n v="0"/>
    <s v="Invoice"/>
    <s v="Sudah Jadi FJ"/>
    <s v="CBD"/>
  </r>
  <r>
    <d v="2026-05-28T00:00:00"/>
    <d v="2026-05-26T00:00:00"/>
    <s v="SO-KS/2605/260157"/>
    <s v="MKS Bali"/>
    <x v="83"/>
    <x v="0"/>
    <x v="13"/>
    <s v="020020"/>
    <x v="30"/>
    <n v="9"/>
    <s v="PACK"/>
    <n v="9"/>
    <n v="945000"/>
    <n v="0"/>
    <s v="Invoice"/>
    <s v="Sudah Jadi FJ"/>
    <s v="CBD"/>
  </r>
  <r>
    <d v="2026-05-28T00:00:00"/>
    <d v="2026-05-26T00:00:00"/>
    <s v="SO-KS/2605/260160"/>
    <s v="MKS Bali"/>
    <x v="84"/>
    <x v="1"/>
    <x v="7"/>
    <s v="SFM007"/>
    <x v="4"/>
    <n v="4"/>
    <s v="SACK"/>
    <n v="4"/>
    <n v="1280000.01"/>
    <n v="0"/>
    <s v="Invoice"/>
    <s v="Sudah Jadi FJ"/>
    <s v=""/>
  </r>
  <r>
    <d v="2026-05-28T00:00:00"/>
    <d v="2026-05-26T00:00:00"/>
    <s v="SO-KS/2605/260161"/>
    <s v="MKS Bali"/>
    <x v="85"/>
    <x v="0"/>
    <x v="2"/>
    <s v="PSJ0011"/>
    <x v="40"/>
    <n v="15"/>
    <s v="KG"/>
    <n v="14.4499"/>
    <n v="2095250"/>
    <n v="-0.55010000000000003"/>
    <s v="Invoice"/>
    <s v="Sudah Jadi FJ"/>
    <s v=""/>
  </r>
  <r>
    <d v="2026-05-28T00:00:00"/>
    <d v="2026-05-26T00:00:00"/>
    <s v="SO-KS/2605/260163"/>
    <s v="MKS Bali"/>
    <x v="86"/>
    <x v="1"/>
    <x v="7"/>
    <s v="120015"/>
    <x v="16"/>
    <n v="20"/>
    <s v="KG"/>
    <n v="20"/>
    <n v="699999.97"/>
    <n v="0"/>
    <s v="Invoice"/>
    <s v="Sudah Jadi FJ"/>
    <s v=""/>
  </r>
  <r>
    <d v="2026-05-28T00:00:00"/>
    <d v="2026-05-26T00:00:00"/>
    <s v="SO-KS/2605/260164"/>
    <s v="MKS Bali"/>
    <x v="87"/>
    <x v="1"/>
    <x v="10"/>
    <s v="SFM007"/>
    <x v="4"/>
    <n v="10"/>
    <s v="SACK"/>
    <n v="10"/>
    <n v="3274500"/>
    <n v="0"/>
    <s v="Invoice"/>
    <s v="Sudah Jadi FJ"/>
    <s v=""/>
  </r>
  <r>
    <d v="2026-05-28T00:00:00"/>
    <d v="2026-05-26T00:00:00"/>
    <s v="SO-KS/2605/260166"/>
    <s v="MKS Bali"/>
    <x v="42"/>
    <x v="1"/>
    <x v="7"/>
    <s v="SFM007"/>
    <x v="4"/>
    <n v="3"/>
    <s v="SACK"/>
    <n v="3"/>
    <n v="945000"/>
    <n v="0"/>
    <s v="Invoice"/>
    <s v="Sudah Jadi FJ"/>
    <s v=""/>
  </r>
  <r>
    <d v="2026-05-28T00:00:00"/>
    <d v="2026-05-26T00:00:00"/>
    <s v="SO-KS/2605/260166"/>
    <s v="MKS Bali"/>
    <x v="42"/>
    <x v="1"/>
    <x v="7"/>
    <s v="SFM052"/>
    <x v="23"/>
    <n v="2"/>
    <s v="SACK"/>
    <n v="2"/>
    <n v="1120000"/>
    <n v="0"/>
    <s v="Invoice"/>
    <s v="Sudah Jadi FJ"/>
    <s v=""/>
  </r>
  <r>
    <d v="2026-05-28T00:00:00"/>
    <d v="2026-05-26T00:00:00"/>
    <s v="SO-KS/2605/260167"/>
    <s v="MKS Bali"/>
    <x v="88"/>
    <x v="0"/>
    <x v="0"/>
    <s v="PSF0014"/>
    <x v="36"/>
    <n v="1"/>
    <s v="SACK"/>
    <n v="1"/>
    <n v="294999.99"/>
    <n v="0"/>
    <s v="Invoice"/>
    <s v="Sudah Jadi FJ"/>
    <s v=""/>
  </r>
  <r>
    <d v="2026-05-28T00:00:00"/>
    <d v="2026-05-26T00:00:00"/>
    <s v="SO-KS/2605/260169"/>
    <s v="MKS Bali"/>
    <x v="10"/>
    <x v="1"/>
    <x v="6"/>
    <s v="SFM007"/>
    <x v="4"/>
    <n v="1"/>
    <s v="SACK"/>
    <n v="1"/>
    <n v="315000"/>
    <n v="0"/>
    <s v="Invoice"/>
    <s v="Sudah Jadi FJ"/>
    <s v=""/>
  </r>
  <r>
    <d v="2026-05-28T00:00:00"/>
    <d v="2026-05-26T00:00:00"/>
    <s v="SO-KS/2605/260169"/>
    <s v="MKS Bali"/>
    <x v="10"/>
    <x v="1"/>
    <x v="6"/>
    <s v="SFM018"/>
    <x v="6"/>
    <n v="1"/>
    <s v="SACK"/>
    <n v="1"/>
    <n v="314999.99"/>
    <n v="0"/>
    <s v="Invoice"/>
    <s v="Sudah Jadi FJ"/>
    <s v=""/>
  </r>
  <r>
    <d v="2026-05-28T00:00:00"/>
    <d v="2026-05-26T00:00:00"/>
    <s v="SO-KS/2605/260171"/>
    <s v="MKS Bali"/>
    <x v="89"/>
    <x v="0"/>
    <x v="4"/>
    <s v="SFM009"/>
    <x v="10"/>
    <n v="6"/>
    <s v="SACK"/>
    <n v="6"/>
    <n v="1949999.99"/>
    <n v="0"/>
    <s v="Invoice"/>
    <s v="Sudah Jadi FJ"/>
    <s v=""/>
  </r>
  <r>
    <d v="2026-05-28T00:00:00"/>
    <d v="2026-05-26T00:00:00"/>
    <s v="SO-KS/2605/260172"/>
    <s v="MKS Bali"/>
    <x v="15"/>
    <x v="1"/>
    <x v="9"/>
    <s v="SFM007"/>
    <x v="4"/>
    <n v="20"/>
    <s v="SACK"/>
    <n v="20"/>
    <n v="5599999.9900000002"/>
    <n v="0"/>
    <s v="Invoice"/>
    <s v="Sudah Jadi FJ"/>
    <s v=""/>
  </r>
  <r>
    <d v="2026-05-28T00:00:00"/>
    <d v="2026-05-26T00:00:00"/>
    <s v="SO-KS/2605/260173"/>
    <s v="MKS Bali"/>
    <x v="90"/>
    <x v="1"/>
    <x v="7"/>
    <s v="PSJ0203"/>
    <x v="34"/>
    <n v="5"/>
    <s v="KG"/>
    <n v="4.1500000000000004"/>
    <n v="655700"/>
    <n v="-0.85"/>
    <s v="Invoice"/>
    <s v="Sudah Jadi FJ"/>
    <s v=""/>
  </r>
  <r>
    <d v="2026-05-28T00:00:00"/>
    <d v="2026-05-26T00:00:00"/>
    <s v="SO-KS/2605/260174"/>
    <s v="MKS Bali"/>
    <x v="91"/>
    <x v="1"/>
    <x v="10"/>
    <s v="080241"/>
    <x v="9"/>
    <n v="6"/>
    <s v="PCS"/>
    <n v="6"/>
    <n v="279720"/>
    <n v="0"/>
    <s v="Invoice"/>
    <s v="Sudah Jadi FJ"/>
    <s v=""/>
  </r>
  <r>
    <d v="2026-05-28T00:00:00"/>
    <d v="2026-05-26T00:00:00"/>
    <s v="SO-KS/2605/260175"/>
    <s v="MKS Bali"/>
    <x v="92"/>
    <x v="1"/>
    <x v="10"/>
    <s v="120015"/>
    <x v="16"/>
    <n v="12"/>
    <s v="KG"/>
    <n v="12"/>
    <n v="435564"/>
    <n v="0"/>
    <s v="Invoice"/>
    <s v="Sudah Jadi FJ"/>
    <s v="DI KIRIM SEBELUM JAM 3"/>
  </r>
  <r>
    <d v="2026-05-28T00:00:00"/>
    <d v="2026-05-26T00:00:00"/>
    <s v="SO-KS/2605/260176"/>
    <s v="MKS Bali"/>
    <x v="93"/>
    <x v="1"/>
    <x v="5"/>
    <s v="SFM007"/>
    <x v="4"/>
    <n v="1"/>
    <s v="SACK"/>
    <n v="1"/>
    <n v="275000"/>
    <n v="0"/>
    <s v="Invoice"/>
    <s v="Sudah Jadi FJ"/>
    <s v=""/>
  </r>
  <r>
    <d v="2026-05-28T00:00:00"/>
    <d v="2026-05-26T00:00:00"/>
    <s v="SO-KS/2605/260177"/>
    <s v="MKS Bali"/>
    <x v="94"/>
    <x v="1"/>
    <x v="10"/>
    <s v="SFM007"/>
    <x v="4"/>
    <n v="2"/>
    <s v="SACK"/>
    <n v="2"/>
    <n v="554000"/>
    <n v="0"/>
    <s v="Invoice"/>
    <s v="Sudah Jadi FJ"/>
    <s v=""/>
  </r>
  <r>
    <d v="2026-05-28T00:00:00"/>
    <d v="2026-05-26T00:00:00"/>
    <s v="SO-KS/2605/260179"/>
    <s v="MKS Bali"/>
    <x v="95"/>
    <x v="1"/>
    <x v="13"/>
    <s v="060013"/>
    <x v="17"/>
    <n v="3"/>
    <s v="PACK"/>
    <n v="3"/>
    <n v="192600.01"/>
    <n v="0"/>
    <s v="Invoice"/>
    <s v="Sudah Jadi FJ"/>
    <s v=""/>
  </r>
  <r>
    <d v="2026-05-28T00:00:00"/>
    <d v="2026-05-26T00:00:00"/>
    <s v="SO-KS/2605/260179"/>
    <s v="MKS Bali"/>
    <x v="95"/>
    <x v="1"/>
    <x v="13"/>
    <s v="060017"/>
    <x v="41"/>
    <n v="1"/>
    <s v="PACK"/>
    <n v="1"/>
    <n v="68100"/>
    <n v="0"/>
    <s v="Invoice"/>
    <s v="Sudah Jadi FJ"/>
    <s v=""/>
  </r>
  <r>
    <d v="2026-05-28T00:00:00"/>
    <d v="2026-05-26T00:00:00"/>
    <s v="SO-KS/2605/260179"/>
    <s v="MKS Bali"/>
    <x v="95"/>
    <x v="1"/>
    <x v="13"/>
    <s v="020020"/>
    <x v="30"/>
    <n v="2"/>
    <s v="PACK"/>
    <n v="2"/>
    <n v="210000"/>
    <n v="0"/>
    <s v="Invoice"/>
    <s v="Sudah Jadi FJ"/>
    <s v=""/>
  </r>
  <r>
    <d v="2026-05-28T00:00:00"/>
    <d v="2026-05-26T00:00:00"/>
    <s v="SO-KS/2605/260181"/>
    <s v="MKS Bali"/>
    <x v="96"/>
    <x v="0"/>
    <x v="5"/>
    <s v="SFM007"/>
    <x v="4"/>
    <n v="1"/>
    <s v="SACK"/>
    <n v="1"/>
    <n v="327450"/>
    <n v="0"/>
    <s v="Invoice"/>
    <s v="Sudah Jadi FJ"/>
    <s v=""/>
  </r>
  <r>
    <d v="2026-05-28T00:00:00"/>
    <d v="2026-05-26T00:00:00"/>
    <s v="SO-KS/2605/260182"/>
    <s v="MKS Bali"/>
    <x v="97"/>
    <x v="1"/>
    <x v="5"/>
    <s v="PSJ0024"/>
    <x v="42"/>
    <n v="3"/>
    <s v="KG"/>
    <n v="3"/>
    <n v="315000"/>
    <n v="0"/>
    <s v="Invoice"/>
    <s v="Sudah Jadi FJ"/>
    <s v=""/>
  </r>
  <r>
    <d v="2026-05-28T00:00:00"/>
    <d v="2026-05-26T00:00:00"/>
    <s v="SO-KS/2605/260183"/>
    <s v="MKS Bali"/>
    <x v="98"/>
    <x v="1"/>
    <x v="17"/>
    <s v="120007"/>
    <x v="1"/>
    <n v="6"/>
    <s v="KG"/>
    <n v="6"/>
    <n v="89999.98"/>
    <n v="0"/>
    <s v="Invoice"/>
    <s v="Sudah Jadi FJ"/>
    <s v=""/>
  </r>
  <r>
    <d v="2026-05-28T00:00:00"/>
    <d v="2026-05-26T00:00:00"/>
    <s v="SO-KS/2605/260184"/>
    <s v="MKS Bali"/>
    <x v="98"/>
    <x v="1"/>
    <x v="17"/>
    <s v="080026"/>
    <x v="43"/>
    <n v="12"/>
    <s v="LTR"/>
    <n v="12"/>
    <n v="237000"/>
    <n v="0"/>
    <s v="Invoice"/>
    <s v="Sudah Jadi FJ"/>
    <s v=""/>
  </r>
  <r>
    <d v="2026-05-28T00:00:00"/>
    <d v="2026-05-26T00:00:00"/>
    <s v="SO-KS/2605/260185"/>
    <s v="MKS Bali"/>
    <x v="99"/>
    <x v="1"/>
    <x v="17"/>
    <s v="070125"/>
    <x v="44"/>
    <n v="8"/>
    <s v="TIN"/>
    <n v="8"/>
    <n v="912000"/>
    <n v="0"/>
    <s v="Invoice"/>
    <s v="Sudah Jadi FJ"/>
    <s v="SPC SBY-2, MINTA ED MINIMAL 6 BULAN"/>
  </r>
  <r>
    <d v="2026-05-28T00:00:00"/>
    <d v="2026-05-26T00:00:00"/>
    <s v="SO-KU/2605/260001"/>
    <s v="MKU Bali"/>
    <x v="100"/>
    <x v="1"/>
    <x v="0"/>
    <s v="PAA0001"/>
    <x v="45"/>
    <n v="4.5999999999999996"/>
    <s v="KG"/>
    <n v="4.34"/>
    <n v="420980.01"/>
    <n v="-0.26"/>
    <s v="Invoice"/>
    <s v="Sudah Jadi FJ"/>
    <s v="2 loaf"/>
  </r>
  <r>
    <d v="2026-05-28T00:00:00"/>
    <d v="2026-05-26T00:00:00"/>
    <s v="SO-KU/2605/260001"/>
    <s v="MKU Bali"/>
    <x v="100"/>
    <x v="1"/>
    <x v="0"/>
    <s v="PEA0006"/>
    <x v="46"/>
    <n v="10"/>
    <s v="KG"/>
    <n v="10.14"/>
    <n v="1368899.99"/>
    <n v="0.14000000000000001"/>
    <s v="Invoice"/>
    <s v="Sudah Jadi FJ"/>
    <s v="2 loaf"/>
  </r>
  <r>
    <d v="2026-05-28T00:00:00"/>
    <d v="2026-05-26T00:00:00"/>
    <s v="SO-KU/2605/260002"/>
    <s v="MKU Bali"/>
    <x v="101"/>
    <x v="1"/>
    <x v="9"/>
    <s v="PAS0014"/>
    <x v="47"/>
    <n v="2"/>
    <s v="KTN"/>
    <n v="2"/>
    <n v="1100000.01"/>
    <n v="0"/>
    <s v="Invoice"/>
    <s v="Sudah Jadi FJ"/>
    <s v=""/>
  </r>
  <r>
    <d v="2026-05-28T00:00:00"/>
    <d v="2026-05-26T00:00:00"/>
    <s v="SO-KU/2605/260004"/>
    <s v="MKU Bali"/>
    <x v="102"/>
    <x v="1"/>
    <x v="7"/>
    <s v="PAS0014"/>
    <x v="47"/>
    <n v="1"/>
    <s v="KTN"/>
    <n v="1"/>
    <n v="500000"/>
    <n v="0"/>
    <s v="Invoice"/>
    <s v="Sudah Jadi FJ"/>
    <s v=""/>
  </r>
  <r>
    <d v="2026-05-28T00:00:00"/>
    <d v="2026-05-26T00:00:00"/>
    <s v="SO-KU/2605/260009"/>
    <s v="MKU Bali"/>
    <x v="103"/>
    <x v="0"/>
    <x v="16"/>
    <s v="PAS0027"/>
    <x v="48"/>
    <n v="2"/>
    <s v="KTN"/>
    <n v="2"/>
    <n v="680000"/>
    <n v="0"/>
    <s v="Invoice"/>
    <s v="Sudah Jadi FJ"/>
    <s v=""/>
  </r>
  <r>
    <d v="2026-05-28T00:00:00"/>
    <d v="2026-05-26T00:00:00"/>
    <s v="SO-KU/2605/260011"/>
    <s v="MKU Bali"/>
    <x v="104"/>
    <x v="0"/>
    <x v="5"/>
    <s v="PKI0003"/>
    <x v="49"/>
    <n v="1"/>
    <s v="KTN"/>
    <n v="1"/>
    <n v="450000.01"/>
    <n v="0"/>
    <s v="Invoice"/>
    <s v="Sudah Jadi FJ"/>
    <s v=""/>
  </r>
  <r>
    <d v="2026-05-28T00:00:00"/>
    <d v="2026-05-26T00:00:00"/>
    <s v="SO-KU/2605/260012"/>
    <s v="MKU Bali"/>
    <x v="105"/>
    <x v="1"/>
    <x v="5"/>
    <s v="POT0046"/>
    <x v="50"/>
    <n v="25"/>
    <s v="KG"/>
    <n v="25"/>
    <n v="4125000.04"/>
    <n v="0"/>
    <s v="Invoice"/>
    <s v="Sudah Jadi FJ"/>
    <s v=""/>
  </r>
  <r>
    <d v="2026-05-28T00:00:00"/>
    <d v="2026-05-26T00:00:00"/>
    <s v="SO-KU/2605/260018"/>
    <s v="MKU Bali"/>
    <x v="106"/>
    <x v="0"/>
    <x v="5"/>
    <s v="PIF0011"/>
    <x v="51"/>
    <n v="4"/>
    <s v="LTR"/>
    <n v="4"/>
    <n v="227999.99"/>
    <n v="0"/>
    <s v="Invoice"/>
    <s v="Sudah Jadi FJ"/>
    <s v=""/>
  </r>
  <r>
    <d v="2026-05-28T00:00:00"/>
    <d v="2026-05-26T00:00:00"/>
    <s v="SO-KU/2605/260018"/>
    <s v="MKU Bali"/>
    <x v="106"/>
    <x v="0"/>
    <x v="5"/>
    <s v="PIF0012"/>
    <x v="52"/>
    <n v="2"/>
    <s v="LTR"/>
    <n v="2"/>
    <n v="128000.01"/>
    <n v="0"/>
    <s v="Invoice"/>
    <s v="Sudah Jadi FJ"/>
    <s v=""/>
  </r>
  <r>
    <d v="2026-05-28T00:00:00"/>
    <d v="2026-05-26T00:00:00"/>
    <s v="SO-KU/2605/260019"/>
    <s v="MKU Bali"/>
    <x v="107"/>
    <x v="1"/>
    <x v="4"/>
    <s v="PMS0130"/>
    <x v="53"/>
    <n v="4"/>
    <s v="BTL"/>
    <n v="4"/>
    <n v="440000"/>
    <n v="0"/>
    <s v="Invoice"/>
    <s v="Sudah Jadi FJ"/>
    <s v="dikirim ke jfc pidada"/>
  </r>
  <r>
    <d v="2026-05-28T00:00:00"/>
    <d v="2026-05-26T00:00:00"/>
    <s v="SO-KU/2605/260019"/>
    <s v="MKU Bali"/>
    <x v="107"/>
    <x v="1"/>
    <x v="4"/>
    <s v="PMS0132"/>
    <x v="54"/>
    <n v="4"/>
    <s v="BTL"/>
    <n v="4"/>
    <n v="440000"/>
    <n v="0"/>
    <s v="Invoice"/>
    <s v="Sudah Jadi FJ"/>
    <s v="dikirim ke jfc pidada"/>
  </r>
  <r>
    <d v="2026-05-28T00:00:00"/>
    <d v="2026-05-26T00:00:00"/>
    <s v="SO-KU/2605/260019"/>
    <s v="MKU Bali"/>
    <x v="107"/>
    <x v="1"/>
    <x v="4"/>
    <s v="PMS0143"/>
    <x v="55"/>
    <n v="4"/>
    <s v="BTL"/>
    <n v="4"/>
    <n v="440000.01"/>
    <n v="0"/>
    <s v="Invoice"/>
    <s v="Sudah Jadi FJ"/>
    <s v="dikirim ke jfc pidada"/>
  </r>
  <r>
    <d v="2026-05-28T00:00:00"/>
    <d v="2026-05-26T00:00:00"/>
    <s v="SO-KU/2605/260020"/>
    <s v="MKU Bali"/>
    <x v="16"/>
    <x v="1"/>
    <x v="11"/>
    <s v="ASS-MO-TB10"/>
    <x v="56"/>
    <n v="6"/>
    <s v="BOX"/>
    <n v="6"/>
    <n v="199800"/>
    <n v="0"/>
    <s v="Invoice"/>
    <s v="Sudah Jadi FJ"/>
    <s v=""/>
  </r>
  <r>
    <d v="2026-05-28T00:00:00"/>
    <d v="2026-05-26T00:00:00"/>
    <s v="SO-KU/2605/260021"/>
    <s v="MKU Bali"/>
    <x v="108"/>
    <x v="0"/>
    <x v="6"/>
    <s v="PMS0094"/>
    <x v="57"/>
    <n v="1"/>
    <s v="BTL"/>
    <n v="1"/>
    <n v="110000"/>
    <n v="0"/>
    <s v="Invoice"/>
    <s v="Sudah Jadi FJ"/>
    <s v=""/>
  </r>
  <r>
    <d v="2026-05-28T00:00:00"/>
    <d v="2026-05-26T00:00:00"/>
    <s v="SO-KU/2605/260021"/>
    <s v="MKU Bali"/>
    <x v="108"/>
    <x v="0"/>
    <x v="6"/>
    <s v="PMS0132"/>
    <x v="54"/>
    <n v="1"/>
    <s v="BTL"/>
    <n v="1"/>
    <n v="110000"/>
    <n v="0"/>
    <s v="Invoice"/>
    <s v="Sudah Jadi FJ"/>
    <s v=""/>
  </r>
  <r>
    <d v="2026-05-28T00:00:00"/>
    <d v="2026-05-26T00:00:00"/>
    <s v="SO-KU/2605/260024"/>
    <s v="MKU Bali"/>
    <x v="109"/>
    <x v="0"/>
    <x v="1"/>
    <s v="PSJ0019"/>
    <x v="58"/>
    <n v="10"/>
    <s v="KG"/>
    <n v="10"/>
    <n v="950000"/>
    <n v="0"/>
    <s v="Invoice"/>
    <s v="Sudah Jadi FJ"/>
    <s v=""/>
  </r>
  <r>
    <d v="2026-05-28T00:00:00"/>
    <d v="2026-05-26T00:00:00"/>
    <s v="SO-KU/2605/260025"/>
    <s v="MKU Bali"/>
    <x v="108"/>
    <x v="0"/>
    <x v="6"/>
    <s v="PMS0031"/>
    <x v="59"/>
    <n v="1"/>
    <s v="POU"/>
    <n v="1"/>
    <n v="62440"/>
    <n v="0"/>
    <s v="Invoice"/>
    <s v="Sudah Jadi FJ"/>
    <s v=""/>
  </r>
  <r>
    <d v="2026-05-28T00:00:00"/>
    <d v="2026-05-26T00:00:00"/>
    <s v="SO-KU/2605/260028"/>
    <s v="MKU Bali"/>
    <x v="110"/>
    <x v="0"/>
    <x v="7"/>
    <s v="PMS0024"/>
    <x v="60"/>
    <n v="1"/>
    <s v="POU"/>
    <n v="1"/>
    <n v="168510"/>
    <n v="0"/>
    <s v="Invoice"/>
    <s v="Sudah Jadi FJ"/>
    <s v=""/>
  </r>
  <r>
    <d v="2026-05-28T00:00:00"/>
    <d v="2026-05-26T00:00:00"/>
    <s v="SO-KU/2605/260028"/>
    <s v="MKU Bali"/>
    <x v="110"/>
    <x v="0"/>
    <x v="7"/>
    <s v="PMS0026"/>
    <x v="61"/>
    <n v="1"/>
    <s v="POU"/>
    <n v="1"/>
    <n v="164835"/>
    <n v="0"/>
    <s v="Invoice"/>
    <s v="Sudah Jadi FJ"/>
    <s v=""/>
  </r>
  <r>
    <d v="2026-05-28T00:00:00"/>
    <d v="2026-05-26T00:00:00"/>
    <s v="SO-KU/2605/260029"/>
    <s v="MKU Bali"/>
    <x v="35"/>
    <x v="1"/>
    <x v="9"/>
    <s v="PMS0028"/>
    <x v="62"/>
    <n v="1"/>
    <s v="POU"/>
    <n v="1"/>
    <n v="156510"/>
    <n v="0"/>
    <s v="Invoice"/>
    <s v="Sudah Jadi FJ"/>
    <s v=""/>
  </r>
  <r>
    <d v="2026-05-28T00:00:00"/>
    <d v="2026-05-26T00:00:00"/>
    <s v="SO-KU/2605/260034"/>
    <s v="MKU Bali"/>
    <x v="111"/>
    <x v="0"/>
    <x v="9"/>
    <s v="PKI0001"/>
    <x v="63"/>
    <n v="1"/>
    <s v="KTN"/>
    <n v="1"/>
    <n v="396000"/>
    <n v="0"/>
    <s v="Invoice"/>
    <s v="Sudah Jadi FJ"/>
    <s v="2 loaf"/>
  </r>
  <r>
    <d v="2026-05-28T00:00:00"/>
    <d v="2026-05-26T00:00:00"/>
    <s v="SO-KU/2605/260034"/>
    <s v="MKU Bali"/>
    <x v="111"/>
    <x v="0"/>
    <x v="9"/>
    <s v="PAA0001"/>
    <x v="45"/>
    <n v="4.5999999999999996"/>
    <s v="KG"/>
    <n v="4.37"/>
    <n v="458849.98"/>
    <n v="-0.23"/>
    <s v="Invoice"/>
    <s v="Sudah Jadi FJ"/>
    <s v="2 loaf"/>
  </r>
  <r>
    <d v="2026-05-28T00:00:00"/>
    <d v="2026-05-26T00:00:00"/>
    <s v="SO-KU/2605/260035"/>
    <s v="MKU Bali"/>
    <x v="112"/>
    <x v="1"/>
    <x v="9"/>
    <s v="PAA0001"/>
    <x v="45"/>
    <n v="7"/>
    <s v="KG"/>
    <n v="6.47"/>
    <n v="754078.5"/>
    <n v="-0.53"/>
    <s v="Invoice"/>
    <s v="Sudah Jadi FJ"/>
    <s v=""/>
  </r>
  <r>
    <d v="2026-05-28T00:00:00"/>
    <d v="2026-05-26T00:00:00"/>
    <s v="SO-KU/2605/260036"/>
    <s v="MKU Bali"/>
    <x v="35"/>
    <x v="1"/>
    <x v="9"/>
    <s v="MRD1318A"/>
    <x v="64"/>
    <n v="10"/>
    <s v="KG"/>
    <n v="6.66"/>
    <n v="765900"/>
    <n v="-3.34"/>
    <s v="Invoice"/>
    <s v="Sudah Jadi FJ"/>
    <s v=""/>
  </r>
  <r>
    <d v="2026-05-28T00:00:00"/>
    <d v="2026-05-26T00:00:00"/>
    <s v="SO-KU/2605/260037"/>
    <s v="MKU Bali"/>
    <x v="113"/>
    <x v="1"/>
    <x v="18"/>
    <s v="PMS0024"/>
    <x v="60"/>
    <n v="24"/>
    <s v="POU"/>
    <n v="24"/>
    <n v="4044165.1200000001"/>
    <n v="0"/>
    <s v="Invoice"/>
    <s v="Sudah Jadi FJ"/>
    <s v=""/>
  </r>
  <r>
    <d v="2026-05-28T00:00:00"/>
    <d v="2026-05-26T00:00:00"/>
    <s v="SO-KU/2605/260037"/>
    <s v="MKU Bali"/>
    <x v="113"/>
    <x v="1"/>
    <x v="18"/>
    <s v="PMS0026"/>
    <x v="61"/>
    <n v="25"/>
    <s v="POU"/>
    <n v="25"/>
    <n v="4120875"/>
    <n v="0"/>
    <s v="Invoice"/>
    <s v="Sudah Jadi FJ"/>
    <s v=""/>
  </r>
  <r>
    <d v="2026-05-28T00:00:00"/>
    <d v="2026-05-26T00:00:00"/>
    <s v="SO-KU/2605/260037"/>
    <s v="MKU Bali"/>
    <x v="113"/>
    <x v="1"/>
    <x v="18"/>
    <s v="PMS0031"/>
    <x v="59"/>
    <n v="24"/>
    <s v="POU"/>
    <n v="24"/>
    <n v="1391999.94"/>
    <n v="0"/>
    <s v="Invoice"/>
    <s v="Sudah Jadi FJ"/>
    <s v=""/>
  </r>
  <r>
    <d v="2026-05-28T00:00:00"/>
    <d v="2026-05-26T00:00:00"/>
    <s v="SO-KU/2605/260037"/>
    <s v="MKU Bali"/>
    <x v="113"/>
    <x v="1"/>
    <x v="18"/>
    <s v="PMS0076"/>
    <x v="65"/>
    <n v="24"/>
    <s v="PACK"/>
    <n v="24"/>
    <n v="696000.1"/>
    <n v="0"/>
    <s v="Invoice"/>
    <s v="Sudah Jadi FJ"/>
    <s v=""/>
  </r>
  <r>
    <d v="2026-05-28T00:00:00"/>
    <d v="2026-05-26T00:00:00"/>
    <s v="SO-KU/2605/260038"/>
    <s v="MKU Bali"/>
    <x v="114"/>
    <x v="1"/>
    <x v="11"/>
    <s v="CKP1S-164"/>
    <x v="66"/>
    <n v="20"/>
    <s v="BTL"/>
    <n v="20"/>
    <n v="1412719.2"/>
    <n v="0"/>
    <s v="Invoice"/>
    <s v="Sudah Jadi FJ"/>
    <s v=""/>
  </r>
  <r>
    <d v="2026-05-28T00:00:00"/>
    <d v="2026-05-26T00:00:00"/>
    <s v="SO-KU/2605/260039"/>
    <s v="MKU Bali"/>
    <x v="35"/>
    <x v="1"/>
    <x v="9"/>
    <s v="PAL0003"/>
    <x v="67"/>
    <n v="4"/>
    <s v="PACK"/>
    <n v="4"/>
    <n v="1776000"/>
    <n v="0"/>
    <s v="Invoice"/>
    <s v="Sudah Jadi FJ"/>
    <s v=""/>
  </r>
  <r>
    <d v="2026-05-28T00:00:00"/>
    <d v="2026-05-26T00:00:00"/>
    <s v="SO-KU/2605/260041"/>
    <s v="MKU Bali"/>
    <x v="115"/>
    <x v="1"/>
    <x v="11"/>
    <s v="CKP1S-164"/>
    <x v="66"/>
    <n v="20"/>
    <s v="BTL"/>
    <n v="20"/>
    <n v="1412719.2"/>
    <n v="0"/>
    <s v="Invoice"/>
    <s v="Sudah Jadi FJ"/>
    <s v=""/>
  </r>
  <r>
    <d v="2026-05-28T00:00:00"/>
    <d v="2026-05-26T00:00:00"/>
    <s v="SO-KU/2605/260041"/>
    <s v="MKU Bali"/>
    <x v="115"/>
    <x v="1"/>
    <x v="11"/>
    <s v="CKP1S-181"/>
    <x v="68"/>
    <n v="20"/>
    <s v="BTL"/>
    <n v="20"/>
    <n v="1349999.98"/>
    <n v="0"/>
    <s v="Invoice"/>
    <s v="Sudah Jadi FJ"/>
    <s v=""/>
  </r>
  <r>
    <d v="2026-05-28T00:00:00"/>
    <d v="2026-05-26T00:00:00"/>
    <s v="SO-KU/2605/260042"/>
    <s v="MKU Bali"/>
    <x v="56"/>
    <x v="1"/>
    <x v="11"/>
    <s v="CKP1S-160"/>
    <x v="69"/>
    <n v="20"/>
    <s v="BTL"/>
    <n v="20"/>
    <n v="1412719.2"/>
    <n v="0"/>
    <s v="Invoice"/>
    <s v="Sudah Jadi FJ"/>
    <s v=""/>
  </r>
  <r>
    <d v="2026-05-28T00:00:00"/>
    <d v="2026-05-26T00:00:00"/>
    <s v="SO-KU/2605/260043"/>
    <s v="MKU Bali"/>
    <x v="38"/>
    <x v="1"/>
    <x v="8"/>
    <s v="PMS0094"/>
    <x v="57"/>
    <n v="3"/>
    <s v="BTL"/>
    <n v="3"/>
    <n v="330000"/>
    <n v="0"/>
    <s v="Invoice"/>
    <s v="Sudah Jadi FJ"/>
    <s v=""/>
  </r>
  <r>
    <d v="2026-05-28T00:00:00"/>
    <d v="2026-05-26T00:00:00"/>
    <s v="SO-KU/2605/260044"/>
    <s v="MKU Bali"/>
    <x v="116"/>
    <x v="1"/>
    <x v="11"/>
    <s v="CKP1S-166"/>
    <x v="70"/>
    <n v="6"/>
    <s v="BTL"/>
    <n v="6"/>
    <n v="621000"/>
    <n v="0"/>
    <s v="Invoice"/>
    <s v="Sudah Jadi FJ"/>
    <s v=""/>
  </r>
  <r>
    <d v="2026-05-28T00:00:00"/>
    <d v="2026-05-26T00:00:00"/>
    <s v="SO-KU/2605/260045"/>
    <s v="MKU Bali"/>
    <x v="39"/>
    <x v="1"/>
    <x v="3"/>
    <s v="ASS-JT-LP250"/>
    <x v="71"/>
    <n v="2"/>
    <s v="POU"/>
    <n v="2"/>
    <n v="404040"/>
    <n v="0"/>
    <s v="Invoice"/>
    <s v="Sudah Jadi FJ"/>
    <s v="LOADING DOCK INTERNASIONAL"/>
  </r>
  <r>
    <d v="2026-05-28T00:00:00"/>
    <d v="2026-05-26T00:00:00"/>
    <s v="SO-KU/2605/260045"/>
    <s v="MKU Bali"/>
    <x v="39"/>
    <x v="1"/>
    <x v="3"/>
    <s v="ASS-PP-LP250"/>
    <x v="72"/>
    <n v="1"/>
    <s v="POU"/>
    <n v="1"/>
    <n v="266400"/>
    <n v="0"/>
    <s v="Invoice"/>
    <s v="Sudah Jadi FJ"/>
    <s v="LOADING DOCK INTERNASIONAL"/>
  </r>
  <r>
    <d v="2026-05-28T00:00:00"/>
    <d v="2026-05-26T00:00:00"/>
    <s v="SO-KU/2605/260045"/>
    <s v="MKU Bali"/>
    <x v="39"/>
    <x v="1"/>
    <x v="3"/>
    <s v="ASS-PL-LP250"/>
    <x v="73"/>
    <n v="2"/>
    <s v="POU"/>
    <n v="2"/>
    <n v="299700"/>
    <n v="0"/>
    <s v="Invoice"/>
    <s v="Sudah Jadi FJ"/>
    <s v="LOADING DOCK INTERNASIONAL"/>
  </r>
  <r>
    <d v="2026-05-28T00:00:00"/>
    <d v="2026-05-26T00:00:00"/>
    <s v="SO-KU/2605/260045"/>
    <s v="MKU Bali"/>
    <x v="39"/>
    <x v="1"/>
    <x v="3"/>
    <s v="ASS-CH-L250"/>
    <x v="74"/>
    <n v="1"/>
    <s v="PACK"/>
    <n v="1"/>
    <n v="338550"/>
    <n v="0"/>
    <s v="Invoice"/>
    <s v="Sudah Jadi FJ"/>
    <s v="LOADING DOCK INTERNASIONAL"/>
  </r>
  <r>
    <d v="2026-05-28T00:00:00"/>
    <d v="2026-05-26T00:00:00"/>
    <s v="SO-KU/2605/260045"/>
    <s v="MKU Bali"/>
    <x v="39"/>
    <x v="1"/>
    <x v="3"/>
    <s v="ASS-EG-LP250"/>
    <x v="75"/>
    <n v="2"/>
    <s v="PACK"/>
    <n v="2"/>
    <n v="499500"/>
    <n v="0"/>
    <s v="Invoice"/>
    <s v="Sudah Jadi FJ"/>
    <s v="LOADING DOCK INTERNASIONAL"/>
  </r>
  <r>
    <d v="2026-05-28T00:00:00"/>
    <d v="2026-05-26T00:00:00"/>
    <s v="SO-KU/2605/260047"/>
    <s v="MKU Bali"/>
    <x v="117"/>
    <x v="1"/>
    <x v="4"/>
    <s v="PMS0157"/>
    <x v="76"/>
    <n v="2"/>
    <s v="BTL"/>
    <n v="2"/>
    <n v="220000"/>
    <n v="0"/>
    <s v="Invoice"/>
    <s v="Sudah Jadi FJ"/>
    <s v=""/>
  </r>
  <r>
    <d v="2026-05-28T00:00:00"/>
    <d v="2026-05-26T00:00:00"/>
    <s v="SO-KU/2605/260050"/>
    <s v="MKU Bali"/>
    <x v="118"/>
    <x v="1"/>
    <x v="8"/>
    <s v="CKP1S-160"/>
    <x v="69"/>
    <n v="20"/>
    <s v="BTL"/>
    <n v="20"/>
    <n v="1349999.98"/>
    <n v="0"/>
    <s v="Invoice"/>
    <s v="Sudah Jadi FJ"/>
    <s v="program lock volume"/>
  </r>
  <r>
    <d v="2026-05-28T00:00:00"/>
    <d v="2026-05-26T00:00:00"/>
    <s v="SO-KU/2605/260050"/>
    <s v="MKU Bali"/>
    <x v="118"/>
    <x v="1"/>
    <x v="8"/>
    <s v="CKP1S-163"/>
    <x v="77"/>
    <n v="20"/>
    <s v="BTL"/>
    <n v="20"/>
    <n v="1349999.98"/>
    <n v="0"/>
    <s v="Invoice"/>
    <s v="Sudah Jadi FJ"/>
    <s v="program lock volume"/>
  </r>
  <r>
    <d v="2026-05-28T00:00:00"/>
    <d v="2026-05-26T00:00:00"/>
    <s v="SO-KU/2605/260050"/>
    <s v="MKU Bali"/>
    <x v="118"/>
    <x v="1"/>
    <x v="8"/>
    <s v="CKP1S-181"/>
    <x v="68"/>
    <n v="20"/>
    <s v="BTL"/>
    <n v="20"/>
    <n v="1349999.99"/>
    <n v="0"/>
    <s v="Invoice"/>
    <s v="Sudah Jadi FJ"/>
    <s v="program lock volume"/>
  </r>
  <r>
    <d v="2026-05-28T00:00:00"/>
    <d v="2026-05-26T00:00:00"/>
    <s v="SO-KU/2605/260051"/>
    <s v="MKU Bali"/>
    <x v="119"/>
    <x v="1"/>
    <x v="11"/>
    <s v="CKP1S-160"/>
    <x v="69"/>
    <n v="20"/>
    <s v="BTL"/>
    <n v="20"/>
    <n v="1412719.2"/>
    <n v="0"/>
    <s v="Invoice"/>
    <s v="Sudah Jadi FJ"/>
    <s v=""/>
  </r>
  <r>
    <d v="2026-05-28T00:00:00"/>
    <d v="2026-05-26T00:00:00"/>
    <s v="SO-KU/2605/260053"/>
    <s v="MKU Bali"/>
    <x v="55"/>
    <x v="1"/>
    <x v="6"/>
    <s v="POS0024"/>
    <x v="78"/>
    <n v="12"/>
    <s v="CAN"/>
    <n v="12"/>
    <n v="971999.98"/>
    <n v="0"/>
    <s v="Invoice"/>
    <s v="Sudah Jadi FJ"/>
    <s v="kitchen asian"/>
  </r>
  <r>
    <d v="2026-05-28T00:00:00"/>
    <d v="2026-05-26T00:00:00"/>
    <s v="SO-KU/2605/260054"/>
    <s v="MKU Bali"/>
    <x v="120"/>
    <x v="1"/>
    <x v="9"/>
    <s v="PAS0014"/>
    <x v="47"/>
    <n v="3"/>
    <s v="KTN"/>
    <n v="3"/>
    <n v="1590000"/>
    <n v="0"/>
    <s v="Invoice"/>
    <s v="Sudah Jadi FJ"/>
    <s v=""/>
  </r>
  <r>
    <d v="2026-05-28T00:00:00"/>
    <d v="2026-05-26T00:00:00"/>
    <s v="SO-KU/2605/260055"/>
    <s v="MKU Bali"/>
    <x v="121"/>
    <x v="0"/>
    <x v="17"/>
    <s v="PAS0036"/>
    <x v="79"/>
    <n v="1"/>
    <s v="PACK"/>
    <n v="1"/>
    <n v="150000.01"/>
    <n v="0"/>
    <s v="Invoice"/>
    <s v="Sudah Jadi FJ"/>
    <s v="Penjualan cash (plagoo)_x000a_An ibu yenny - sales monica"/>
  </r>
  <r>
    <d v="2026-05-28T00:00:00"/>
    <d v="2026-05-26T00:00:00"/>
    <s v="SO-KU/2605/260056"/>
    <s v="MKU Bali"/>
    <x v="62"/>
    <x v="1"/>
    <x v="2"/>
    <s v="PAL0003"/>
    <x v="67"/>
    <n v="2"/>
    <s v="PACK"/>
    <n v="2"/>
    <n v="888000"/>
    <n v="0"/>
    <s v="Invoice"/>
    <s v="Sudah Jadi FJ"/>
    <s v="cafe"/>
  </r>
  <r>
    <d v="2026-05-28T00:00:00"/>
    <d v="2026-05-26T00:00:00"/>
    <s v="SO-KU/2605/260057"/>
    <s v="MKU Bali"/>
    <x v="62"/>
    <x v="1"/>
    <x v="2"/>
    <s v="PAL0003"/>
    <x v="67"/>
    <n v="1"/>
    <s v="PACK"/>
    <n v="1"/>
    <n v="444000"/>
    <n v="0"/>
    <s v="Invoice"/>
    <s v="Sudah Jadi FJ"/>
    <s v="oasis"/>
  </r>
  <r>
    <d v="2026-05-28T00:00:00"/>
    <d v="2026-05-26T00:00:00"/>
    <s v="SO-KU/2605/260058"/>
    <s v="MKU Bali"/>
    <x v="97"/>
    <x v="1"/>
    <x v="5"/>
    <s v="PAA0001"/>
    <x v="45"/>
    <n v="6.9"/>
    <s v="KG"/>
    <n v="6.5"/>
    <n v="750749.98"/>
    <n v="-0.4"/>
    <s v="Invoice"/>
    <s v="Sudah Jadi FJ"/>
    <s v=" 3 loaf (pack) / 6,9kg"/>
  </r>
  <r>
    <d v="2026-05-28T00:00:00"/>
    <d v="2026-05-26T00:00:00"/>
    <s v="SO-KU/2605/260062"/>
    <s v="MKU Bali"/>
    <x v="122"/>
    <x v="0"/>
    <x v="5"/>
    <s v="POS0024"/>
    <x v="78"/>
    <n v="1"/>
    <s v="CAN"/>
    <n v="1"/>
    <n v="82000"/>
    <n v="0"/>
    <s v="Invoice"/>
    <s v="Sudah Jadi FJ"/>
    <s v="Kirim sales kamis. 1 loaf"/>
  </r>
  <r>
    <d v="2026-05-28T00:00:00"/>
    <d v="2026-05-26T00:00:00"/>
    <s v="SO-KU/2605/260063"/>
    <s v="MKU Bali"/>
    <x v="122"/>
    <x v="0"/>
    <x v="5"/>
    <s v="PAA0001"/>
    <x v="45"/>
    <n v="2.2999999999999998"/>
    <s v="KG"/>
    <n v="2.16"/>
    <n v="207360.01"/>
    <n v="-0.14000000000000001"/>
    <s v="Invoice"/>
    <s v="Sudah Jadi FJ"/>
    <s v="Kirim sales kamis. 1 loaf"/>
  </r>
  <r>
    <d v="2026-05-28T00:00:00"/>
    <d v="2026-05-26T00:00:00"/>
    <s v="SO-KU/2605/260064"/>
    <s v="MKU Bali"/>
    <x v="66"/>
    <x v="0"/>
    <x v="8"/>
    <s v="PSJ0019"/>
    <x v="58"/>
    <n v="20"/>
    <s v="KG"/>
    <n v="20"/>
    <n v="1900000"/>
    <n v="0"/>
    <s v="Invoice"/>
    <s v="Sudah Jadi FJ"/>
    <s v=""/>
  </r>
  <r>
    <d v="2026-05-28T00:00:00"/>
    <d v="2026-05-26T00:00:00"/>
    <s v="SO-KU/2605/260065"/>
    <s v="MKU Bali"/>
    <x v="71"/>
    <x v="1"/>
    <x v="7"/>
    <s v="PIF0011"/>
    <x v="51"/>
    <n v="12"/>
    <s v="LTR"/>
    <n v="12"/>
    <n v="772560"/>
    <n v="0"/>
    <s v="Invoice"/>
    <s v="Sudah Jadi FJ"/>
    <s v=" BAR CRETYA"/>
  </r>
  <r>
    <d v="2026-05-28T00:00:00"/>
    <d v="2026-05-26T00:00:00"/>
    <s v="SO-KU/2605/260067"/>
    <s v="MKU Bali"/>
    <x v="123"/>
    <x v="1"/>
    <x v="2"/>
    <s v="PQW0010"/>
    <x v="80"/>
    <n v="1"/>
    <s v="KTN"/>
    <n v="1"/>
    <n v="330000"/>
    <n v="0"/>
    <s v="Invoice"/>
    <s v="Sudah Jadi FJ"/>
    <s v=""/>
  </r>
  <r>
    <d v="2026-05-28T00:00:00"/>
    <d v="2026-05-26T00:00:00"/>
    <s v="SO-KU/2605/260068"/>
    <s v="MKU Bali"/>
    <x v="124"/>
    <x v="0"/>
    <x v="1"/>
    <s v="PQW0010"/>
    <x v="80"/>
    <n v="2"/>
    <s v="KTN"/>
    <n v="2"/>
    <n v="500000.01"/>
    <n v="0"/>
    <s v="Invoice"/>
    <s v="Sudah Jadi FJ"/>
    <s v=""/>
  </r>
  <r>
    <d v="2026-05-28T00:00:00"/>
    <d v="2026-05-26T00:00:00"/>
    <s v="SO-KU/2605/260069"/>
    <s v="MKU Bali"/>
    <x v="76"/>
    <x v="1"/>
    <x v="9"/>
    <s v="PAA0001"/>
    <x v="45"/>
    <n v="8"/>
    <s v="KG"/>
    <n v="8.59"/>
    <n v="859000"/>
    <n v="0.59"/>
    <s v="Invoice"/>
    <s v="Sudah Jadi FJ"/>
    <s v=""/>
  </r>
  <r>
    <d v="2026-05-28T00:00:00"/>
    <d v="2026-05-26T00:00:00"/>
    <s v="SO-KU/2605/260070"/>
    <s v="MKU Bali"/>
    <x v="55"/>
    <x v="1"/>
    <x v="6"/>
    <s v="PSJ0019"/>
    <x v="58"/>
    <n v="10"/>
    <s v="KG"/>
    <n v="10"/>
    <n v="950000"/>
    <n v="0"/>
    <s v="Invoice"/>
    <s v="Sudah Jadi FJ"/>
    <s v=" kitchen fbc"/>
  </r>
  <r>
    <d v="2026-05-28T00:00:00"/>
    <d v="2026-05-26T00:00:00"/>
    <s v="SO-KU/2605/260071"/>
    <s v="MKU Bali"/>
    <x v="125"/>
    <x v="1"/>
    <x v="6"/>
    <s v="PMS0027"/>
    <x v="81"/>
    <n v="1"/>
    <s v="POU"/>
    <n v="1"/>
    <n v="156510"/>
    <n v="0"/>
    <s v="Invoice"/>
    <s v="Sudah Jadi FJ"/>
    <s v=""/>
  </r>
  <r>
    <d v="2026-05-28T00:00:00"/>
    <d v="2026-05-26T00:00:00"/>
    <s v="SO-KU/2605/260072"/>
    <s v="MKU Bali"/>
    <x v="126"/>
    <x v="1"/>
    <x v="7"/>
    <s v="PAA0001"/>
    <x v="45"/>
    <n v="5"/>
    <s v="KG"/>
    <n v="4.28"/>
    <n v="428000.01"/>
    <n v="-0.72"/>
    <s v="Invoice"/>
    <s v="Sudah Jadi FJ"/>
    <s v=""/>
  </r>
  <r>
    <d v="2026-05-28T00:00:00"/>
    <d v="2026-05-26T00:00:00"/>
    <s v="SO-KU/2605/260073"/>
    <s v="MKU Bali"/>
    <x v="127"/>
    <x v="1"/>
    <x v="10"/>
    <s v="PAS0014"/>
    <x v="47"/>
    <n v="1"/>
    <s v="KTN"/>
    <n v="1"/>
    <n v="500000"/>
    <n v="0"/>
    <s v="Invoice"/>
    <s v="Sudah Jadi FJ"/>
    <s v=""/>
  </r>
  <r>
    <d v="2026-05-28T00:00:00"/>
    <d v="2026-05-26T00:00:00"/>
    <s v="SO-KU/2605/260073"/>
    <s v="MKU Bali"/>
    <x v="127"/>
    <x v="1"/>
    <x v="10"/>
    <s v="POT0038"/>
    <x v="82"/>
    <n v="10"/>
    <s v="PACK"/>
    <n v="10"/>
    <n v="600000"/>
    <n v="0"/>
    <s v="Invoice"/>
    <s v="Sudah Jadi FJ"/>
    <s v=""/>
  </r>
  <r>
    <d v="2026-05-28T00:00:00"/>
    <d v="2026-05-26T00:00:00"/>
    <s v="SO-KU/2605/260074"/>
    <s v="MKU Bali"/>
    <x v="128"/>
    <x v="0"/>
    <x v="7"/>
    <s v="PMS0024"/>
    <x v="60"/>
    <n v="1"/>
    <s v="POU"/>
    <n v="1"/>
    <n v="168510"/>
    <n v="0"/>
    <s v="Invoice"/>
    <s v="Sudah Jadi FJ"/>
    <s v="KIRIM KINTAMANI"/>
  </r>
  <r>
    <d v="2026-05-28T00:00:00"/>
    <d v="2026-05-26T00:00:00"/>
    <s v="SO-KU/2605/260074"/>
    <s v="MKU Bali"/>
    <x v="128"/>
    <x v="0"/>
    <x v="7"/>
    <s v="PMS0026"/>
    <x v="61"/>
    <n v="1"/>
    <s v="POU"/>
    <n v="1"/>
    <n v="164835"/>
    <n v="0"/>
    <s v="Invoice"/>
    <s v="Sudah Jadi FJ"/>
    <s v="KIRIM KINTAMANI"/>
  </r>
  <r>
    <d v="2026-05-28T00:00:00"/>
    <d v="2026-05-26T00:00:00"/>
    <s v="SO-KU/2605/260074"/>
    <s v="MKU Bali"/>
    <x v="128"/>
    <x v="0"/>
    <x v="7"/>
    <s v="PMS0130"/>
    <x v="53"/>
    <n v="1"/>
    <s v="BTL"/>
    <n v="1"/>
    <n v="110000"/>
    <n v="0"/>
    <s v="Invoice"/>
    <s v="Sudah Jadi FJ"/>
    <s v="KIRIM KINTAMANI"/>
  </r>
  <r>
    <d v="2026-05-28T00:00:00"/>
    <d v="2026-05-26T00:00:00"/>
    <s v="SO-KU/2605/260074"/>
    <s v="MKU Bali"/>
    <x v="128"/>
    <x v="0"/>
    <x v="7"/>
    <s v="PMS0132"/>
    <x v="54"/>
    <n v="1"/>
    <s v="BTL"/>
    <n v="1"/>
    <n v="110000"/>
    <n v="0"/>
    <s v="Invoice"/>
    <s v="Sudah Jadi FJ"/>
    <s v="KIRIM KINTAMANI"/>
  </r>
  <r>
    <d v="2026-05-28T00:00:00"/>
    <d v="2026-05-26T00:00:00"/>
    <s v="SO-KU/2605/260074"/>
    <s v="MKU Bali"/>
    <x v="128"/>
    <x v="0"/>
    <x v="7"/>
    <s v="PMS0143"/>
    <x v="55"/>
    <n v="1"/>
    <s v="BTL"/>
    <n v="1"/>
    <n v="110000"/>
    <n v="0"/>
    <s v="Invoice"/>
    <s v="Sudah Jadi FJ"/>
    <s v="KIRIM KINTAMANI"/>
  </r>
  <r>
    <d v="2026-05-28T00:00:00"/>
    <d v="2026-05-26T00:00:00"/>
    <s v="SO-KU/2605/260075"/>
    <s v="MKU Bali"/>
    <x v="129"/>
    <x v="1"/>
    <x v="5"/>
    <s v="ASS-JVJ"/>
    <x v="83"/>
    <n v="2"/>
    <s v="BOX"/>
    <n v="2"/>
    <n v="209999.99"/>
    <n v="0"/>
    <s v="Invoice"/>
    <s v="Sudah Jadi FJ"/>
    <s v="PO BHALANCE"/>
  </r>
  <r>
    <d v="2026-05-28T00:00:00"/>
    <d v="2026-05-26T00:00:00"/>
    <s v="SO-KU/2605/260075"/>
    <s v="MKU Bali"/>
    <x v="129"/>
    <x v="1"/>
    <x v="5"/>
    <s v="ASS-PGT"/>
    <x v="84"/>
    <n v="1"/>
    <s v="BOX"/>
    <n v="1"/>
    <n v="92500"/>
    <n v="0"/>
    <s v="Invoice"/>
    <s v="Sudah Jadi FJ"/>
    <s v="PO BHALANCE"/>
  </r>
  <r>
    <d v="2026-05-28T00:00:00"/>
    <d v="2026-05-26T00:00:00"/>
    <s v="SO-KU/2605/260076"/>
    <s v="MKU Bali"/>
    <x v="80"/>
    <x v="1"/>
    <x v="9"/>
    <s v="POS0024"/>
    <x v="78"/>
    <n v="1"/>
    <s v="CAN"/>
    <n v="1"/>
    <n v="73000"/>
    <n v="0"/>
    <s v="Invoice"/>
    <s v="Sudah Jadi FJ"/>
    <s v=""/>
  </r>
  <r>
    <d v="2026-05-28T00:00:00"/>
    <d v="2026-05-26T00:00:00"/>
    <s v="SO-KU/2605/260077"/>
    <s v="MKU Bali"/>
    <x v="80"/>
    <x v="1"/>
    <x v="9"/>
    <s v="MRD1318A"/>
    <x v="64"/>
    <n v="7"/>
    <s v="KG"/>
    <n v="5.86"/>
    <n v="673900"/>
    <n v="-1.1399999999999999"/>
    <s v="Invoice"/>
    <s v="Sudah Jadi FJ"/>
    <s v=""/>
  </r>
  <r>
    <d v="2026-05-28T00:00:00"/>
    <d v="2026-05-26T00:00:00"/>
    <s v="SO-KU/2605/260078"/>
    <s v="MKU Bali"/>
    <x v="80"/>
    <x v="1"/>
    <x v="9"/>
    <s v="POS0024"/>
    <x v="78"/>
    <n v="1"/>
    <s v="CAN"/>
    <n v="1"/>
    <n v="73000"/>
    <n v="0"/>
    <s v="Invoice"/>
    <s v="Sudah Jadi FJ"/>
    <s v=""/>
  </r>
  <r>
    <d v="2026-05-28T00:00:00"/>
    <d v="2026-05-26T00:00:00"/>
    <s v="SO-KU/2605/260079"/>
    <s v="MKU Bali"/>
    <x v="80"/>
    <x v="1"/>
    <x v="9"/>
    <s v="POS0024"/>
    <x v="78"/>
    <n v="2"/>
    <s v="CAN"/>
    <n v="2"/>
    <n v="146000"/>
    <n v="0"/>
    <s v="Invoice"/>
    <s v="Sudah Jadi FJ"/>
    <s v=""/>
  </r>
  <r>
    <d v="2026-05-28T00:00:00"/>
    <d v="2026-05-26T00:00:00"/>
    <s v="SO-KU/2605/260080"/>
    <s v="MKU Bali"/>
    <x v="130"/>
    <x v="0"/>
    <x v="7"/>
    <s v="PMS0026"/>
    <x v="61"/>
    <n v="2"/>
    <s v="POU"/>
    <n v="2"/>
    <n v="329670"/>
    <n v="0"/>
    <s v="Invoice"/>
    <s v="Sudah Jadi FJ"/>
    <s v="KIRIM KE KINTAMANI"/>
  </r>
  <r>
    <d v="2026-05-28T00:00:00"/>
    <d v="2026-05-26T00:00:00"/>
    <s v="SO-KU/2605/260080"/>
    <s v="MKU Bali"/>
    <x v="130"/>
    <x v="0"/>
    <x v="7"/>
    <s v="PMS0028"/>
    <x v="62"/>
    <n v="2"/>
    <s v="POU"/>
    <n v="2"/>
    <n v="313020"/>
    <n v="0"/>
    <s v="Invoice"/>
    <s v="Sudah Jadi FJ"/>
    <s v="KIRIM KE KINTAMANI"/>
  </r>
  <r>
    <d v="2026-05-28T00:00:00"/>
    <d v="2026-05-26T00:00:00"/>
    <s v="SO-KU/2605/260080"/>
    <s v="MKU Bali"/>
    <x v="130"/>
    <x v="0"/>
    <x v="7"/>
    <s v="PMS0036"/>
    <x v="85"/>
    <n v="2"/>
    <s v="PACK"/>
    <n v="2"/>
    <n v="412000"/>
    <n v="0"/>
    <s v="Invoice"/>
    <s v="Sudah Jadi FJ"/>
    <s v="KIRIM KE KINTAMANI"/>
  </r>
  <r>
    <d v="2026-05-28T00:00:00"/>
    <d v="2026-05-26T00:00:00"/>
    <s v="SO-KU/2605/260081"/>
    <s v="MKU Bali"/>
    <x v="80"/>
    <x v="1"/>
    <x v="9"/>
    <s v="POT0110"/>
    <x v="86"/>
    <n v="4.5"/>
    <s v="KG"/>
    <n v="4.5"/>
    <n v="508499.99"/>
    <n v="0"/>
    <s v="Invoice"/>
    <s v="Sudah Jadi FJ"/>
    <s v=""/>
  </r>
  <r>
    <d v="2026-05-28T00:00:00"/>
    <d v="2026-05-26T00:00:00"/>
    <s v="SO-KU/2605/260081"/>
    <s v="MKU Bali"/>
    <x v="80"/>
    <x v="1"/>
    <x v="9"/>
    <s v="PAL0003"/>
    <x v="67"/>
    <n v="1"/>
    <s v="PACK"/>
    <n v="1"/>
    <n v="435000"/>
    <n v="0"/>
    <s v="Invoice"/>
    <s v="Sudah Jadi FJ"/>
    <s v=""/>
  </r>
  <r>
    <d v="2026-05-28T00:00:00"/>
    <d v="2026-05-26T00:00:00"/>
    <s v="SO-KU/2605/260082"/>
    <s v="MKU Bali"/>
    <x v="80"/>
    <x v="1"/>
    <x v="9"/>
    <s v="POS0024"/>
    <x v="78"/>
    <n v="1"/>
    <s v="CAN"/>
    <n v="1"/>
    <n v="73000"/>
    <n v="0"/>
    <s v="Invoice"/>
    <s v="Sudah Jadi FJ"/>
    <s v=""/>
  </r>
  <r>
    <d v="2026-05-28T00:00:00"/>
    <d v="2026-05-26T00:00:00"/>
    <s v="SO-KU/2605/260083"/>
    <s v="MKU Bali"/>
    <x v="80"/>
    <x v="1"/>
    <x v="9"/>
    <s v="POS0024"/>
    <x v="78"/>
    <n v="2"/>
    <s v="CAN"/>
    <n v="2"/>
    <n v="146000"/>
    <n v="0"/>
    <s v="Invoice"/>
    <s v="Sudah Jadi FJ"/>
    <s v=""/>
  </r>
  <r>
    <d v="2026-05-28T00:00:00"/>
    <d v="2026-05-26T00:00:00"/>
    <s v="SO-KU/2605/260084"/>
    <s v="MKU Bali"/>
    <x v="80"/>
    <x v="1"/>
    <x v="9"/>
    <s v="POT0110"/>
    <x v="86"/>
    <n v="4.5"/>
    <s v="KG"/>
    <n v="4.5"/>
    <n v="508499.99"/>
    <n v="0"/>
    <s v="Invoice"/>
    <s v="Sudah Jadi FJ"/>
    <s v=""/>
  </r>
  <r>
    <d v="2026-05-28T00:00:00"/>
    <d v="2026-05-26T00:00:00"/>
    <s v="SO-KU/2605/260085"/>
    <s v="MKU Bali"/>
    <x v="131"/>
    <x v="1"/>
    <x v="16"/>
    <s v="ASS-CH-TB50"/>
    <x v="87"/>
    <n v="3"/>
    <s v="BOX"/>
    <n v="3"/>
    <n v="240000"/>
    <n v="0"/>
    <s v="Invoice"/>
    <s v="Sudah Jadi FJ"/>
    <s v=""/>
  </r>
  <r>
    <d v="2026-05-28T00:00:00"/>
    <d v="2026-05-26T00:00:00"/>
    <s v="SO-KU/2605/260085"/>
    <s v="MKU Bali"/>
    <x v="131"/>
    <x v="1"/>
    <x v="16"/>
    <s v="ASS-EBT"/>
    <x v="88"/>
    <n v="3"/>
    <s v="BOX"/>
    <n v="3"/>
    <n v="210000"/>
    <n v="0"/>
    <s v="Invoice"/>
    <s v="Sudah Jadi FJ"/>
    <s v=""/>
  </r>
  <r>
    <d v="2026-05-28T00:00:00"/>
    <d v="2026-05-26T00:00:00"/>
    <s v="SO-KU/2605/260085"/>
    <s v="MKU Bali"/>
    <x v="131"/>
    <x v="1"/>
    <x v="16"/>
    <s v="ASS-JVJ"/>
    <x v="83"/>
    <n v="3"/>
    <s v="BOX"/>
    <n v="3"/>
    <n v="210000"/>
    <n v="0"/>
    <s v="Invoice"/>
    <s v="Sudah Jadi FJ"/>
    <s v=""/>
  </r>
  <r>
    <d v="2026-05-28T00:00:00"/>
    <d v="2026-05-26T00:00:00"/>
    <s v="SO-KU/2605/260085"/>
    <s v="MKU Bali"/>
    <x v="131"/>
    <x v="1"/>
    <x v="16"/>
    <s v="ASS-PGT"/>
    <x v="84"/>
    <n v="3"/>
    <s v="BOX"/>
    <n v="3"/>
    <n v="210000"/>
    <n v="0"/>
    <s v="Invoice"/>
    <s v="Sudah Jadi FJ"/>
    <s v=""/>
  </r>
  <r>
    <d v="2026-05-28T00:00:00"/>
    <d v="2026-05-26T00:00:00"/>
    <s v="SO-KU/2605/260085"/>
    <s v="MKU Bali"/>
    <x v="131"/>
    <x v="1"/>
    <x v="16"/>
    <s v="PMS0082"/>
    <x v="89"/>
    <n v="1"/>
    <s v="PACK"/>
    <n v="1"/>
    <n v="89665.01"/>
    <n v="0"/>
    <s v="Invoice"/>
    <s v="Sudah Jadi FJ"/>
    <s v=""/>
  </r>
  <r>
    <d v="2026-05-28T00:00:00"/>
    <d v="2026-05-26T00:00:00"/>
    <s v="SO-KU/2605/260086"/>
    <s v="MKU Bali"/>
    <x v="80"/>
    <x v="1"/>
    <x v="9"/>
    <s v="MRD1318A"/>
    <x v="64"/>
    <n v="13"/>
    <s v="KG"/>
    <n v="11.09"/>
    <n v="1275350"/>
    <n v="-1.91"/>
    <s v="Invoice"/>
    <s v="Sudah Jadi FJ"/>
    <s v=""/>
  </r>
  <r>
    <d v="2026-05-28T00:00:00"/>
    <d v="2026-05-26T00:00:00"/>
    <s v="SO-KU/2605/260087"/>
    <s v="MKU Bali"/>
    <x v="53"/>
    <x v="1"/>
    <x v="5"/>
    <s v="PMS0141"/>
    <x v="90"/>
    <n v="4"/>
    <s v="BTL"/>
    <n v="4"/>
    <n v="359496"/>
    <n v="0"/>
    <s v="Invoice"/>
    <s v="Sudah Jadi FJ"/>
    <s v=""/>
  </r>
  <r>
    <d v="2026-05-28T00:00:00"/>
    <d v="2026-05-26T00:00:00"/>
    <s v="SO-KU/2605/260087"/>
    <s v="MKU Bali"/>
    <x v="53"/>
    <x v="1"/>
    <x v="5"/>
    <s v="PMS0165"/>
    <x v="91"/>
    <n v="12"/>
    <s v="BTL"/>
    <n v="12"/>
    <n v="1078487.99"/>
    <n v="0"/>
    <s v="Invoice"/>
    <s v="Sudah Jadi FJ"/>
    <s v=""/>
  </r>
  <r>
    <d v="2026-05-28T00:00:00"/>
    <d v="2026-05-26T00:00:00"/>
    <s v="SO-KU/2605/260088"/>
    <s v="MKU Bali"/>
    <x v="0"/>
    <x v="0"/>
    <x v="0"/>
    <s v="PMS0036"/>
    <x v="85"/>
    <n v="1"/>
    <s v="PACK"/>
    <n v="1"/>
    <n v="206000"/>
    <n v="0"/>
    <s v="Invoice"/>
    <s v="Sudah Jadi FJ"/>
    <s v=""/>
  </r>
  <r>
    <d v="2026-05-28T00:00:00"/>
    <d v="2026-05-26T00:00:00"/>
    <s v="SO-KU/2605/260089"/>
    <s v="MKU Bali"/>
    <x v="132"/>
    <x v="1"/>
    <x v="7"/>
    <s v="PAS0027"/>
    <x v="48"/>
    <n v="2"/>
    <s v="KTN"/>
    <n v="2"/>
    <n v="640000"/>
    <n v="0"/>
    <s v="Invoice"/>
    <s v="Sudah Jadi FJ"/>
    <s v=""/>
  </r>
  <r>
    <d v="2026-05-28T00:00:00"/>
    <d v="2026-05-26T00:00:00"/>
    <s v="SO-KU/2605/260090"/>
    <s v="MKU Bali"/>
    <x v="55"/>
    <x v="1"/>
    <x v="6"/>
    <s v="POS0024"/>
    <x v="78"/>
    <n v="12"/>
    <s v="CAN"/>
    <n v="12"/>
    <n v="971999.98"/>
    <n v="0"/>
    <s v="Invoice"/>
    <s v="Sudah Jadi FJ"/>
    <s v="tambahan kitchen fbc"/>
  </r>
  <r>
    <d v="2026-05-28T00:00:00"/>
    <d v="2026-05-26T00:00:00"/>
    <s v="SO-KU/2605/260091"/>
    <s v="MKU Bali"/>
    <x v="133"/>
    <x v="0"/>
    <x v="4"/>
    <s v="150226"/>
    <x v="92"/>
    <n v="2.5"/>
    <s v="KG"/>
    <n v="4.9000000000000004"/>
    <n v="588000"/>
    <n v="2.4"/>
    <s v="Invoice"/>
    <s v="Sudah Jadi FJ"/>
    <s v="1 LOAF"/>
  </r>
  <r>
    <d v="2026-05-28T00:00:00"/>
    <d v="2026-05-26T00:00:00"/>
    <s v="SO-KU/2605/260092"/>
    <s v="MKU Bali"/>
    <x v="134"/>
    <x v="1"/>
    <x v="10"/>
    <s v="ASS-JT-LP250"/>
    <x v="71"/>
    <n v="2"/>
    <s v="POU"/>
    <n v="2"/>
    <n v="410700"/>
    <n v="0"/>
    <s v="Invoice"/>
    <s v="Sudah Jadi FJ"/>
    <s v=""/>
  </r>
  <r>
    <d v="2026-05-28T00:00:00"/>
    <d v="2026-05-26T00:00:00"/>
    <s v="SO-KU/2605/260092"/>
    <s v="MKU Bali"/>
    <x v="134"/>
    <x v="1"/>
    <x v="10"/>
    <s v="ASS-EG-LP250"/>
    <x v="75"/>
    <n v="2"/>
    <s v="PACK"/>
    <n v="2"/>
    <n v="532800"/>
    <n v="0"/>
    <s v="Invoice"/>
    <s v="Sudah Jadi FJ"/>
    <s v=""/>
  </r>
  <r>
    <d v="2026-05-28T00:00:00"/>
    <d v="2026-05-26T00:00:00"/>
    <s v="SO-KU/2605/260093"/>
    <s v="MKU Bali"/>
    <x v="135"/>
    <x v="1"/>
    <x v="10"/>
    <s v="PAS0014"/>
    <x v="47"/>
    <n v="1"/>
    <s v="KTN"/>
    <n v="1"/>
    <n v="480000"/>
    <n v="0"/>
    <s v="Invoice"/>
    <s v="Sudah Jadi FJ"/>
    <s v=""/>
  </r>
  <r>
    <d v="2026-05-28T00:00:00"/>
    <d v="2026-05-26T00:00:00"/>
    <s v="SO-KU/2605/260093"/>
    <s v="MKU Bali"/>
    <x v="135"/>
    <x v="1"/>
    <x v="10"/>
    <s v="PAS0036"/>
    <x v="79"/>
    <n v="2"/>
    <s v="PACK"/>
    <n v="2"/>
    <n v="240000"/>
    <n v="0"/>
    <s v="Invoice"/>
    <s v="Sudah Jadi FJ"/>
    <s v=""/>
  </r>
  <r>
    <d v="2026-05-28T00:00:00"/>
    <d v="2026-05-26T00:00:00"/>
    <s v="SO-KU/2605/260094"/>
    <s v="MKU Bali"/>
    <x v="91"/>
    <x v="1"/>
    <x v="10"/>
    <s v="POT0110"/>
    <x v="86"/>
    <n v="3"/>
    <s v="KG"/>
    <n v="3"/>
    <n v="330000"/>
    <n v="0"/>
    <s v="Invoice"/>
    <s v="Sudah Jadi FJ"/>
    <s v=""/>
  </r>
  <r>
    <d v="2026-05-28T00:00:00"/>
    <d v="2026-05-26T00:00:00"/>
    <s v="SO-KU/2605/260095"/>
    <s v="MKU Bali"/>
    <x v="91"/>
    <x v="1"/>
    <x v="10"/>
    <s v="POT0110"/>
    <x v="86"/>
    <n v="12"/>
    <s v="KG"/>
    <n v="12"/>
    <n v="1320000.01"/>
    <n v="0"/>
    <s v="Invoice"/>
    <s v="Sudah Jadi FJ"/>
    <s v=""/>
  </r>
  <r>
    <d v="2026-05-28T00:00:00"/>
    <d v="2026-05-26T00:00:00"/>
    <s v="SO-KU/2605/260096"/>
    <s v="MKU Bali"/>
    <x v="136"/>
    <x v="1"/>
    <x v="9"/>
    <s v="PAS0039"/>
    <x v="93"/>
    <n v="6"/>
    <s v="PACK"/>
    <n v="6"/>
    <n v="629999.99"/>
    <n v="0"/>
    <s v="Invoice"/>
    <s v="Sudah Jadi FJ"/>
    <s v=""/>
  </r>
  <r>
    <d v="2026-05-28T00:00:00"/>
    <d v="2026-05-26T00:00:00"/>
    <s v="SO-KU/2605/260097"/>
    <s v="MKU Bali"/>
    <x v="136"/>
    <x v="1"/>
    <x v="9"/>
    <s v="PAS0039"/>
    <x v="93"/>
    <n v="1"/>
    <s v="PACK"/>
    <n v="1"/>
    <n v="104999.99"/>
    <n v="0"/>
    <s v="Invoice"/>
    <s v="Sudah Jadi FJ"/>
    <s v=""/>
  </r>
  <r>
    <d v="2026-05-28T00:00:00"/>
    <d v="2026-05-26T00:00:00"/>
    <s v="SO-KU/2605/260098"/>
    <s v="MKU Bali"/>
    <x v="136"/>
    <x v="1"/>
    <x v="9"/>
    <s v="PEA0003"/>
    <x v="94"/>
    <n v="25"/>
    <s v="KG"/>
    <n v="25"/>
    <n v="2500000"/>
    <n v="0"/>
    <s v="Invoice"/>
    <s v="Sudah Jadi FJ"/>
    <s v=""/>
  </r>
  <r>
    <d v="2026-05-28T00:00:00"/>
    <d v="2026-05-26T00:00:00"/>
    <s v="SO-KU/2605/260099"/>
    <s v="MKU Bali"/>
    <x v="38"/>
    <x v="1"/>
    <x v="8"/>
    <s v="PIF0012"/>
    <x v="52"/>
    <n v="12"/>
    <s v="LTR"/>
    <n v="12"/>
    <n v="744000"/>
    <n v="0"/>
    <s v="Invoice"/>
    <s v="Sudah Jadi FJ"/>
    <s v=""/>
  </r>
  <r>
    <d v="2026-05-28T00:00:00"/>
    <d v="2026-05-26T00:00:00"/>
    <s v="SO-KU/2605/260100"/>
    <s v="MKU Bali"/>
    <x v="96"/>
    <x v="0"/>
    <x v="5"/>
    <s v="POT0120"/>
    <x v="95"/>
    <n v="1"/>
    <s v="GLN"/>
    <n v="1"/>
    <n v="900000.01"/>
    <n v="0"/>
    <s v="Invoice"/>
    <s v="Sudah Jadi FJ"/>
    <s v=""/>
  </r>
  <r>
    <d v="2026-05-28T00:00:00"/>
    <d v="2026-05-26T00:00:00"/>
    <s v="SO-KU/2605/260102"/>
    <s v="MKU Bali"/>
    <x v="97"/>
    <x v="1"/>
    <x v="5"/>
    <s v="POS0024"/>
    <x v="78"/>
    <n v="3"/>
    <s v="CAN"/>
    <n v="3"/>
    <n v="275999.99"/>
    <n v="0"/>
    <s v="Invoice"/>
    <s v="Sudah Jadi FJ"/>
    <s v=""/>
  </r>
  <r>
    <d v="2026-05-28T00:00:00"/>
    <d v="2026-05-26T00:00:00"/>
    <s v="SO-KU/2605/260103"/>
    <s v="MKU Bali"/>
    <x v="137"/>
    <x v="1"/>
    <x v="17"/>
    <s v="PIF0012"/>
    <x v="52"/>
    <n v="6"/>
    <s v="LTR"/>
    <n v="6"/>
    <n v="326340"/>
    <n v="0"/>
    <s v="Invoice"/>
    <s v="Sudah Jadi FJ"/>
    <s v=""/>
  </r>
  <r>
    <d v="2026-05-28T00:00:00"/>
    <d v="2026-05-26T00:00:00"/>
    <s v="SO-KU/2605/260104"/>
    <s v="MKU Bali"/>
    <x v="99"/>
    <x v="1"/>
    <x v="17"/>
    <s v="POS0024"/>
    <x v="78"/>
    <n v="60"/>
    <s v="CAN"/>
    <n v="60"/>
    <n v="4029300"/>
    <n v="0"/>
    <s v="Invoice"/>
    <s v="Sudah Jadi FJ"/>
    <s v="SPC JOGJA"/>
  </r>
  <r>
    <d v="2026-05-28T00:00:00"/>
    <d v="2026-05-26T00:00:00"/>
    <s v="SO-KU/2605/260105"/>
    <s v="MKU Bali"/>
    <x v="98"/>
    <x v="1"/>
    <x v="17"/>
    <s v="ASS-EBT"/>
    <x v="88"/>
    <n v="1"/>
    <s v="BOX"/>
    <n v="1"/>
    <n v="84360"/>
    <n v="0"/>
    <s v="Invoice"/>
    <s v="Sudah Jadi FJ"/>
    <s v=""/>
  </r>
  <r>
    <d v="2026-05-28T00:00:00"/>
    <d v="2026-05-26T00:00:00"/>
    <s v="SO-KU/2605/260105"/>
    <s v="MKU Bali"/>
    <x v="98"/>
    <x v="1"/>
    <x v="17"/>
    <s v="ASS-LY-TB50"/>
    <x v="96"/>
    <n v="1"/>
    <s v="BOX"/>
    <n v="1"/>
    <n v="99900"/>
    <n v="0"/>
    <s v="Invoice"/>
    <s v="Sudah Jadi FJ"/>
    <s v=""/>
  </r>
  <r>
    <d v="2026-05-28T00:00:00"/>
    <d v="2026-05-26T00:00:00"/>
    <s v="SO-KU/2605/260106"/>
    <s v="MKU Bali"/>
    <x v="99"/>
    <x v="1"/>
    <x v="17"/>
    <s v="POS0024"/>
    <x v="78"/>
    <n v="96"/>
    <s v="CAN"/>
    <n v="96"/>
    <n v="6446880"/>
    <n v="0"/>
    <s v="Invoice"/>
    <s v="Sudah Jadi FJ"/>
    <s v="SPC SBY, MINTA ED MINIMAL 6 BULAN"/>
  </r>
  <r>
    <d v="2026-05-28T00:00:00"/>
    <d v="2026-05-26T00:00:00"/>
    <s v="SO-KU/2605/260106"/>
    <s v="MKU Bali"/>
    <x v="99"/>
    <x v="1"/>
    <x v="17"/>
    <s v="POT0120"/>
    <x v="95"/>
    <n v="2"/>
    <s v="GLN"/>
    <n v="2"/>
    <n v="1671660"/>
    <n v="0"/>
    <s v="Invoice"/>
    <s v="Sudah Jadi FJ"/>
    <s v="SPC SBY, MINTA ED MINIMAL 6 BULAN"/>
  </r>
  <r>
    <d v="2026-05-28T00:00:00"/>
    <d v="2026-05-26T00:00:00"/>
    <s v="SO-KU/2605/260107"/>
    <s v="MKU Bali"/>
    <x v="99"/>
    <x v="1"/>
    <x v="17"/>
    <s v="PEA0004"/>
    <x v="97"/>
    <n v="150"/>
    <s v="KG"/>
    <n v="150"/>
    <n v="11655000"/>
    <n v="0"/>
    <s v="Invoice"/>
    <s v="Sudah Jadi FJ"/>
    <s v="untuk WHSO"/>
  </r>
  <r>
    <d v="2026-05-28T00:00:00"/>
    <d v="2026-05-26T00:00:00"/>
    <s v="SO-KU/2605/260108"/>
    <s v="MKU Bali"/>
    <x v="99"/>
    <x v="1"/>
    <x v="17"/>
    <s v="POS0024"/>
    <x v="78"/>
    <n v="60"/>
    <s v="CAN"/>
    <n v="60"/>
    <n v="4029300"/>
    <n v="0"/>
    <s v="Invoice"/>
    <s v="Sudah Jadi FJ"/>
    <s v="SPC JOGJA"/>
  </r>
  <r>
    <d v="2026-05-28T00:00:00"/>
    <d v="2026-05-26T00:00:00"/>
    <s v="SO-KU/2605/260109"/>
    <s v="MKU Bali"/>
    <x v="98"/>
    <x v="1"/>
    <x v="17"/>
    <s v="POS0024"/>
    <x v="78"/>
    <n v="3"/>
    <s v="CAN"/>
    <n v="3"/>
    <n v="193140"/>
    <n v="0"/>
    <s v="Invoice"/>
    <s v="Sudah Jadi FJ"/>
    <s v=""/>
  </r>
  <r>
    <d v="2026-05-28T00:00:00"/>
    <d v="2026-05-26T00:00:00"/>
    <s v="SO-KU/2605/260110"/>
    <s v="MKU Bali"/>
    <x v="98"/>
    <x v="1"/>
    <x v="17"/>
    <s v="PAS0026"/>
    <x v="98"/>
    <n v="3"/>
    <s v="KTN"/>
    <n v="3"/>
    <n v="1275000"/>
    <n v="0"/>
    <s v="Invoice"/>
    <s v="Sudah Jadi FJ"/>
    <s v=""/>
  </r>
  <r>
    <d v="2026-05-28T00:00:00"/>
    <d v="2026-05-26T00:00:00"/>
    <s v="SO-KU/2605/260110"/>
    <s v="MKU Bali"/>
    <x v="98"/>
    <x v="1"/>
    <x v="17"/>
    <s v="PAA0001"/>
    <x v="45"/>
    <n v="5"/>
    <s v="KG"/>
    <n v="4.28"/>
    <n v="399067.2"/>
    <n v="-0.72"/>
    <s v="Invoice"/>
    <s v="Sudah Jadi FJ"/>
    <s v=""/>
  </r>
  <r>
    <d v="2026-05-28T00:00:00"/>
    <d v="2026-05-26T00:00:00"/>
    <s v="SO-KU/2605/260112"/>
    <s v="MKU Bali"/>
    <x v="138"/>
    <x v="1"/>
    <x v="6"/>
    <s v="PKI0001"/>
    <x v="63"/>
    <n v="8"/>
    <s v="KTN"/>
    <n v="8"/>
    <n v="3072000"/>
    <n v="0"/>
    <s v="Invoice"/>
    <s v="Sudah Jadi FJ"/>
    <s v="100 KG"/>
  </r>
  <r>
    <d v="2026-05-28T00:00:00"/>
    <d v="2026-05-26T00:00:00"/>
    <s v="SO-KU/2605/260112"/>
    <s v="MKU Bali"/>
    <x v="138"/>
    <x v="1"/>
    <x v="6"/>
    <s v="PKI0002"/>
    <x v="99"/>
    <n v="2"/>
    <s v="PACK"/>
    <n v="2"/>
    <n v="127999.99"/>
    <n v="0"/>
    <s v="Invoice"/>
    <s v="Sudah Jadi FJ"/>
    <s v="100 K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570C5-91B3-4378-9CE6-64DCB3A9C09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0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40">
        <item x="43"/>
        <item x="71"/>
        <item x="134"/>
        <item x="124"/>
        <item x="85"/>
        <item x="10"/>
        <item x="33"/>
        <item x="123"/>
        <item x="113"/>
        <item x="82"/>
        <item x="26"/>
        <item x="62"/>
        <item x="57"/>
        <item x="132"/>
        <item x="30"/>
        <item x="70"/>
        <item x="5"/>
        <item x="8"/>
        <item x="53"/>
        <item x="13"/>
        <item x="129"/>
        <item x="42"/>
        <item x="25"/>
        <item x="15"/>
        <item x="107"/>
        <item x="46"/>
        <item x="38"/>
        <item x="61"/>
        <item x="137"/>
        <item x="87"/>
        <item x="11"/>
        <item x="21"/>
        <item x="48"/>
        <item x="55"/>
        <item x="96"/>
        <item x="40"/>
        <item x="127"/>
        <item x="27"/>
        <item x="138"/>
        <item x="80"/>
        <item x="131"/>
        <item x="35"/>
        <item x="6"/>
        <item x="106"/>
        <item x="88"/>
        <item x="78"/>
        <item x="0"/>
        <item x="133"/>
        <item x="108"/>
        <item x="130"/>
        <item x="64"/>
        <item x="2"/>
        <item x="7"/>
        <item x="36"/>
        <item x="72"/>
        <item x="3"/>
        <item x="23"/>
        <item x="125"/>
        <item x="91"/>
        <item x="98"/>
        <item x="90"/>
        <item x="135"/>
        <item x="76"/>
        <item x="102"/>
        <item x="45"/>
        <item x="19"/>
        <item x="136"/>
        <item x="95"/>
        <item x="83"/>
        <item x="74"/>
        <item x="110"/>
        <item x="66"/>
        <item x="22"/>
        <item x="77"/>
        <item x="52"/>
        <item x="112"/>
        <item x="121"/>
        <item x="49"/>
        <item x="51"/>
        <item x="44"/>
        <item x="50"/>
        <item x="120"/>
        <item x="47"/>
        <item x="93"/>
        <item x="114"/>
        <item x="73"/>
        <item x="56"/>
        <item x="116"/>
        <item x="119"/>
        <item x="115"/>
        <item x="54"/>
        <item x="63"/>
        <item x="18"/>
        <item x="94"/>
        <item x="28"/>
        <item x="24"/>
        <item x="41"/>
        <item x="111"/>
        <item x="37"/>
        <item x="29"/>
        <item x="99"/>
        <item x="39"/>
        <item x="117"/>
        <item x="17"/>
        <item x="69"/>
        <item x="109"/>
        <item x="68"/>
        <item x="65"/>
        <item x="34"/>
        <item x="16"/>
        <item x="103"/>
        <item x="14"/>
        <item x="104"/>
        <item x="31"/>
        <item x="79"/>
        <item x="4"/>
        <item x="126"/>
        <item x="86"/>
        <item x="81"/>
        <item x="92"/>
        <item x="84"/>
        <item x="9"/>
        <item x="20"/>
        <item x="59"/>
        <item x="58"/>
        <item x="128"/>
        <item x="75"/>
        <item x="60"/>
        <item x="100"/>
        <item x="1"/>
        <item x="101"/>
        <item x="122"/>
        <item x="32"/>
        <item x="67"/>
        <item x="12"/>
        <item x="89"/>
        <item x="118"/>
        <item x="97"/>
        <item x="105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>
      <items count="20">
        <item x="0"/>
        <item x="3"/>
        <item x="4"/>
        <item x="16"/>
        <item x="2"/>
        <item x="10"/>
        <item x="18"/>
        <item x="17"/>
        <item x="9"/>
        <item x="1"/>
        <item x="11"/>
        <item x="13"/>
        <item x="12"/>
        <item x="14"/>
        <item x="15"/>
        <item x="7"/>
        <item x="5"/>
        <item x="6"/>
        <item x="8"/>
        <item t="default"/>
      </items>
    </pivotField>
    <pivotField showAll="0"/>
    <pivotField showAll="0">
      <items count="101">
        <item x="20"/>
        <item x="18"/>
        <item x="85"/>
        <item x="50"/>
        <item x="92"/>
        <item x="45"/>
        <item x="86"/>
        <item x="3"/>
        <item x="34"/>
        <item x="95"/>
        <item x="70"/>
        <item x="74"/>
        <item x="87"/>
        <item x="40"/>
        <item x="98"/>
        <item x="47"/>
        <item x="79"/>
        <item x="93"/>
        <item x="68"/>
        <item x="66"/>
        <item x="69"/>
        <item x="77"/>
        <item x="75"/>
        <item x="12"/>
        <item x="32"/>
        <item x="88"/>
        <item x="90"/>
        <item x="91"/>
        <item x="7"/>
        <item x="33"/>
        <item x="97"/>
        <item x="46"/>
        <item x="94"/>
        <item x="44"/>
        <item x="43"/>
        <item x="42"/>
        <item x="8"/>
        <item x="89"/>
        <item x="38"/>
        <item x="23"/>
        <item x="80"/>
        <item x="67"/>
        <item x="71"/>
        <item x="83"/>
        <item x="73"/>
        <item x="2"/>
        <item x="96"/>
        <item x="48"/>
        <item x="15"/>
        <item x="28"/>
        <item x="64"/>
        <item x="56"/>
        <item x="59"/>
        <item x="65"/>
        <item x="61"/>
        <item x="60"/>
        <item x="81"/>
        <item x="57"/>
        <item x="53"/>
        <item x="55"/>
        <item x="76"/>
        <item x="54"/>
        <item x="62"/>
        <item x="22"/>
        <item x="13"/>
        <item x="14"/>
        <item x="17"/>
        <item x="26"/>
        <item x="41"/>
        <item x="27"/>
        <item x="30"/>
        <item x="24"/>
        <item x="78"/>
        <item x="72"/>
        <item x="37"/>
        <item x="58"/>
        <item x="49"/>
        <item x="99"/>
        <item x="63"/>
        <item x="82"/>
        <item x="52"/>
        <item x="51"/>
        <item x="84"/>
        <item x="19"/>
        <item x="21"/>
        <item x="36"/>
        <item x="29"/>
        <item x="4"/>
        <item x="1"/>
        <item x="25"/>
        <item x="35"/>
        <item x="10"/>
        <item x="31"/>
        <item x="16"/>
        <item x="6"/>
        <item x="11"/>
        <item x="0"/>
        <item x="5"/>
        <item x="9"/>
        <item x="39"/>
        <item t="default"/>
      </items>
    </pivotField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17">
    <i>
      <x/>
    </i>
    <i r="1">
      <x v="51"/>
    </i>
    <i r="1">
      <x v="96"/>
    </i>
    <i r="1">
      <x v="106"/>
    </i>
    <i r="1">
      <x v="128"/>
    </i>
    <i r="1">
      <x v="132"/>
    </i>
    <i>
      <x v="1"/>
    </i>
    <i r="1">
      <x v="6"/>
    </i>
    <i r="1">
      <x v="101"/>
    </i>
    <i r="1">
      <x v="115"/>
    </i>
    <i>
      <x v="2"/>
    </i>
    <i r="1">
      <x v="24"/>
    </i>
    <i r="1">
      <x v="50"/>
    </i>
    <i r="1">
      <x v="102"/>
    </i>
    <i>
      <x v="3"/>
    </i>
    <i r="1">
      <x v="40"/>
    </i>
    <i>
      <x v="4"/>
    </i>
    <i r="1">
      <x v="7"/>
    </i>
    <i r="1">
      <x v="11"/>
    </i>
    <i r="1">
      <x v="55"/>
    </i>
    <i r="1">
      <x v="69"/>
    </i>
    <i>
      <x v="5"/>
    </i>
    <i r="1">
      <x v="2"/>
    </i>
    <i r="1">
      <x v="29"/>
    </i>
    <i r="1">
      <x v="36"/>
    </i>
    <i r="1">
      <x v="58"/>
    </i>
    <i r="1">
      <x v="61"/>
    </i>
    <i r="1">
      <x v="73"/>
    </i>
    <i r="1">
      <x v="93"/>
    </i>
    <i r="1">
      <x v="111"/>
    </i>
    <i r="1">
      <x v="119"/>
    </i>
    <i r="1">
      <x v="126"/>
    </i>
    <i>
      <x v="6"/>
    </i>
    <i r="1">
      <x v="8"/>
    </i>
    <i>
      <x v="7"/>
    </i>
    <i r="1">
      <x v="28"/>
    </i>
    <i r="1">
      <x v="59"/>
    </i>
    <i r="1">
      <x v="100"/>
    </i>
    <i>
      <x v="8"/>
    </i>
    <i r="1">
      <x v="10"/>
    </i>
    <i r="1">
      <x v="19"/>
    </i>
    <i r="1">
      <x v="23"/>
    </i>
    <i r="1">
      <x v="39"/>
    </i>
    <i r="1">
      <x v="41"/>
    </i>
    <i r="1">
      <x v="45"/>
    </i>
    <i r="1">
      <x v="62"/>
    </i>
    <i r="1">
      <x v="66"/>
    </i>
    <i r="1">
      <x v="75"/>
    </i>
    <i r="1">
      <x v="81"/>
    </i>
    <i r="1">
      <x v="103"/>
    </i>
    <i r="1">
      <x v="108"/>
    </i>
    <i r="1">
      <x v="114"/>
    </i>
    <i r="1">
      <x v="118"/>
    </i>
    <i r="1">
      <x v="130"/>
    </i>
    <i>
      <x v="9"/>
    </i>
    <i r="1">
      <x v="25"/>
    </i>
    <i>
      <x v="10"/>
    </i>
    <i r="1">
      <x v="77"/>
    </i>
    <i r="1">
      <x v="78"/>
    </i>
    <i r="1">
      <x v="79"/>
    </i>
    <i r="1">
      <x v="82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4"/>
    </i>
    <i r="1">
      <x v="109"/>
    </i>
    <i>
      <x v="11"/>
    </i>
    <i r="1">
      <x v="67"/>
    </i>
    <i r="1">
      <x v="95"/>
    </i>
    <i r="1">
      <x v="98"/>
    </i>
    <i>
      <x v="12"/>
    </i>
    <i r="1">
      <x v="22"/>
    </i>
    <i r="1">
      <x v="26"/>
    </i>
    <i>
      <x v="13"/>
    </i>
    <i r="1">
      <x v="6"/>
    </i>
    <i r="1">
      <x v="21"/>
    </i>
    <i r="1">
      <x v="35"/>
    </i>
    <i r="1">
      <x v="37"/>
    </i>
    <i r="1">
      <x v="104"/>
    </i>
    <i>
      <x v="15"/>
    </i>
    <i r="1">
      <x v="1"/>
    </i>
    <i r="1">
      <x v="13"/>
    </i>
    <i r="1">
      <x v="21"/>
    </i>
    <i r="1">
      <x v="60"/>
    </i>
    <i r="1">
      <x v="63"/>
    </i>
    <i r="1">
      <x v="116"/>
    </i>
    <i r="1">
      <x v="117"/>
    </i>
    <i r="1">
      <x v="120"/>
    </i>
    <i>
      <x v="16"/>
    </i>
    <i r="1">
      <x v="14"/>
    </i>
    <i r="1">
      <x v="15"/>
    </i>
    <i r="1">
      <x v="17"/>
    </i>
    <i r="1">
      <x v="18"/>
    </i>
    <i r="1">
      <x v="20"/>
    </i>
    <i r="1">
      <x v="83"/>
    </i>
    <i r="1">
      <x v="121"/>
    </i>
    <i r="1">
      <x v="137"/>
    </i>
    <i r="1">
      <x v="138"/>
    </i>
    <i>
      <x v="17"/>
    </i>
    <i r="1">
      <x v="5"/>
    </i>
    <i r="1">
      <x v="33"/>
    </i>
    <i r="1">
      <x v="38"/>
    </i>
    <i r="1">
      <x v="54"/>
    </i>
    <i r="1">
      <x v="57"/>
    </i>
    <i r="1">
      <x v="80"/>
    </i>
    <i>
      <x v="18"/>
    </i>
    <i r="1">
      <x v="26"/>
    </i>
    <i r="1">
      <x v="27"/>
    </i>
    <i r="1">
      <x v="32"/>
    </i>
    <i r="1">
      <x v="127"/>
    </i>
    <i r="1">
      <x v="136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1">
    <format dxfId="21">
      <pivotArea outline="0" collapsedLevelsAreSubtotals="1" fieldPosition="0"/>
    </format>
    <format dxfId="20">
      <pivotArea dataOnly="0" labelOnly="1" outline="0" fieldPosition="0">
        <references count="1">
          <reference field="5" count="0"/>
        </references>
      </pivotArea>
    </format>
    <format dxfId="19">
      <pivotArea dataOnly="0" labelOnly="1" outline="0" axis="axisValues" fieldPosition="0"/>
    </format>
    <format dxfId="18">
      <pivotArea collapsedLevelsAreSubtotals="1" fieldPosition="0">
        <references count="2">
          <reference field="4" count="1">
            <x v="44"/>
          </reference>
          <reference field="6" count="1" selected="0">
            <x v="0"/>
          </reference>
        </references>
      </pivotArea>
    </format>
    <format dxfId="17">
      <pivotArea collapsedLevelsAreSubtotals="1" fieldPosition="0">
        <references count="2">
          <reference field="4" count="2">
            <x v="52"/>
            <x v="102"/>
          </reference>
          <reference field="6" count="1" selected="0">
            <x v="2"/>
          </reference>
        </references>
      </pivotArea>
    </format>
    <format dxfId="16">
      <pivotArea collapsedLevelsAreSubtotals="1" fieldPosition="0">
        <references count="2">
          <reference field="4" count="1">
            <x v="76"/>
          </reference>
          <reference field="6" count="1" selected="0">
            <x v="7"/>
          </reference>
        </references>
      </pivotArea>
    </format>
    <format dxfId="15">
      <pivotArea collapsedLevelsAreSubtotals="1" fieldPosition="0">
        <references count="2">
          <reference field="4" count="1">
            <x v="17"/>
          </reference>
          <reference field="6" count="1" selected="0">
            <x v="16"/>
          </reference>
        </references>
      </pivotArea>
    </format>
    <format dxfId="14">
      <pivotArea collapsedLevelsAreSubtotals="1" fieldPosition="0">
        <references count="2">
          <reference field="4" count="2">
            <x v="121"/>
            <x v="131"/>
          </reference>
          <reference field="6" count="1" selected="0">
            <x v="16"/>
          </reference>
        </references>
      </pivotArea>
    </format>
    <format dxfId="13">
      <pivotArea collapsedLevelsAreSubtotals="1" fieldPosition="0">
        <references count="2">
          <reference field="4" count="1">
            <x v="83"/>
          </reference>
          <reference field="6" count="1" selected="0">
            <x v="16"/>
          </reference>
        </references>
      </pivotArea>
    </format>
    <format dxfId="12">
      <pivotArea collapsedLevelsAreSubtotals="1" fieldPosition="0">
        <references count="2">
          <reference field="4" count="1">
            <x v="48"/>
          </reference>
          <reference field="6" count="1" selected="0">
            <x v="17"/>
          </reference>
        </references>
      </pivotArea>
    </format>
    <format dxfId="11">
      <pivotArea collapsedLevelsAreSubtotals="1" fieldPosition="0">
        <references count="2">
          <reference field="4" count="2">
            <x v="54"/>
            <x v="57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CE434-0DDA-4011-885B-4DBE0CB21487}">
  <dimension ref="A1:B166"/>
  <sheetViews>
    <sheetView workbookViewId="0">
      <selection sqref="A1:B120"/>
    </sheetView>
  </sheetViews>
  <sheetFormatPr defaultRowHeight="15" x14ac:dyDescent="0.25"/>
  <cols>
    <col min="1" max="1" width="44.285156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35</v>
      </c>
    </row>
    <row r="3" spans="1:2" x14ac:dyDescent="0.25">
      <c r="A3" s="5" t="s">
        <v>645</v>
      </c>
      <c r="B3" s="9" t="s">
        <v>647</v>
      </c>
    </row>
    <row r="4" spans="1:2" x14ac:dyDescent="0.25">
      <c r="A4" s="6" t="s">
        <v>21</v>
      </c>
      <c r="B4" s="9">
        <v>23356910.079999998</v>
      </c>
    </row>
    <row r="5" spans="1:2" x14ac:dyDescent="0.25">
      <c r="A5" s="7" t="s">
        <v>39</v>
      </c>
      <c r="B5" s="9">
        <v>10608000.08</v>
      </c>
    </row>
    <row r="6" spans="1:2" x14ac:dyDescent="0.25">
      <c r="A6" s="7" t="s">
        <v>211</v>
      </c>
      <c r="B6" s="9">
        <v>599400</v>
      </c>
    </row>
    <row r="7" spans="1:2" x14ac:dyDescent="0.25">
      <c r="A7" s="7" t="s">
        <v>287</v>
      </c>
      <c r="B7" s="9">
        <v>559440</v>
      </c>
    </row>
    <row r="8" spans="1:2" x14ac:dyDescent="0.25">
      <c r="A8" s="7" t="s">
        <v>397</v>
      </c>
      <c r="B8" s="9">
        <v>1789880</v>
      </c>
    </row>
    <row r="9" spans="1:2" x14ac:dyDescent="0.25">
      <c r="A9" s="7" t="s">
        <v>163</v>
      </c>
      <c r="B9" s="9">
        <v>9800190</v>
      </c>
    </row>
    <row r="10" spans="1:2" x14ac:dyDescent="0.25">
      <c r="A10" s="6" t="s">
        <v>53</v>
      </c>
      <c r="B10" s="9">
        <v>4649490.03</v>
      </c>
    </row>
    <row r="11" spans="1:2" x14ac:dyDescent="0.25">
      <c r="A11" s="7" t="s">
        <v>168</v>
      </c>
      <c r="B11" s="9">
        <v>1886400</v>
      </c>
    </row>
    <row r="12" spans="1:2" x14ac:dyDescent="0.25">
      <c r="A12" s="7" t="s">
        <v>202</v>
      </c>
      <c r="B12" s="9">
        <v>2435640.0300000003</v>
      </c>
    </row>
    <row r="13" spans="1:2" x14ac:dyDescent="0.25">
      <c r="A13" s="7" t="s">
        <v>52</v>
      </c>
      <c r="B13" s="9">
        <v>327450</v>
      </c>
    </row>
    <row r="14" spans="1:2" x14ac:dyDescent="0.25">
      <c r="A14" s="6" t="s">
        <v>58</v>
      </c>
      <c r="B14" s="9">
        <v>6790000.1499999994</v>
      </c>
    </row>
    <row r="15" spans="1:2" x14ac:dyDescent="0.25">
      <c r="A15" s="7" t="s">
        <v>426</v>
      </c>
      <c r="B15" s="9">
        <v>1320000.01</v>
      </c>
    </row>
    <row r="16" spans="1:2" x14ac:dyDescent="0.25">
      <c r="A16" s="7" t="s">
        <v>273</v>
      </c>
      <c r="B16" s="9">
        <v>5250000.1399999997</v>
      </c>
    </row>
    <row r="17" spans="1:2" x14ac:dyDescent="0.25">
      <c r="A17" s="7" t="s">
        <v>458</v>
      </c>
      <c r="B17" s="10">
        <v>220000</v>
      </c>
    </row>
    <row r="18" spans="1:2" x14ac:dyDescent="0.25">
      <c r="A18" s="6" t="s">
        <v>161</v>
      </c>
      <c r="B18" s="9">
        <v>959665.01</v>
      </c>
    </row>
    <row r="19" spans="1:2" x14ac:dyDescent="0.25">
      <c r="A19" s="7" t="s">
        <v>579</v>
      </c>
      <c r="B19" s="9">
        <v>959665.01</v>
      </c>
    </row>
    <row r="20" spans="1:2" x14ac:dyDescent="0.25">
      <c r="A20" s="6" t="s">
        <v>47</v>
      </c>
      <c r="B20" s="9">
        <v>14702500.02</v>
      </c>
    </row>
    <row r="21" spans="1:2" x14ac:dyDescent="0.25">
      <c r="A21" s="7" t="s">
        <v>536</v>
      </c>
      <c r="B21" s="9">
        <v>330000</v>
      </c>
    </row>
    <row r="22" spans="1:2" x14ac:dyDescent="0.25">
      <c r="A22" s="7" t="s">
        <v>264</v>
      </c>
      <c r="B22" s="9">
        <v>13144500</v>
      </c>
    </row>
    <row r="23" spans="1:2" x14ac:dyDescent="0.25">
      <c r="A23" s="7" t="s">
        <v>46</v>
      </c>
      <c r="B23" s="9">
        <v>588000.02</v>
      </c>
    </row>
    <row r="24" spans="1:2" x14ac:dyDescent="0.25">
      <c r="A24" s="7" t="s">
        <v>305</v>
      </c>
      <c r="B24" s="9">
        <v>640000</v>
      </c>
    </row>
    <row r="25" spans="1:2" x14ac:dyDescent="0.25">
      <c r="A25" s="6" t="s">
        <v>92</v>
      </c>
      <c r="B25" s="9">
        <v>20667984.09</v>
      </c>
    </row>
    <row r="26" spans="1:2" x14ac:dyDescent="0.25">
      <c r="A26" s="7" t="s">
        <v>603</v>
      </c>
      <c r="B26" s="9">
        <v>943500</v>
      </c>
    </row>
    <row r="27" spans="1:2" x14ac:dyDescent="0.25">
      <c r="A27" s="7" t="s">
        <v>353</v>
      </c>
      <c r="B27" s="9">
        <v>3274500</v>
      </c>
    </row>
    <row r="28" spans="1:2" x14ac:dyDescent="0.25">
      <c r="A28" s="7" t="s">
        <v>550</v>
      </c>
      <c r="B28" s="9">
        <v>1100000</v>
      </c>
    </row>
    <row r="29" spans="1:2" x14ac:dyDescent="0.25">
      <c r="A29" s="7" t="s">
        <v>364</v>
      </c>
      <c r="B29" s="9">
        <v>1929720.01</v>
      </c>
    </row>
    <row r="30" spans="1:2" x14ac:dyDescent="0.25">
      <c r="A30" s="7" t="s">
        <v>605</v>
      </c>
      <c r="B30" s="9">
        <v>720000</v>
      </c>
    </row>
    <row r="31" spans="1:2" x14ac:dyDescent="0.25">
      <c r="A31" s="7" t="s">
        <v>317</v>
      </c>
      <c r="B31" s="9">
        <v>9875000.0800000001</v>
      </c>
    </row>
    <row r="32" spans="1:2" x14ac:dyDescent="0.25">
      <c r="A32" s="7" t="s">
        <v>371</v>
      </c>
      <c r="B32" s="9">
        <v>554000</v>
      </c>
    </row>
    <row r="33" spans="1:2" x14ac:dyDescent="0.25">
      <c r="A33" s="7" t="s">
        <v>91</v>
      </c>
      <c r="B33" s="9">
        <v>888000</v>
      </c>
    </row>
    <row r="34" spans="1:2" x14ac:dyDescent="0.25">
      <c r="A34" s="7" t="s">
        <v>366</v>
      </c>
      <c r="B34" s="9">
        <v>435564</v>
      </c>
    </row>
    <row r="35" spans="1:2" x14ac:dyDescent="0.25">
      <c r="A35" s="7" t="s">
        <v>307</v>
      </c>
      <c r="B35" s="9">
        <v>947700</v>
      </c>
    </row>
    <row r="36" spans="1:2" x14ac:dyDescent="0.25">
      <c r="A36" s="6" t="s">
        <v>472</v>
      </c>
      <c r="B36" s="9">
        <v>10253040.16</v>
      </c>
    </row>
    <row r="37" spans="1:2" x14ac:dyDescent="0.25">
      <c r="A37" s="7" t="s">
        <v>471</v>
      </c>
      <c r="B37" s="9">
        <v>10253040.16</v>
      </c>
    </row>
    <row r="38" spans="1:2" x14ac:dyDescent="0.25">
      <c r="A38" s="6" t="s">
        <v>384</v>
      </c>
      <c r="B38" s="9">
        <v>31448947.18</v>
      </c>
    </row>
    <row r="39" spans="1:2" x14ac:dyDescent="0.25">
      <c r="A39" s="7" t="s">
        <v>623</v>
      </c>
      <c r="B39" s="9">
        <v>326340</v>
      </c>
    </row>
    <row r="40" spans="1:2" x14ac:dyDescent="0.25">
      <c r="A40" s="7" t="s">
        <v>383</v>
      </c>
      <c r="B40" s="9">
        <v>2378467.1800000002</v>
      </c>
    </row>
    <row r="41" spans="1:2" x14ac:dyDescent="0.25">
      <c r="A41" s="7" t="s">
        <v>390</v>
      </c>
      <c r="B41" s="9">
        <v>28744140</v>
      </c>
    </row>
    <row r="42" spans="1:2" x14ac:dyDescent="0.25">
      <c r="A42" s="6" t="s">
        <v>36</v>
      </c>
      <c r="B42" s="9">
        <v>34207828.43</v>
      </c>
    </row>
    <row r="43" spans="1:2" x14ac:dyDescent="0.25">
      <c r="A43" s="7" t="s">
        <v>140</v>
      </c>
      <c r="B43" s="9">
        <v>725940</v>
      </c>
    </row>
    <row r="44" spans="1:2" x14ac:dyDescent="0.25">
      <c r="A44" s="7" t="s">
        <v>89</v>
      </c>
      <c r="B44" s="9">
        <v>568000</v>
      </c>
    </row>
    <row r="45" spans="1:2" x14ac:dyDescent="0.25">
      <c r="A45" s="7" t="s">
        <v>96</v>
      </c>
      <c r="B45" s="9">
        <v>6439999.9900000002</v>
      </c>
    </row>
    <row r="46" spans="1:2" x14ac:dyDescent="0.25">
      <c r="A46" s="7" t="s">
        <v>326</v>
      </c>
      <c r="B46" s="9">
        <v>4730169.97</v>
      </c>
    </row>
    <row r="47" spans="1:2" x14ac:dyDescent="0.25">
      <c r="A47" s="7" t="s">
        <v>175</v>
      </c>
      <c r="B47" s="9">
        <v>9018490</v>
      </c>
    </row>
    <row r="48" spans="1:2" x14ac:dyDescent="0.25">
      <c r="A48" s="7" t="s">
        <v>319</v>
      </c>
      <c r="B48" s="9">
        <v>982350</v>
      </c>
    </row>
    <row r="49" spans="1:2" x14ac:dyDescent="0.25">
      <c r="A49" s="7" t="s">
        <v>309</v>
      </c>
      <c r="B49" s="9">
        <v>2467200</v>
      </c>
    </row>
    <row r="50" spans="1:2" x14ac:dyDescent="0.25">
      <c r="A50" s="7" t="s">
        <v>609</v>
      </c>
      <c r="B50" s="9">
        <v>3234999.9800000004</v>
      </c>
    </row>
    <row r="51" spans="1:2" x14ac:dyDescent="0.25">
      <c r="A51" s="7" t="s">
        <v>466</v>
      </c>
      <c r="B51" s="9">
        <v>754078.5</v>
      </c>
    </row>
    <row r="52" spans="1:2" x14ac:dyDescent="0.25">
      <c r="A52" s="7" t="s">
        <v>516</v>
      </c>
      <c r="B52" s="9">
        <v>1590000</v>
      </c>
    </row>
    <row r="53" spans="1:2" x14ac:dyDescent="0.25">
      <c r="A53" s="7" t="s">
        <v>103</v>
      </c>
      <c r="B53" s="9">
        <v>621600</v>
      </c>
    </row>
    <row r="54" spans="1:2" x14ac:dyDescent="0.25">
      <c r="A54" s="7" t="s">
        <v>155</v>
      </c>
      <c r="B54" s="9">
        <v>449999.99</v>
      </c>
    </row>
    <row r="55" spans="1:2" x14ac:dyDescent="0.25">
      <c r="A55" s="7" t="s">
        <v>323</v>
      </c>
      <c r="B55" s="9">
        <v>604999.99</v>
      </c>
    </row>
    <row r="56" spans="1:2" x14ac:dyDescent="0.25">
      <c r="A56" s="7" t="s">
        <v>333</v>
      </c>
      <c r="B56" s="9">
        <v>920000</v>
      </c>
    </row>
    <row r="57" spans="1:2" x14ac:dyDescent="0.25">
      <c r="A57" s="7" t="s">
        <v>403</v>
      </c>
      <c r="B57" s="9">
        <v>1100000.01</v>
      </c>
    </row>
    <row r="58" spans="1:2" x14ac:dyDescent="0.25">
      <c r="A58" s="6" t="s">
        <v>30</v>
      </c>
      <c r="B58" s="9">
        <v>764999.79</v>
      </c>
    </row>
    <row r="59" spans="1:2" x14ac:dyDescent="0.25">
      <c r="A59" s="7" t="s">
        <v>225</v>
      </c>
      <c r="B59" s="9">
        <v>764999.79</v>
      </c>
    </row>
    <row r="60" spans="1:2" x14ac:dyDescent="0.25">
      <c r="A60" s="6" t="s">
        <v>99</v>
      </c>
      <c r="B60" s="9">
        <v>15810657.58</v>
      </c>
    </row>
    <row r="61" spans="1:2" x14ac:dyDescent="0.25">
      <c r="A61" s="7" t="s">
        <v>231</v>
      </c>
      <c r="B61" s="9">
        <v>1491840</v>
      </c>
    </row>
    <row r="62" spans="1:2" x14ac:dyDescent="0.25">
      <c r="A62" s="7" t="s">
        <v>235</v>
      </c>
      <c r="B62" s="9">
        <v>372960</v>
      </c>
    </row>
    <row r="63" spans="1:2" x14ac:dyDescent="0.25">
      <c r="A63" s="7" t="s">
        <v>219</v>
      </c>
      <c r="B63" s="9">
        <v>384060</v>
      </c>
    </row>
    <row r="64" spans="1:2" x14ac:dyDescent="0.25">
      <c r="A64" s="7" t="s">
        <v>227</v>
      </c>
      <c r="B64" s="9">
        <v>372960</v>
      </c>
    </row>
    <row r="65" spans="1:2" x14ac:dyDescent="0.25">
      <c r="A65" s="7" t="s">
        <v>476</v>
      </c>
      <c r="B65" s="9">
        <v>1412719.2</v>
      </c>
    </row>
    <row r="66" spans="1:2" x14ac:dyDescent="0.25">
      <c r="A66" s="7" t="s">
        <v>303</v>
      </c>
      <c r="B66" s="9">
        <v>372960</v>
      </c>
    </row>
    <row r="67" spans="1:2" x14ac:dyDescent="0.25">
      <c r="A67" s="7" t="s">
        <v>248</v>
      </c>
      <c r="B67" s="9">
        <v>3255319.2</v>
      </c>
    </row>
    <row r="68" spans="1:2" x14ac:dyDescent="0.25">
      <c r="A68" s="7" t="s">
        <v>491</v>
      </c>
      <c r="B68" s="9">
        <v>621000</v>
      </c>
    </row>
    <row r="69" spans="1:2" x14ac:dyDescent="0.25">
      <c r="A69" s="7" t="s">
        <v>511</v>
      </c>
      <c r="B69" s="9">
        <v>1412719.2</v>
      </c>
    </row>
    <row r="70" spans="1:2" x14ac:dyDescent="0.25">
      <c r="A70" s="7" t="s">
        <v>483</v>
      </c>
      <c r="B70" s="9">
        <v>2762719.1799999997</v>
      </c>
    </row>
    <row r="71" spans="1:2" x14ac:dyDescent="0.25">
      <c r="A71" s="7" t="s">
        <v>241</v>
      </c>
      <c r="B71" s="9">
        <v>1480740</v>
      </c>
    </row>
    <row r="72" spans="1:2" x14ac:dyDescent="0.25">
      <c r="A72" s="7" t="s">
        <v>269</v>
      </c>
      <c r="B72" s="9">
        <v>745920</v>
      </c>
    </row>
    <row r="73" spans="1:2" x14ac:dyDescent="0.25">
      <c r="A73" s="7" t="s">
        <v>149</v>
      </c>
      <c r="B73" s="9">
        <v>365500.8</v>
      </c>
    </row>
    <row r="74" spans="1:2" x14ac:dyDescent="0.25">
      <c r="A74" s="7" t="s">
        <v>98</v>
      </c>
      <c r="B74" s="9">
        <v>759240</v>
      </c>
    </row>
    <row r="75" spans="1:2" x14ac:dyDescent="0.25">
      <c r="A75" s="6" t="s">
        <v>115</v>
      </c>
      <c r="B75" s="9">
        <v>8113050.0099999998</v>
      </c>
    </row>
    <row r="76" spans="1:2" x14ac:dyDescent="0.25">
      <c r="A76" s="7" t="s">
        <v>373</v>
      </c>
      <c r="B76" s="9">
        <v>470700.01</v>
      </c>
    </row>
    <row r="77" spans="1:2" x14ac:dyDescent="0.25">
      <c r="A77" s="7" t="s">
        <v>133</v>
      </c>
      <c r="B77" s="9">
        <v>760350</v>
      </c>
    </row>
    <row r="78" spans="1:2" x14ac:dyDescent="0.25">
      <c r="A78" s="7" t="s">
        <v>179</v>
      </c>
      <c r="B78" s="9">
        <v>6882000</v>
      </c>
    </row>
    <row r="79" spans="1:2" x14ac:dyDescent="0.25">
      <c r="A79" s="6" t="s">
        <v>129</v>
      </c>
      <c r="B79" s="9">
        <v>9793500.0099999998</v>
      </c>
    </row>
    <row r="80" spans="1:2" x14ac:dyDescent="0.25">
      <c r="A80" s="7" t="s">
        <v>138</v>
      </c>
      <c r="B80" s="9">
        <v>6941700</v>
      </c>
    </row>
    <row r="81" spans="1:2" x14ac:dyDescent="0.25">
      <c r="A81" s="7" t="s">
        <v>181</v>
      </c>
      <c r="B81" s="9">
        <v>2851800.0100000002</v>
      </c>
    </row>
    <row r="82" spans="1:2" x14ac:dyDescent="0.25">
      <c r="A82" s="6" t="s">
        <v>145</v>
      </c>
      <c r="B82" s="9">
        <v>7048035.21</v>
      </c>
    </row>
    <row r="83" spans="1:2" x14ac:dyDescent="0.25">
      <c r="A83" s="7" t="s">
        <v>168</v>
      </c>
      <c r="B83" s="9">
        <v>56055</v>
      </c>
    </row>
    <row r="84" spans="1:2" x14ac:dyDescent="0.25">
      <c r="A84" s="7" t="s">
        <v>213</v>
      </c>
      <c r="B84" s="9">
        <v>2850480</v>
      </c>
    </row>
    <row r="85" spans="1:2" x14ac:dyDescent="0.25">
      <c r="A85" s="7" t="s">
        <v>207</v>
      </c>
      <c r="B85" s="9">
        <v>603900.01</v>
      </c>
    </row>
    <row r="86" spans="1:2" x14ac:dyDescent="0.25">
      <c r="A86" s="7" t="s">
        <v>144</v>
      </c>
      <c r="B86" s="9">
        <v>770400.03</v>
      </c>
    </row>
    <row r="87" spans="1:2" x14ac:dyDescent="0.25">
      <c r="A87" s="7" t="s">
        <v>289</v>
      </c>
      <c r="B87" s="9">
        <v>2767200.17</v>
      </c>
    </row>
    <row r="88" spans="1:2" x14ac:dyDescent="0.25">
      <c r="A88" s="6" t="s">
        <v>81</v>
      </c>
      <c r="B88" s="9">
        <v>7600699.9899999993</v>
      </c>
    </row>
    <row r="89" spans="1:2" x14ac:dyDescent="0.25">
      <c r="A89" s="7" t="s">
        <v>298</v>
      </c>
      <c r="B89" s="9">
        <v>1332000</v>
      </c>
    </row>
    <row r="90" spans="1:2" x14ac:dyDescent="0.25">
      <c r="A90" s="7" t="s">
        <v>594</v>
      </c>
      <c r="B90" s="9">
        <v>640000</v>
      </c>
    </row>
    <row r="91" spans="1:2" x14ac:dyDescent="0.25">
      <c r="A91" s="7" t="s">
        <v>213</v>
      </c>
      <c r="B91" s="9">
        <v>2065000</v>
      </c>
    </row>
    <row r="92" spans="1:2" x14ac:dyDescent="0.25">
      <c r="A92" s="7" t="s">
        <v>362</v>
      </c>
      <c r="B92" s="9">
        <v>655700</v>
      </c>
    </row>
    <row r="93" spans="1:2" x14ac:dyDescent="0.25">
      <c r="A93" s="7" t="s">
        <v>407</v>
      </c>
      <c r="B93" s="9">
        <v>500000</v>
      </c>
    </row>
    <row r="94" spans="1:2" x14ac:dyDescent="0.25">
      <c r="A94" s="7" t="s">
        <v>548</v>
      </c>
      <c r="B94" s="9">
        <v>428000.01</v>
      </c>
    </row>
    <row r="95" spans="1:2" x14ac:dyDescent="0.25">
      <c r="A95" s="7" t="s">
        <v>351</v>
      </c>
      <c r="B95" s="9">
        <v>699999.97</v>
      </c>
    </row>
    <row r="96" spans="1:2" x14ac:dyDescent="0.25">
      <c r="A96" s="7" t="s">
        <v>345</v>
      </c>
      <c r="B96" s="9">
        <v>1280000.01</v>
      </c>
    </row>
    <row r="97" spans="1:2" x14ac:dyDescent="0.25">
      <c r="A97" s="6" t="s">
        <v>62</v>
      </c>
      <c r="B97" s="9">
        <v>14068233.930000003</v>
      </c>
    </row>
    <row r="98" spans="1:2" x14ac:dyDescent="0.25">
      <c r="A98" s="7" t="s">
        <v>67</v>
      </c>
      <c r="B98" s="9">
        <v>1240000</v>
      </c>
    </row>
    <row r="99" spans="1:2" x14ac:dyDescent="0.25">
      <c r="A99" s="7" t="s">
        <v>292</v>
      </c>
      <c r="B99" s="9">
        <v>1949999.98</v>
      </c>
    </row>
    <row r="100" spans="1:2" x14ac:dyDescent="0.25">
      <c r="A100" s="7" t="s">
        <v>66</v>
      </c>
      <c r="B100" s="10">
        <v>290000</v>
      </c>
    </row>
    <row r="101" spans="1:2" x14ac:dyDescent="0.25">
      <c r="A101" s="7" t="s">
        <v>239</v>
      </c>
      <c r="B101" s="9">
        <v>4287983.9800000004</v>
      </c>
    </row>
    <row r="102" spans="1:2" x14ac:dyDescent="0.25">
      <c r="A102" s="7" t="s">
        <v>557</v>
      </c>
      <c r="B102" s="9">
        <v>302499.99</v>
      </c>
    </row>
    <row r="103" spans="1:2" x14ac:dyDescent="0.25">
      <c r="A103" s="7" t="s">
        <v>369</v>
      </c>
      <c r="B103" s="10">
        <v>275000</v>
      </c>
    </row>
    <row r="104" spans="1:2" x14ac:dyDescent="0.25">
      <c r="A104" s="7" t="s">
        <v>70</v>
      </c>
      <c r="B104" s="10">
        <v>255999.97</v>
      </c>
    </row>
    <row r="105" spans="1:2" x14ac:dyDescent="0.25">
      <c r="A105" s="7" t="s">
        <v>379</v>
      </c>
      <c r="B105" s="9">
        <v>1341749.97</v>
      </c>
    </row>
    <row r="106" spans="1:2" x14ac:dyDescent="0.25">
      <c r="A106" s="7" t="s">
        <v>73</v>
      </c>
      <c r="B106" s="9">
        <v>4125000.04</v>
      </c>
    </row>
    <row r="107" spans="1:2" x14ac:dyDescent="0.25">
      <c r="A107" s="6" t="s">
        <v>76</v>
      </c>
      <c r="B107" s="9">
        <v>17483509.93</v>
      </c>
    </row>
    <row r="108" spans="1:2" x14ac:dyDescent="0.25">
      <c r="A108" s="7" t="s">
        <v>75</v>
      </c>
      <c r="B108" s="9">
        <v>1889999.98</v>
      </c>
    </row>
    <row r="109" spans="1:2" x14ac:dyDescent="0.25">
      <c r="A109" s="7" t="s">
        <v>243</v>
      </c>
      <c r="B109" s="9">
        <v>9670999.9500000011</v>
      </c>
    </row>
    <row r="110" spans="1:2" x14ac:dyDescent="0.25">
      <c r="A110" s="7" t="s">
        <v>641</v>
      </c>
      <c r="B110" s="9">
        <v>3199999.99</v>
      </c>
    </row>
    <row r="111" spans="1:2" x14ac:dyDescent="0.25">
      <c r="A111" s="7" t="s">
        <v>301</v>
      </c>
      <c r="B111" s="10">
        <v>266000.01</v>
      </c>
    </row>
    <row r="112" spans="1:2" x14ac:dyDescent="0.25">
      <c r="A112" s="7" t="s">
        <v>544</v>
      </c>
      <c r="B112" s="10">
        <v>156510</v>
      </c>
    </row>
    <row r="113" spans="1:2" x14ac:dyDescent="0.25">
      <c r="A113" s="7" t="s">
        <v>233</v>
      </c>
      <c r="B113" s="9">
        <v>2300000</v>
      </c>
    </row>
    <row r="114" spans="1:2" x14ac:dyDescent="0.25">
      <c r="A114" s="6" t="s">
        <v>84</v>
      </c>
      <c r="B114" s="9">
        <v>55118990.910000004</v>
      </c>
    </row>
    <row r="115" spans="1:2" x14ac:dyDescent="0.25">
      <c r="A115" s="7" t="s">
        <v>181</v>
      </c>
      <c r="B115" s="9">
        <v>22893996.489999998</v>
      </c>
    </row>
    <row r="116" spans="1:2" x14ac:dyDescent="0.25">
      <c r="A116" s="7" t="s">
        <v>258</v>
      </c>
      <c r="B116" s="9">
        <v>21749994.899999999</v>
      </c>
    </row>
    <row r="117" spans="1:2" x14ac:dyDescent="0.25">
      <c r="A117" s="7" t="s">
        <v>229</v>
      </c>
      <c r="B117" s="9">
        <v>5649999.79</v>
      </c>
    </row>
    <row r="118" spans="1:2" x14ac:dyDescent="0.25">
      <c r="A118" s="7" t="s">
        <v>256</v>
      </c>
      <c r="B118" s="9">
        <v>774999.78</v>
      </c>
    </row>
    <row r="119" spans="1:2" x14ac:dyDescent="0.25">
      <c r="A119" s="7" t="s">
        <v>216</v>
      </c>
      <c r="B119" s="9">
        <v>4049999.95</v>
      </c>
    </row>
    <row r="120" spans="1:2" x14ac:dyDescent="0.25">
      <c r="A120" s="6" t="s">
        <v>646</v>
      </c>
      <c r="B120" s="9">
        <v>282838042.50999987</v>
      </c>
    </row>
    <row r="121" spans="1:2" x14ac:dyDescent="0.25">
      <c r="B121"/>
    </row>
    <row r="122" spans="1:2" x14ac:dyDescent="0.25">
      <c r="B122"/>
    </row>
    <row r="123" spans="1:2" x14ac:dyDescent="0.25">
      <c r="B123"/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72"/>
  <sheetViews>
    <sheetView tabSelected="1" topLeftCell="H1" workbookViewId="0">
      <pane ySplit="1" topLeftCell="A253" activePane="bottomLeft" state="frozen"/>
      <selection pane="bottomLeft" activeCell="M272" sqref="M272"/>
    </sheetView>
  </sheetViews>
  <sheetFormatPr defaultRowHeight="15" x14ac:dyDescent="0.25"/>
  <cols>
    <col min="1" max="1" width="12.28515625" style="1" customWidth="1"/>
    <col min="2" max="2" width="12.7109375" style="1" customWidth="1"/>
    <col min="3" max="3" width="18.28515625" style="2" customWidth="1"/>
    <col min="4" max="4" width="10.5703125" style="2" customWidth="1"/>
    <col min="5" max="5" width="37.2851562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6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46170</v>
      </c>
      <c r="B2" s="1">
        <v>46168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</v>
      </c>
      <c r="K2" s="2" t="s">
        <v>24</v>
      </c>
      <c r="L2" s="3">
        <v>1</v>
      </c>
      <c r="M2" s="11">
        <v>255300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46170</v>
      </c>
      <c r="B3" s="1">
        <v>46168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30</v>
      </c>
      <c r="K3" s="2" t="s">
        <v>33</v>
      </c>
      <c r="L3" s="3">
        <v>30</v>
      </c>
      <c r="M3" s="11">
        <v>449999.88</v>
      </c>
      <c r="N3" s="3">
        <v>0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46170</v>
      </c>
      <c r="B4" s="1">
        <v>46168</v>
      </c>
      <c r="C4" s="2" t="s">
        <v>38</v>
      </c>
      <c r="D4" s="2" t="s">
        <v>18</v>
      </c>
      <c r="E4" s="2" t="s">
        <v>39</v>
      </c>
      <c r="F4" s="2" t="s">
        <v>35</v>
      </c>
      <c r="G4" s="2" t="s">
        <v>21</v>
      </c>
      <c r="H4" s="2" t="s">
        <v>40</v>
      </c>
      <c r="I4" s="2" t="s">
        <v>41</v>
      </c>
      <c r="J4" s="3">
        <v>7</v>
      </c>
      <c r="K4" s="2" t="s">
        <v>33</v>
      </c>
      <c r="L4" s="3">
        <v>7.69</v>
      </c>
      <c r="M4" s="11">
        <v>4998500.04</v>
      </c>
      <c r="N4" s="3">
        <v>0.69</v>
      </c>
      <c r="O4" s="2" t="s">
        <v>25</v>
      </c>
      <c r="P4" s="2" t="s">
        <v>26</v>
      </c>
      <c r="Q4" s="2" t="s">
        <v>42</v>
      </c>
    </row>
    <row r="5" spans="1:17" x14ac:dyDescent="0.25">
      <c r="A5" s="1">
        <v>46170</v>
      </c>
      <c r="B5" s="1">
        <v>46168</v>
      </c>
      <c r="C5" s="2" t="s">
        <v>43</v>
      </c>
      <c r="D5" s="2" t="s">
        <v>18</v>
      </c>
      <c r="E5" s="2" t="s">
        <v>39</v>
      </c>
      <c r="F5" s="2" t="s">
        <v>35</v>
      </c>
      <c r="G5" s="2" t="s">
        <v>21</v>
      </c>
      <c r="H5" s="2" t="s">
        <v>40</v>
      </c>
      <c r="I5" s="2" t="s">
        <v>41</v>
      </c>
      <c r="J5" s="3">
        <v>7</v>
      </c>
      <c r="K5" s="2" t="s">
        <v>33</v>
      </c>
      <c r="L5" s="3">
        <v>8.6300000000000008</v>
      </c>
      <c r="M5" s="11">
        <v>5609500.04</v>
      </c>
      <c r="N5" s="3">
        <v>1.63</v>
      </c>
      <c r="O5" s="2" t="s">
        <v>25</v>
      </c>
      <c r="P5" s="2" t="s">
        <v>26</v>
      </c>
      <c r="Q5" s="2" t="s">
        <v>44</v>
      </c>
    </row>
    <row r="6" spans="1:17" x14ac:dyDescent="0.25">
      <c r="A6" s="1">
        <v>46170</v>
      </c>
      <c r="B6" s="1">
        <v>46168</v>
      </c>
      <c r="C6" s="2" t="s">
        <v>45</v>
      </c>
      <c r="D6" s="2" t="s">
        <v>18</v>
      </c>
      <c r="E6" s="2" t="s">
        <v>46</v>
      </c>
      <c r="F6" s="2" t="s">
        <v>35</v>
      </c>
      <c r="G6" s="2" t="s">
        <v>47</v>
      </c>
      <c r="H6" s="2" t="s">
        <v>48</v>
      </c>
      <c r="I6" s="2" t="s">
        <v>49</v>
      </c>
      <c r="J6" s="3">
        <v>4</v>
      </c>
      <c r="K6" s="2" t="s">
        <v>33</v>
      </c>
      <c r="L6" s="3">
        <v>4.2</v>
      </c>
      <c r="M6" s="11">
        <v>588000.02</v>
      </c>
      <c r="N6" s="3">
        <v>0.2</v>
      </c>
      <c r="O6" s="2" t="s">
        <v>25</v>
      </c>
      <c r="P6" s="2" t="s">
        <v>26</v>
      </c>
      <c r="Q6" s="2" t="s">
        <v>50</v>
      </c>
    </row>
    <row r="7" spans="1:17" x14ac:dyDescent="0.25">
      <c r="A7" s="1">
        <v>46170</v>
      </c>
      <c r="B7" s="1">
        <v>46168</v>
      </c>
      <c r="C7" s="2" t="s">
        <v>51</v>
      </c>
      <c r="D7" s="2" t="s">
        <v>18</v>
      </c>
      <c r="E7" s="2" t="s">
        <v>52</v>
      </c>
      <c r="F7" s="2" t="s">
        <v>35</v>
      </c>
      <c r="G7" s="2" t="s">
        <v>53</v>
      </c>
      <c r="H7" s="2" t="s">
        <v>54</v>
      </c>
      <c r="I7" s="2" t="s">
        <v>55</v>
      </c>
      <c r="J7" s="3">
        <v>1</v>
      </c>
      <c r="K7" s="2" t="s">
        <v>24</v>
      </c>
      <c r="L7" s="3">
        <v>1</v>
      </c>
      <c r="M7" s="11">
        <v>327450</v>
      </c>
      <c r="N7" s="3">
        <v>0</v>
      </c>
      <c r="O7" s="2" t="s">
        <v>25</v>
      </c>
      <c r="P7" s="2" t="s">
        <v>26</v>
      </c>
      <c r="Q7" s="2" t="s">
        <v>34</v>
      </c>
    </row>
    <row r="8" spans="1:17" x14ac:dyDescent="0.25">
      <c r="A8" s="1">
        <v>46170</v>
      </c>
      <c r="B8" s="1">
        <v>46168</v>
      </c>
      <c r="C8" s="2" t="s">
        <v>56</v>
      </c>
      <c r="D8" s="2" t="s">
        <v>18</v>
      </c>
      <c r="E8" s="2" t="s">
        <v>57</v>
      </c>
      <c r="F8" s="2" t="s">
        <v>20</v>
      </c>
      <c r="G8" s="2" t="s">
        <v>58</v>
      </c>
      <c r="H8" s="2" t="s">
        <v>54</v>
      </c>
      <c r="I8" s="2" t="s">
        <v>55</v>
      </c>
      <c r="J8" s="3">
        <v>4</v>
      </c>
      <c r="K8" s="2" t="s">
        <v>24</v>
      </c>
      <c r="L8" s="3">
        <v>4</v>
      </c>
      <c r="M8" s="11">
        <v>1208000</v>
      </c>
      <c r="N8" s="3">
        <v>0</v>
      </c>
      <c r="O8" s="2" t="s">
        <v>25</v>
      </c>
      <c r="P8" s="2" t="s">
        <v>26</v>
      </c>
      <c r="Q8" s="2" t="s">
        <v>34</v>
      </c>
    </row>
    <row r="9" spans="1:17" x14ac:dyDescent="0.25">
      <c r="A9" s="1">
        <v>46170</v>
      </c>
      <c r="B9" s="1">
        <v>46168</v>
      </c>
      <c r="C9" s="2" t="s">
        <v>59</v>
      </c>
      <c r="D9" s="2" t="s">
        <v>18</v>
      </c>
      <c r="E9" s="2" t="s">
        <v>60</v>
      </c>
      <c r="F9" s="2" t="s">
        <v>20</v>
      </c>
      <c r="G9" s="2" t="s">
        <v>21</v>
      </c>
      <c r="H9" s="2" t="s">
        <v>48</v>
      </c>
      <c r="I9" s="2" t="s">
        <v>49</v>
      </c>
      <c r="J9" s="3">
        <v>4</v>
      </c>
      <c r="K9" s="2" t="s">
        <v>33</v>
      </c>
      <c r="L9" s="3">
        <v>4.1500000000000004</v>
      </c>
      <c r="M9" s="11">
        <v>581000.02</v>
      </c>
      <c r="N9" s="3">
        <v>0.15</v>
      </c>
      <c r="O9" s="2" t="s">
        <v>25</v>
      </c>
      <c r="P9" s="2" t="s">
        <v>26</v>
      </c>
      <c r="Q9" s="2" t="s">
        <v>61</v>
      </c>
    </row>
    <row r="10" spans="1:17" x14ac:dyDescent="0.25">
      <c r="A10" s="1">
        <v>46170</v>
      </c>
      <c r="B10" s="1">
        <v>46168</v>
      </c>
      <c r="C10" s="2" t="s">
        <v>63</v>
      </c>
      <c r="D10" s="2" t="s">
        <v>18</v>
      </c>
      <c r="E10" s="2" t="s">
        <v>64</v>
      </c>
      <c r="F10" s="2" t="s">
        <v>20</v>
      </c>
      <c r="G10" s="2" t="s">
        <v>58</v>
      </c>
      <c r="H10" s="2" t="s">
        <v>54</v>
      </c>
      <c r="I10" s="2" t="s">
        <v>55</v>
      </c>
      <c r="J10" s="3">
        <v>1</v>
      </c>
      <c r="K10" s="2" t="s">
        <v>24</v>
      </c>
      <c r="L10" s="3">
        <v>1</v>
      </c>
      <c r="M10" s="11">
        <v>285000</v>
      </c>
      <c r="N10" s="3">
        <v>0</v>
      </c>
      <c r="O10" s="2" t="s">
        <v>25</v>
      </c>
      <c r="P10" s="2" t="s">
        <v>26</v>
      </c>
      <c r="Q10" s="2" t="s">
        <v>34</v>
      </c>
    </row>
    <row r="11" spans="1:17" x14ac:dyDescent="0.25">
      <c r="A11" s="1">
        <v>46170</v>
      </c>
      <c r="B11" s="1">
        <v>46168</v>
      </c>
      <c r="C11" s="2" t="s">
        <v>65</v>
      </c>
      <c r="D11" s="2" t="s">
        <v>18</v>
      </c>
      <c r="E11" s="2" t="s">
        <v>66</v>
      </c>
      <c r="F11" s="2" t="s">
        <v>35</v>
      </c>
      <c r="G11" s="2" t="s">
        <v>62</v>
      </c>
      <c r="H11" s="2" t="s">
        <v>54</v>
      </c>
      <c r="I11" s="2" t="s">
        <v>55</v>
      </c>
      <c r="J11" s="3">
        <v>1</v>
      </c>
      <c r="K11" s="2" t="s">
        <v>24</v>
      </c>
      <c r="L11" s="3">
        <v>1</v>
      </c>
      <c r="M11" s="11">
        <v>290000</v>
      </c>
      <c r="N11" s="3">
        <v>0</v>
      </c>
      <c r="O11" s="2" t="s">
        <v>25</v>
      </c>
      <c r="P11" s="2" t="s">
        <v>26</v>
      </c>
      <c r="Q11" s="2" t="s">
        <v>34</v>
      </c>
    </row>
    <row r="12" spans="1:17" x14ac:dyDescent="0.25">
      <c r="A12" s="1">
        <v>46170</v>
      </c>
      <c r="B12" s="1">
        <v>46168</v>
      </c>
      <c r="C12" s="2" t="s">
        <v>69</v>
      </c>
      <c r="D12" s="2" t="s">
        <v>18</v>
      </c>
      <c r="E12" s="2" t="s">
        <v>70</v>
      </c>
      <c r="F12" s="2" t="s">
        <v>35</v>
      </c>
      <c r="G12" s="2" t="s">
        <v>62</v>
      </c>
      <c r="H12" s="2" t="s">
        <v>71</v>
      </c>
      <c r="I12" s="2" t="s">
        <v>72</v>
      </c>
      <c r="J12" s="3">
        <v>20</v>
      </c>
      <c r="K12" s="2" t="s">
        <v>33</v>
      </c>
      <c r="L12" s="3">
        <v>20</v>
      </c>
      <c r="M12" s="11">
        <v>255999.97</v>
      </c>
      <c r="N12" s="3">
        <v>0</v>
      </c>
      <c r="O12" s="2" t="s">
        <v>25</v>
      </c>
      <c r="P12" s="2" t="s">
        <v>26</v>
      </c>
      <c r="Q12" s="2" t="s">
        <v>34</v>
      </c>
    </row>
    <row r="13" spans="1:17" x14ac:dyDescent="0.25">
      <c r="A13" s="1">
        <v>46170</v>
      </c>
      <c r="B13" s="1">
        <v>46168</v>
      </c>
      <c r="C13" s="2" t="s">
        <v>74</v>
      </c>
      <c r="D13" s="2" t="s">
        <v>18</v>
      </c>
      <c r="E13" s="2" t="s">
        <v>75</v>
      </c>
      <c r="F13" s="2" t="s">
        <v>35</v>
      </c>
      <c r="G13" s="2" t="s">
        <v>76</v>
      </c>
      <c r="H13" s="2" t="s">
        <v>77</v>
      </c>
      <c r="I13" s="2" t="s">
        <v>78</v>
      </c>
      <c r="J13" s="3">
        <v>1</v>
      </c>
      <c r="K13" s="2" t="s">
        <v>24</v>
      </c>
      <c r="L13" s="3">
        <v>1</v>
      </c>
      <c r="M13" s="11">
        <v>314999.99</v>
      </c>
      <c r="N13" s="3">
        <v>0</v>
      </c>
      <c r="O13" s="2" t="s">
        <v>25</v>
      </c>
      <c r="P13" s="2" t="s">
        <v>26</v>
      </c>
      <c r="Q13" s="2" t="s">
        <v>34</v>
      </c>
    </row>
    <row r="14" spans="1:17" x14ac:dyDescent="0.25">
      <c r="A14" s="1">
        <v>46170</v>
      </c>
      <c r="B14" s="1">
        <v>46168</v>
      </c>
      <c r="C14" s="2" t="s">
        <v>74</v>
      </c>
      <c r="D14" s="2" t="s">
        <v>18</v>
      </c>
      <c r="E14" s="2" t="s">
        <v>75</v>
      </c>
      <c r="F14" s="2" t="s">
        <v>35</v>
      </c>
      <c r="G14" s="2" t="s">
        <v>76</v>
      </c>
      <c r="H14" s="2" t="s">
        <v>54</v>
      </c>
      <c r="I14" s="2" t="s">
        <v>55</v>
      </c>
      <c r="J14" s="3">
        <v>3</v>
      </c>
      <c r="K14" s="2" t="s">
        <v>24</v>
      </c>
      <c r="L14" s="3">
        <v>3</v>
      </c>
      <c r="M14" s="11">
        <v>945000</v>
      </c>
      <c r="N14" s="3">
        <v>0</v>
      </c>
      <c r="O14" s="2" t="s">
        <v>25</v>
      </c>
      <c r="P14" s="2" t="s">
        <v>26</v>
      </c>
      <c r="Q14" s="2" t="s">
        <v>34</v>
      </c>
    </row>
    <row r="15" spans="1:17" x14ac:dyDescent="0.25">
      <c r="A15" s="1">
        <v>46170</v>
      </c>
      <c r="B15" s="1">
        <v>46168</v>
      </c>
      <c r="C15" s="2" t="s">
        <v>79</v>
      </c>
      <c r="D15" s="2" t="s">
        <v>18</v>
      </c>
      <c r="E15" s="2" t="s">
        <v>80</v>
      </c>
      <c r="F15" s="2" t="s">
        <v>20</v>
      </c>
      <c r="G15" s="2" t="s">
        <v>81</v>
      </c>
      <c r="H15" s="2" t="s">
        <v>31</v>
      </c>
      <c r="I15" s="2" t="s">
        <v>32</v>
      </c>
      <c r="J15" s="3">
        <v>20</v>
      </c>
      <c r="K15" s="2" t="s">
        <v>33</v>
      </c>
      <c r="L15" s="3">
        <v>20</v>
      </c>
      <c r="M15" s="11">
        <v>333000</v>
      </c>
      <c r="N15" s="3">
        <v>0</v>
      </c>
      <c r="O15" s="2" t="s">
        <v>25</v>
      </c>
      <c r="P15" s="2" t="s">
        <v>26</v>
      </c>
      <c r="Q15" s="2" t="s">
        <v>34</v>
      </c>
    </row>
    <row r="16" spans="1:17" x14ac:dyDescent="0.25">
      <c r="A16" s="1">
        <v>46170</v>
      </c>
      <c r="B16" s="1">
        <v>46168</v>
      </c>
      <c r="C16" s="2" t="s">
        <v>82</v>
      </c>
      <c r="D16" s="2" t="s">
        <v>18</v>
      </c>
      <c r="E16" s="2" t="s">
        <v>83</v>
      </c>
      <c r="F16" s="2" t="s">
        <v>20</v>
      </c>
      <c r="G16" s="2" t="s">
        <v>84</v>
      </c>
      <c r="H16" s="2" t="s">
        <v>85</v>
      </c>
      <c r="I16" s="2" t="s">
        <v>86</v>
      </c>
      <c r="J16" s="3">
        <v>40</v>
      </c>
      <c r="K16" s="2" t="s">
        <v>87</v>
      </c>
      <c r="L16" s="3">
        <v>40</v>
      </c>
      <c r="M16" s="11">
        <v>700000.19</v>
      </c>
      <c r="N16" s="3">
        <v>0</v>
      </c>
      <c r="O16" s="2" t="s">
        <v>25</v>
      </c>
      <c r="P16" s="2" t="s">
        <v>26</v>
      </c>
      <c r="Q16" s="2" t="s">
        <v>34</v>
      </c>
    </row>
    <row r="17" spans="1:17" x14ac:dyDescent="0.25">
      <c r="A17" s="1">
        <v>46170</v>
      </c>
      <c r="B17" s="1">
        <v>46168</v>
      </c>
      <c r="C17" s="2" t="s">
        <v>88</v>
      </c>
      <c r="D17" s="2" t="s">
        <v>18</v>
      </c>
      <c r="E17" s="2" t="s">
        <v>89</v>
      </c>
      <c r="F17" s="2" t="s">
        <v>35</v>
      </c>
      <c r="G17" s="2" t="s">
        <v>36</v>
      </c>
      <c r="H17" s="2" t="s">
        <v>77</v>
      </c>
      <c r="I17" s="2" t="s">
        <v>78</v>
      </c>
      <c r="J17" s="3">
        <v>2</v>
      </c>
      <c r="K17" s="2" t="s">
        <v>24</v>
      </c>
      <c r="L17" s="3">
        <v>2</v>
      </c>
      <c r="M17" s="11">
        <v>568000</v>
      </c>
      <c r="N17" s="3">
        <v>0</v>
      </c>
      <c r="O17" s="2" t="s">
        <v>25</v>
      </c>
      <c r="P17" s="2" t="s">
        <v>26</v>
      </c>
      <c r="Q17" s="2" t="s">
        <v>34</v>
      </c>
    </row>
    <row r="18" spans="1:17" x14ac:dyDescent="0.25">
      <c r="A18" s="1">
        <v>46170</v>
      </c>
      <c r="B18" s="1">
        <v>46168</v>
      </c>
      <c r="C18" s="2" t="s">
        <v>90</v>
      </c>
      <c r="D18" s="2" t="s">
        <v>18</v>
      </c>
      <c r="E18" s="2" t="s">
        <v>91</v>
      </c>
      <c r="F18" s="2" t="s">
        <v>35</v>
      </c>
      <c r="G18" s="2" t="s">
        <v>92</v>
      </c>
      <c r="H18" s="2" t="s">
        <v>93</v>
      </c>
      <c r="I18" s="2" t="s">
        <v>94</v>
      </c>
      <c r="J18" s="3">
        <v>4</v>
      </c>
      <c r="K18" s="2" t="s">
        <v>33</v>
      </c>
      <c r="L18" s="3">
        <v>3.7</v>
      </c>
      <c r="M18" s="11">
        <v>888000</v>
      </c>
      <c r="N18" s="3">
        <v>-0.3</v>
      </c>
      <c r="O18" s="2" t="s">
        <v>25</v>
      </c>
      <c r="P18" s="2" t="s">
        <v>26</v>
      </c>
      <c r="Q18" s="2" t="s">
        <v>34</v>
      </c>
    </row>
    <row r="19" spans="1:17" x14ac:dyDescent="0.25">
      <c r="A19" s="1">
        <v>46170</v>
      </c>
      <c r="B19" s="1">
        <v>46168</v>
      </c>
      <c r="C19" s="2" t="s">
        <v>95</v>
      </c>
      <c r="D19" s="2" t="s">
        <v>18</v>
      </c>
      <c r="E19" s="2" t="s">
        <v>96</v>
      </c>
      <c r="F19" s="2" t="s">
        <v>35</v>
      </c>
      <c r="G19" s="2" t="s">
        <v>36</v>
      </c>
      <c r="H19" s="2" t="s">
        <v>54</v>
      </c>
      <c r="I19" s="2" t="s">
        <v>55</v>
      </c>
      <c r="J19" s="3">
        <v>3</v>
      </c>
      <c r="K19" s="2" t="s">
        <v>24</v>
      </c>
      <c r="L19" s="3">
        <v>3</v>
      </c>
      <c r="M19" s="11">
        <v>840000</v>
      </c>
      <c r="N19" s="3">
        <v>0</v>
      </c>
      <c r="O19" s="2" t="s">
        <v>25</v>
      </c>
      <c r="P19" s="2" t="s">
        <v>26</v>
      </c>
      <c r="Q19" s="2" t="s">
        <v>34</v>
      </c>
    </row>
    <row r="20" spans="1:17" x14ac:dyDescent="0.25">
      <c r="A20" s="1">
        <v>46170</v>
      </c>
      <c r="B20" s="1">
        <v>46168</v>
      </c>
      <c r="C20" s="2" t="s">
        <v>97</v>
      </c>
      <c r="D20" s="2" t="s">
        <v>18</v>
      </c>
      <c r="E20" s="2" t="s">
        <v>98</v>
      </c>
      <c r="F20" s="2" t="s">
        <v>35</v>
      </c>
      <c r="G20" s="2" t="s">
        <v>99</v>
      </c>
      <c r="H20" s="2" t="s">
        <v>100</v>
      </c>
      <c r="I20" s="2" t="s">
        <v>101</v>
      </c>
      <c r="J20" s="3">
        <v>12</v>
      </c>
      <c r="K20" s="2" t="s">
        <v>37</v>
      </c>
      <c r="L20" s="3">
        <v>12</v>
      </c>
      <c r="M20" s="11">
        <v>559440</v>
      </c>
      <c r="N20" s="3">
        <v>0</v>
      </c>
      <c r="O20" s="2" t="s">
        <v>25</v>
      </c>
      <c r="P20" s="2" t="s">
        <v>26</v>
      </c>
      <c r="Q20" s="2" t="s">
        <v>34</v>
      </c>
    </row>
    <row r="21" spans="1:17" x14ac:dyDescent="0.25">
      <c r="A21" s="1">
        <v>46170</v>
      </c>
      <c r="B21" s="1">
        <v>46168</v>
      </c>
      <c r="C21" s="2" t="s">
        <v>102</v>
      </c>
      <c r="D21" s="2" t="s">
        <v>18</v>
      </c>
      <c r="E21" s="2" t="s">
        <v>103</v>
      </c>
      <c r="F21" s="2" t="s">
        <v>35</v>
      </c>
      <c r="G21" s="2" t="s">
        <v>36</v>
      </c>
      <c r="H21" s="2" t="s">
        <v>71</v>
      </c>
      <c r="I21" s="2" t="s">
        <v>72</v>
      </c>
      <c r="J21" s="3">
        <v>40</v>
      </c>
      <c r="K21" s="2" t="s">
        <v>33</v>
      </c>
      <c r="L21" s="3">
        <v>40</v>
      </c>
      <c r="M21" s="11">
        <v>621600</v>
      </c>
      <c r="N21" s="3">
        <v>0</v>
      </c>
      <c r="O21" s="2" t="s">
        <v>25</v>
      </c>
      <c r="P21" s="2" t="s">
        <v>26</v>
      </c>
      <c r="Q21" s="2" t="s">
        <v>34</v>
      </c>
    </row>
    <row r="22" spans="1:17" x14ac:dyDescent="0.25">
      <c r="A22" s="1">
        <v>46170</v>
      </c>
      <c r="B22" s="1">
        <v>46168</v>
      </c>
      <c r="C22" s="2" t="s">
        <v>104</v>
      </c>
      <c r="D22" s="2" t="s">
        <v>18</v>
      </c>
      <c r="E22" s="2" t="s">
        <v>105</v>
      </c>
      <c r="F22" s="2" t="s">
        <v>20</v>
      </c>
      <c r="G22" s="2" t="s">
        <v>21</v>
      </c>
      <c r="H22" s="2" t="s">
        <v>106</v>
      </c>
      <c r="I22" s="2" t="s">
        <v>107</v>
      </c>
      <c r="J22" s="3">
        <v>1</v>
      </c>
      <c r="K22" s="2" t="s">
        <v>24</v>
      </c>
      <c r="L22" s="3">
        <v>1</v>
      </c>
      <c r="M22" s="11">
        <v>300000</v>
      </c>
      <c r="N22" s="3">
        <v>0</v>
      </c>
      <c r="O22" s="2" t="s">
        <v>25</v>
      </c>
      <c r="P22" s="2" t="s">
        <v>26</v>
      </c>
      <c r="Q22" s="2" t="s">
        <v>34</v>
      </c>
    </row>
    <row r="23" spans="1:17" x14ac:dyDescent="0.25">
      <c r="A23" s="1">
        <v>46170</v>
      </c>
      <c r="B23" s="1">
        <v>46168</v>
      </c>
      <c r="C23" s="2" t="s">
        <v>108</v>
      </c>
      <c r="D23" s="2" t="s">
        <v>18</v>
      </c>
      <c r="E23" s="2" t="s">
        <v>109</v>
      </c>
      <c r="F23" s="2" t="s">
        <v>20</v>
      </c>
      <c r="G23" s="2" t="s">
        <v>81</v>
      </c>
      <c r="H23" s="2" t="s">
        <v>110</v>
      </c>
      <c r="I23" s="2" t="s">
        <v>111</v>
      </c>
      <c r="J23" s="3">
        <v>10</v>
      </c>
      <c r="K23" s="2" t="s">
        <v>33</v>
      </c>
      <c r="L23" s="3">
        <v>10</v>
      </c>
      <c r="M23" s="11">
        <v>160950</v>
      </c>
      <c r="N23" s="3">
        <v>0</v>
      </c>
      <c r="O23" s="2" t="s">
        <v>25</v>
      </c>
      <c r="P23" s="2" t="s">
        <v>26</v>
      </c>
      <c r="Q23" s="2" t="s">
        <v>112</v>
      </c>
    </row>
    <row r="24" spans="1:17" x14ac:dyDescent="0.25">
      <c r="A24" s="1">
        <v>46170</v>
      </c>
      <c r="B24" s="1">
        <v>46168</v>
      </c>
      <c r="C24" s="2" t="s">
        <v>108</v>
      </c>
      <c r="D24" s="2" t="s">
        <v>18</v>
      </c>
      <c r="E24" s="2" t="s">
        <v>109</v>
      </c>
      <c r="F24" s="2" t="s">
        <v>20</v>
      </c>
      <c r="G24" s="2" t="s">
        <v>81</v>
      </c>
      <c r="H24" s="2" t="s">
        <v>71</v>
      </c>
      <c r="I24" s="2" t="s">
        <v>72</v>
      </c>
      <c r="J24" s="3">
        <v>10</v>
      </c>
      <c r="K24" s="2" t="s">
        <v>33</v>
      </c>
      <c r="L24" s="3">
        <v>10</v>
      </c>
      <c r="M24" s="11">
        <v>155400</v>
      </c>
      <c r="N24" s="3">
        <v>0</v>
      </c>
      <c r="O24" s="2" t="s">
        <v>25</v>
      </c>
      <c r="P24" s="2" t="s">
        <v>26</v>
      </c>
      <c r="Q24" s="2" t="s">
        <v>112</v>
      </c>
    </row>
    <row r="25" spans="1:17" x14ac:dyDescent="0.25">
      <c r="A25" s="1">
        <v>46170</v>
      </c>
      <c r="B25" s="1">
        <v>46168</v>
      </c>
      <c r="C25" s="2" t="s">
        <v>113</v>
      </c>
      <c r="D25" s="2" t="s">
        <v>18</v>
      </c>
      <c r="E25" s="2" t="s">
        <v>114</v>
      </c>
      <c r="F25" s="2" t="s">
        <v>20</v>
      </c>
      <c r="G25" s="2" t="s">
        <v>30</v>
      </c>
      <c r="H25" s="2" t="s">
        <v>31</v>
      </c>
      <c r="I25" s="2" t="s">
        <v>32</v>
      </c>
      <c r="J25" s="3">
        <v>100</v>
      </c>
      <c r="K25" s="2" t="s">
        <v>33</v>
      </c>
      <c r="L25" s="3">
        <v>100</v>
      </c>
      <c r="M25" s="11">
        <v>1599999.51</v>
      </c>
      <c r="N25" s="3">
        <v>0</v>
      </c>
      <c r="O25" s="2" t="s">
        <v>25</v>
      </c>
      <c r="P25" s="2" t="s">
        <v>26</v>
      </c>
      <c r="Q25" s="2" t="s">
        <v>34</v>
      </c>
    </row>
    <row r="26" spans="1:17" x14ac:dyDescent="0.25">
      <c r="A26" s="1">
        <v>46170</v>
      </c>
      <c r="B26" s="1">
        <v>46168</v>
      </c>
      <c r="C26" s="2" t="s">
        <v>120</v>
      </c>
      <c r="D26" s="2" t="s">
        <v>18</v>
      </c>
      <c r="E26" s="2" t="s">
        <v>121</v>
      </c>
      <c r="F26" s="2" t="s">
        <v>20</v>
      </c>
      <c r="G26" s="2" t="s">
        <v>47</v>
      </c>
      <c r="H26" s="2" t="s">
        <v>122</v>
      </c>
      <c r="I26" s="2" t="s">
        <v>123</v>
      </c>
      <c r="J26" s="3">
        <v>12</v>
      </c>
      <c r="K26" s="2" t="s">
        <v>87</v>
      </c>
      <c r="L26" s="3">
        <v>12</v>
      </c>
      <c r="M26" s="11">
        <v>506160</v>
      </c>
      <c r="N26" s="3">
        <v>0</v>
      </c>
      <c r="O26" s="2" t="s">
        <v>25</v>
      </c>
      <c r="P26" s="2" t="s">
        <v>26</v>
      </c>
      <c r="Q26" s="2" t="s">
        <v>34</v>
      </c>
    </row>
    <row r="27" spans="1:17" x14ac:dyDescent="0.25">
      <c r="A27" s="1">
        <v>46170</v>
      </c>
      <c r="B27" s="1">
        <v>46168</v>
      </c>
      <c r="C27" s="2" t="s">
        <v>120</v>
      </c>
      <c r="D27" s="2" t="s">
        <v>18</v>
      </c>
      <c r="E27" s="2" t="s">
        <v>121</v>
      </c>
      <c r="F27" s="2" t="s">
        <v>20</v>
      </c>
      <c r="G27" s="2" t="s">
        <v>47</v>
      </c>
      <c r="H27" s="2" t="s">
        <v>100</v>
      </c>
      <c r="I27" s="2" t="s">
        <v>101</v>
      </c>
      <c r="J27" s="3">
        <v>12</v>
      </c>
      <c r="K27" s="2" t="s">
        <v>37</v>
      </c>
      <c r="L27" s="3">
        <v>12</v>
      </c>
      <c r="M27" s="11">
        <v>559440</v>
      </c>
      <c r="N27" s="3">
        <v>0</v>
      </c>
      <c r="O27" s="2" t="s">
        <v>25</v>
      </c>
      <c r="P27" s="2" t="s">
        <v>26</v>
      </c>
      <c r="Q27" s="2" t="s">
        <v>34</v>
      </c>
    </row>
    <row r="28" spans="1:17" x14ac:dyDescent="0.25">
      <c r="A28" s="1">
        <v>46170</v>
      </c>
      <c r="B28" s="1">
        <v>46168</v>
      </c>
      <c r="C28" s="2" t="s">
        <v>124</v>
      </c>
      <c r="D28" s="2" t="s">
        <v>18</v>
      </c>
      <c r="E28" s="2" t="s">
        <v>125</v>
      </c>
      <c r="F28" s="2" t="s">
        <v>20</v>
      </c>
      <c r="G28" s="2" t="s">
        <v>76</v>
      </c>
      <c r="H28" s="2" t="s">
        <v>100</v>
      </c>
      <c r="I28" s="2" t="s">
        <v>101</v>
      </c>
      <c r="J28" s="3">
        <v>8</v>
      </c>
      <c r="K28" s="2" t="s">
        <v>37</v>
      </c>
      <c r="L28" s="3">
        <v>8</v>
      </c>
      <c r="M28" s="11">
        <v>372960</v>
      </c>
      <c r="N28" s="3">
        <v>0</v>
      </c>
      <c r="O28" s="2" t="s">
        <v>25</v>
      </c>
      <c r="P28" s="2" t="s">
        <v>26</v>
      </c>
      <c r="Q28" s="2" t="s">
        <v>126</v>
      </c>
    </row>
    <row r="29" spans="1:17" x14ac:dyDescent="0.25">
      <c r="A29" s="1">
        <v>46170</v>
      </c>
      <c r="B29" s="1">
        <v>46168</v>
      </c>
      <c r="C29" s="2" t="s">
        <v>127</v>
      </c>
      <c r="D29" s="2" t="s">
        <v>18</v>
      </c>
      <c r="E29" s="2" t="s">
        <v>128</v>
      </c>
      <c r="F29" s="2" t="s">
        <v>20</v>
      </c>
      <c r="G29" s="2" t="s">
        <v>129</v>
      </c>
      <c r="H29" s="2" t="s">
        <v>130</v>
      </c>
      <c r="I29" s="2" t="s">
        <v>131</v>
      </c>
      <c r="J29" s="3">
        <v>10</v>
      </c>
      <c r="K29" s="2" t="s">
        <v>87</v>
      </c>
      <c r="L29" s="3">
        <v>10</v>
      </c>
      <c r="M29" s="11">
        <v>694169.99</v>
      </c>
      <c r="N29" s="3">
        <v>0</v>
      </c>
      <c r="O29" s="2" t="s">
        <v>25</v>
      </c>
      <c r="P29" s="2" t="s">
        <v>26</v>
      </c>
      <c r="Q29" s="2" t="s">
        <v>34</v>
      </c>
    </row>
    <row r="30" spans="1:17" x14ac:dyDescent="0.25">
      <c r="A30" s="1">
        <v>46170</v>
      </c>
      <c r="B30" s="1">
        <v>46168</v>
      </c>
      <c r="C30" s="2" t="s">
        <v>127</v>
      </c>
      <c r="D30" s="2" t="s">
        <v>18</v>
      </c>
      <c r="E30" s="2" t="s">
        <v>128</v>
      </c>
      <c r="F30" s="2" t="s">
        <v>20</v>
      </c>
      <c r="G30" s="2" t="s">
        <v>129</v>
      </c>
      <c r="H30" s="2" t="s">
        <v>118</v>
      </c>
      <c r="I30" s="2" t="s">
        <v>119</v>
      </c>
      <c r="J30" s="3">
        <v>12</v>
      </c>
      <c r="K30" s="2" t="s">
        <v>87</v>
      </c>
      <c r="L30" s="3">
        <v>12</v>
      </c>
      <c r="M30" s="11">
        <v>648000</v>
      </c>
      <c r="N30" s="3">
        <v>0</v>
      </c>
      <c r="O30" s="2" t="s">
        <v>25</v>
      </c>
      <c r="P30" s="2" t="s">
        <v>26</v>
      </c>
      <c r="Q30" s="2" t="s">
        <v>34</v>
      </c>
    </row>
    <row r="31" spans="1:17" x14ac:dyDescent="0.25">
      <c r="A31" s="1">
        <v>46170</v>
      </c>
      <c r="B31" s="1">
        <v>46168</v>
      </c>
      <c r="C31" s="2" t="s">
        <v>132</v>
      </c>
      <c r="D31" s="2" t="s">
        <v>18</v>
      </c>
      <c r="E31" s="2" t="s">
        <v>133</v>
      </c>
      <c r="F31" s="2" t="s">
        <v>35</v>
      </c>
      <c r="G31" s="2" t="s">
        <v>115</v>
      </c>
      <c r="H31" s="2" t="s">
        <v>134</v>
      </c>
      <c r="I31" s="2" t="s">
        <v>135</v>
      </c>
      <c r="J31" s="3">
        <v>10</v>
      </c>
      <c r="K31" s="2" t="s">
        <v>136</v>
      </c>
      <c r="L31" s="3">
        <v>10</v>
      </c>
      <c r="M31" s="11">
        <v>760350</v>
      </c>
      <c r="N31" s="3">
        <v>0</v>
      </c>
      <c r="O31" s="2" t="s">
        <v>25</v>
      </c>
      <c r="P31" s="2" t="s">
        <v>26</v>
      </c>
      <c r="Q31" s="2" t="s">
        <v>34</v>
      </c>
    </row>
    <row r="32" spans="1:17" x14ac:dyDescent="0.25">
      <c r="A32" s="1">
        <v>46170</v>
      </c>
      <c r="B32" s="1">
        <v>46168</v>
      </c>
      <c r="C32" s="2" t="s">
        <v>137</v>
      </c>
      <c r="D32" s="2" t="s">
        <v>18</v>
      </c>
      <c r="E32" s="2" t="s">
        <v>138</v>
      </c>
      <c r="F32" s="2" t="s">
        <v>35</v>
      </c>
      <c r="G32" s="2" t="s">
        <v>129</v>
      </c>
      <c r="H32" s="2" t="s">
        <v>130</v>
      </c>
      <c r="I32" s="2" t="s">
        <v>131</v>
      </c>
      <c r="J32" s="3">
        <v>100</v>
      </c>
      <c r="K32" s="2" t="s">
        <v>87</v>
      </c>
      <c r="L32" s="3">
        <v>100</v>
      </c>
      <c r="M32" s="11">
        <v>6941700</v>
      </c>
      <c r="N32" s="3">
        <v>0</v>
      </c>
      <c r="O32" s="2" t="s">
        <v>25</v>
      </c>
      <c r="P32" s="2" t="s">
        <v>26</v>
      </c>
      <c r="Q32" s="2" t="s">
        <v>34</v>
      </c>
    </row>
    <row r="33" spans="1:17" x14ac:dyDescent="0.25">
      <c r="A33" s="1">
        <v>46170</v>
      </c>
      <c r="B33" s="1">
        <v>46168</v>
      </c>
      <c r="C33" s="2" t="s">
        <v>139</v>
      </c>
      <c r="D33" s="2" t="s">
        <v>18</v>
      </c>
      <c r="E33" s="2" t="s">
        <v>140</v>
      </c>
      <c r="F33" s="2" t="s">
        <v>35</v>
      </c>
      <c r="G33" s="2" t="s">
        <v>36</v>
      </c>
      <c r="H33" s="2" t="s">
        <v>141</v>
      </c>
      <c r="I33" s="2" t="s">
        <v>142</v>
      </c>
      <c r="J33" s="3">
        <v>20</v>
      </c>
      <c r="K33" s="2" t="s">
        <v>33</v>
      </c>
      <c r="L33" s="3">
        <v>20</v>
      </c>
      <c r="M33" s="11">
        <v>725940</v>
      </c>
      <c r="N33" s="3">
        <v>0</v>
      </c>
      <c r="O33" s="2" t="s">
        <v>25</v>
      </c>
      <c r="P33" s="2" t="s">
        <v>26</v>
      </c>
      <c r="Q33" s="2" t="s">
        <v>34</v>
      </c>
    </row>
    <row r="34" spans="1:17" x14ac:dyDescent="0.25">
      <c r="A34" s="1">
        <v>46170</v>
      </c>
      <c r="B34" s="1">
        <v>46168</v>
      </c>
      <c r="C34" s="2" t="s">
        <v>143</v>
      </c>
      <c r="D34" s="2" t="s">
        <v>18</v>
      </c>
      <c r="E34" s="2" t="s">
        <v>144</v>
      </c>
      <c r="F34" s="2" t="s">
        <v>35</v>
      </c>
      <c r="G34" s="2" t="s">
        <v>145</v>
      </c>
      <c r="H34" s="2" t="s">
        <v>146</v>
      </c>
      <c r="I34" s="2" t="s">
        <v>147</v>
      </c>
      <c r="J34" s="3">
        <v>12</v>
      </c>
      <c r="K34" s="2" t="s">
        <v>87</v>
      </c>
      <c r="L34" s="3">
        <v>12</v>
      </c>
      <c r="M34" s="11">
        <v>770400.03</v>
      </c>
      <c r="N34" s="3">
        <v>0</v>
      </c>
      <c r="O34" s="2" t="s">
        <v>25</v>
      </c>
      <c r="P34" s="2" t="s">
        <v>26</v>
      </c>
      <c r="Q34" s="2" t="s">
        <v>34</v>
      </c>
    </row>
    <row r="35" spans="1:17" x14ac:dyDescent="0.25">
      <c r="A35" s="1">
        <v>46170</v>
      </c>
      <c r="B35" s="1">
        <v>46168</v>
      </c>
      <c r="C35" s="2" t="s">
        <v>148</v>
      </c>
      <c r="D35" s="2" t="s">
        <v>18</v>
      </c>
      <c r="E35" s="2" t="s">
        <v>149</v>
      </c>
      <c r="F35" s="2" t="s">
        <v>35</v>
      </c>
      <c r="G35" s="2" t="s">
        <v>99</v>
      </c>
      <c r="H35" s="2" t="s">
        <v>31</v>
      </c>
      <c r="I35" s="2" t="s">
        <v>32</v>
      </c>
      <c r="J35" s="3">
        <v>20</v>
      </c>
      <c r="K35" s="2" t="s">
        <v>33</v>
      </c>
      <c r="L35" s="3">
        <v>20</v>
      </c>
      <c r="M35" s="11">
        <v>365500.8</v>
      </c>
      <c r="N35" s="3">
        <v>0</v>
      </c>
      <c r="O35" s="2" t="s">
        <v>25</v>
      </c>
      <c r="P35" s="2" t="s">
        <v>26</v>
      </c>
      <c r="Q35" s="2" t="s">
        <v>34</v>
      </c>
    </row>
    <row r="36" spans="1:17" x14ac:dyDescent="0.25">
      <c r="A36" s="1">
        <v>46170</v>
      </c>
      <c r="B36" s="1">
        <v>46168</v>
      </c>
      <c r="C36" s="2" t="s">
        <v>150</v>
      </c>
      <c r="D36" s="2" t="s">
        <v>18</v>
      </c>
      <c r="E36" s="2" t="s">
        <v>151</v>
      </c>
      <c r="F36" s="2" t="s">
        <v>20</v>
      </c>
      <c r="G36" s="2" t="s">
        <v>648</v>
      </c>
      <c r="H36" s="2" t="s">
        <v>130</v>
      </c>
      <c r="I36" s="2" t="s">
        <v>131</v>
      </c>
      <c r="J36" s="3">
        <v>4800</v>
      </c>
      <c r="K36" s="2" t="s">
        <v>87</v>
      </c>
      <c r="L36" s="3">
        <v>4800</v>
      </c>
      <c r="M36" s="11">
        <v>333201595.54000002</v>
      </c>
      <c r="N36" s="3">
        <v>0</v>
      </c>
      <c r="O36" s="2" t="s">
        <v>25</v>
      </c>
      <c r="P36" s="2" t="s">
        <v>26</v>
      </c>
      <c r="Q36" s="2" t="s">
        <v>34</v>
      </c>
    </row>
    <row r="37" spans="1:17" x14ac:dyDescent="0.25">
      <c r="A37" s="1">
        <v>46170</v>
      </c>
      <c r="B37" s="1">
        <v>46168</v>
      </c>
      <c r="C37" s="2" t="s">
        <v>152</v>
      </c>
      <c r="D37" s="2" t="s">
        <v>18</v>
      </c>
      <c r="E37" s="2" t="s">
        <v>67</v>
      </c>
      <c r="F37" s="2" t="s">
        <v>35</v>
      </c>
      <c r="G37" s="2" t="s">
        <v>62</v>
      </c>
      <c r="H37" s="2" t="s">
        <v>153</v>
      </c>
      <c r="I37" s="2" t="s">
        <v>154</v>
      </c>
      <c r="J37" s="3">
        <v>8</v>
      </c>
      <c r="K37" s="2" t="s">
        <v>33</v>
      </c>
      <c r="L37" s="3">
        <v>7.75</v>
      </c>
      <c r="M37" s="11">
        <v>1240000</v>
      </c>
      <c r="N37" s="3">
        <v>-0.25</v>
      </c>
      <c r="O37" s="2" t="s">
        <v>25</v>
      </c>
      <c r="P37" s="2" t="s">
        <v>26</v>
      </c>
      <c r="Q37" s="2" t="s">
        <v>68</v>
      </c>
    </row>
    <row r="38" spans="1:17" x14ac:dyDescent="0.25">
      <c r="A38" s="1">
        <v>46170</v>
      </c>
      <c r="B38" s="1">
        <v>46168</v>
      </c>
      <c r="C38" s="2" t="s">
        <v>156</v>
      </c>
      <c r="D38" s="2" t="s">
        <v>18</v>
      </c>
      <c r="E38" s="2" t="s">
        <v>157</v>
      </c>
      <c r="F38" s="2" t="s">
        <v>20</v>
      </c>
      <c r="G38" s="2" t="s">
        <v>58</v>
      </c>
      <c r="H38" s="2" t="s">
        <v>158</v>
      </c>
      <c r="I38" s="2" t="s">
        <v>159</v>
      </c>
      <c r="J38" s="3">
        <v>12</v>
      </c>
      <c r="K38" s="2" t="s">
        <v>160</v>
      </c>
      <c r="L38" s="3">
        <v>8</v>
      </c>
      <c r="M38" s="11">
        <v>479520</v>
      </c>
      <c r="N38" s="3">
        <v>-4</v>
      </c>
      <c r="O38" s="2" t="s">
        <v>25</v>
      </c>
      <c r="P38" s="2" t="s">
        <v>26</v>
      </c>
      <c r="Q38" s="2" t="s">
        <v>34</v>
      </c>
    </row>
    <row r="39" spans="1:17" x14ac:dyDescent="0.25">
      <c r="A39" s="1">
        <v>46170</v>
      </c>
      <c r="B39" s="1">
        <v>46168</v>
      </c>
      <c r="C39" s="2" t="s">
        <v>162</v>
      </c>
      <c r="D39" s="2" t="s">
        <v>18</v>
      </c>
      <c r="E39" s="2" t="s">
        <v>163</v>
      </c>
      <c r="F39" s="2" t="s">
        <v>35</v>
      </c>
      <c r="G39" s="2" t="s">
        <v>21</v>
      </c>
      <c r="H39" s="2" t="s">
        <v>141</v>
      </c>
      <c r="I39" s="2" t="s">
        <v>142</v>
      </c>
      <c r="J39" s="3">
        <v>110</v>
      </c>
      <c r="K39" s="2" t="s">
        <v>33</v>
      </c>
      <c r="L39" s="3">
        <v>110</v>
      </c>
      <c r="M39" s="11">
        <v>3992670</v>
      </c>
      <c r="N39" s="3">
        <v>0</v>
      </c>
      <c r="O39" s="2" t="s">
        <v>25</v>
      </c>
      <c r="P39" s="2" t="s">
        <v>26</v>
      </c>
      <c r="Q39" s="2" t="s">
        <v>164</v>
      </c>
    </row>
    <row r="40" spans="1:17" x14ac:dyDescent="0.25">
      <c r="A40" s="1">
        <v>46170</v>
      </c>
      <c r="B40" s="1">
        <v>46168</v>
      </c>
      <c r="C40" s="2" t="s">
        <v>165</v>
      </c>
      <c r="D40" s="2" t="s">
        <v>18</v>
      </c>
      <c r="E40" s="2" t="s">
        <v>163</v>
      </c>
      <c r="F40" s="2" t="s">
        <v>35</v>
      </c>
      <c r="G40" s="2" t="s">
        <v>21</v>
      </c>
      <c r="H40" s="2" t="s">
        <v>141</v>
      </c>
      <c r="I40" s="2" t="s">
        <v>142</v>
      </c>
      <c r="J40" s="3">
        <v>160</v>
      </c>
      <c r="K40" s="2" t="s">
        <v>33</v>
      </c>
      <c r="L40" s="3">
        <v>160</v>
      </c>
      <c r="M40" s="11">
        <v>5807520</v>
      </c>
      <c r="N40" s="3">
        <v>0</v>
      </c>
      <c r="O40" s="2" t="s">
        <v>25</v>
      </c>
      <c r="P40" s="2" t="s">
        <v>26</v>
      </c>
      <c r="Q40" s="2" t="s">
        <v>166</v>
      </c>
    </row>
    <row r="41" spans="1:17" x14ac:dyDescent="0.25">
      <c r="A41" s="1">
        <v>46170</v>
      </c>
      <c r="B41" s="1">
        <v>46168</v>
      </c>
      <c r="C41" s="2" t="s">
        <v>167</v>
      </c>
      <c r="D41" s="2" t="s">
        <v>18</v>
      </c>
      <c r="E41" s="2" t="s">
        <v>168</v>
      </c>
      <c r="F41" s="2" t="s">
        <v>35</v>
      </c>
      <c r="G41" s="2" t="s">
        <v>53</v>
      </c>
      <c r="H41" s="2" t="s">
        <v>169</v>
      </c>
      <c r="I41" s="2" t="s">
        <v>170</v>
      </c>
      <c r="J41" s="3">
        <v>8</v>
      </c>
      <c r="K41" s="2" t="s">
        <v>33</v>
      </c>
      <c r="L41" s="3">
        <v>7.97</v>
      </c>
      <c r="M41" s="11">
        <v>956400</v>
      </c>
      <c r="N41" s="3">
        <v>-0.03</v>
      </c>
      <c r="O41" s="2" t="s">
        <v>25</v>
      </c>
      <c r="P41" s="2" t="s">
        <v>26</v>
      </c>
      <c r="Q41" s="2" t="s">
        <v>34</v>
      </c>
    </row>
    <row r="42" spans="1:17" x14ac:dyDescent="0.25">
      <c r="A42" s="1">
        <v>46170</v>
      </c>
      <c r="B42" s="1">
        <v>46168</v>
      </c>
      <c r="C42" s="2" t="s">
        <v>171</v>
      </c>
      <c r="D42" s="2" t="s">
        <v>18</v>
      </c>
      <c r="E42" s="2" t="s">
        <v>155</v>
      </c>
      <c r="F42" s="2" t="s">
        <v>35</v>
      </c>
      <c r="G42" s="2" t="s">
        <v>36</v>
      </c>
      <c r="H42" s="2" t="s">
        <v>172</v>
      </c>
      <c r="I42" s="2" t="s">
        <v>173</v>
      </c>
      <c r="J42" s="3">
        <v>10</v>
      </c>
      <c r="K42" s="2" t="s">
        <v>160</v>
      </c>
      <c r="L42" s="3">
        <v>5</v>
      </c>
      <c r="M42" s="11">
        <v>449999.99</v>
      </c>
      <c r="N42" s="3">
        <v>-5</v>
      </c>
      <c r="O42" s="2" t="s">
        <v>25</v>
      </c>
      <c r="P42" s="2" t="s">
        <v>26</v>
      </c>
      <c r="Q42" s="2" t="s">
        <v>34</v>
      </c>
    </row>
    <row r="43" spans="1:17" x14ac:dyDescent="0.25">
      <c r="A43" s="1">
        <v>46170</v>
      </c>
      <c r="B43" s="1">
        <v>46168</v>
      </c>
      <c r="C43" s="2" t="s">
        <v>174</v>
      </c>
      <c r="D43" s="2" t="s">
        <v>18</v>
      </c>
      <c r="E43" s="2" t="s">
        <v>175</v>
      </c>
      <c r="F43" s="2" t="s">
        <v>35</v>
      </c>
      <c r="G43" s="2" t="s">
        <v>36</v>
      </c>
      <c r="H43" s="2" t="s">
        <v>100</v>
      </c>
      <c r="I43" s="2" t="s">
        <v>101</v>
      </c>
      <c r="J43" s="3">
        <v>4</v>
      </c>
      <c r="K43" s="2" t="s">
        <v>37</v>
      </c>
      <c r="L43" s="3">
        <v>4</v>
      </c>
      <c r="M43" s="11">
        <v>186480</v>
      </c>
      <c r="N43" s="3">
        <v>0</v>
      </c>
      <c r="O43" s="2" t="s">
        <v>25</v>
      </c>
      <c r="P43" s="2" t="s">
        <v>26</v>
      </c>
      <c r="Q43" s="2" t="s">
        <v>34</v>
      </c>
    </row>
    <row r="44" spans="1:17" x14ac:dyDescent="0.25">
      <c r="A44" s="1">
        <v>46170</v>
      </c>
      <c r="B44" s="1">
        <v>46168</v>
      </c>
      <c r="C44" s="2" t="s">
        <v>176</v>
      </c>
      <c r="D44" s="2" t="s">
        <v>18</v>
      </c>
      <c r="E44" s="2" t="s">
        <v>177</v>
      </c>
      <c r="F44" s="2" t="s">
        <v>20</v>
      </c>
      <c r="G44" s="2" t="s">
        <v>76</v>
      </c>
      <c r="H44" s="2" t="s">
        <v>100</v>
      </c>
      <c r="I44" s="2" t="s">
        <v>101</v>
      </c>
      <c r="J44" s="3">
        <v>12</v>
      </c>
      <c r="K44" s="2" t="s">
        <v>37</v>
      </c>
      <c r="L44" s="3">
        <v>12</v>
      </c>
      <c r="M44" s="11">
        <v>559440</v>
      </c>
      <c r="N44" s="3">
        <v>0</v>
      </c>
      <c r="O44" s="2" t="s">
        <v>25</v>
      </c>
      <c r="P44" s="2" t="s">
        <v>26</v>
      </c>
      <c r="Q44" s="2" t="s">
        <v>34</v>
      </c>
    </row>
    <row r="45" spans="1:17" x14ac:dyDescent="0.25">
      <c r="A45" s="1">
        <v>46170</v>
      </c>
      <c r="B45" s="1">
        <v>46168</v>
      </c>
      <c r="C45" s="2" t="s">
        <v>178</v>
      </c>
      <c r="D45" s="2" t="s">
        <v>18</v>
      </c>
      <c r="E45" s="2" t="s">
        <v>179</v>
      </c>
      <c r="F45" s="2" t="s">
        <v>35</v>
      </c>
      <c r="G45" s="2" t="s">
        <v>115</v>
      </c>
      <c r="H45" s="2" t="s">
        <v>116</v>
      </c>
      <c r="I45" s="2" t="s">
        <v>117</v>
      </c>
      <c r="J45" s="3">
        <v>100</v>
      </c>
      <c r="K45" s="2" t="s">
        <v>87</v>
      </c>
      <c r="L45" s="3">
        <v>100</v>
      </c>
      <c r="M45" s="11">
        <v>6882000</v>
      </c>
      <c r="N45" s="3">
        <v>0</v>
      </c>
      <c r="O45" s="2" t="s">
        <v>25</v>
      </c>
      <c r="P45" s="2" t="s">
        <v>26</v>
      </c>
      <c r="Q45" s="2" t="s">
        <v>34</v>
      </c>
    </row>
    <row r="46" spans="1:17" x14ac:dyDescent="0.25">
      <c r="A46" s="1">
        <v>46170</v>
      </c>
      <c r="B46" s="1">
        <v>46168</v>
      </c>
      <c r="C46" s="2" t="s">
        <v>180</v>
      </c>
      <c r="D46" s="2" t="s">
        <v>18</v>
      </c>
      <c r="E46" s="2" t="s">
        <v>181</v>
      </c>
      <c r="F46" s="2" t="s">
        <v>35</v>
      </c>
      <c r="G46" s="2" t="s">
        <v>84</v>
      </c>
      <c r="H46" s="2" t="s">
        <v>54</v>
      </c>
      <c r="I46" s="2" t="s">
        <v>55</v>
      </c>
      <c r="J46" s="3">
        <v>10</v>
      </c>
      <c r="K46" s="2" t="s">
        <v>24</v>
      </c>
      <c r="L46" s="3">
        <v>10</v>
      </c>
      <c r="M46" s="11">
        <v>2749999.99</v>
      </c>
      <c r="N46" s="3">
        <v>0</v>
      </c>
      <c r="O46" s="2" t="s">
        <v>25</v>
      </c>
      <c r="P46" s="2" t="s">
        <v>26</v>
      </c>
      <c r="Q46" s="2" t="s">
        <v>34</v>
      </c>
    </row>
    <row r="47" spans="1:17" x14ac:dyDescent="0.25">
      <c r="A47" s="1">
        <v>46170</v>
      </c>
      <c r="B47" s="1">
        <v>46168</v>
      </c>
      <c r="C47" s="2" t="s">
        <v>180</v>
      </c>
      <c r="D47" s="2" t="s">
        <v>18</v>
      </c>
      <c r="E47" s="2" t="s">
        <v>181</v>
      </c>
      <c r="F47" s="2" t="s">
        <v>35</v>
      </c>
      <c r="G47" s="2" t="s">
        <v>84</v>
      </c>
      <c r="H47" s="2" t="s">
        <v>182</v>
      </c>
      <c r="I47" s="2" t="s">
        <v>183</v>
      </c>
      <c r="J47" s="3">
        <v>5</v>
      </c>
      <c r="K47" s="2" t="s">
        <v>24</v>
      </c>
      <c r="L47" s="3">
        <v>5</v>
      </c>
      <c r="M47" s="11">
        <v>2800000</v>
      </c>
      <c r="N47" s="3">
        <v>0</v>
      </c>
      <c r="O47" s="2" t="s">
        <v>25</v>
      </c>
      <c r="P47" s="2" t="s">
        <v>26</v>
      </c>
      <c r="Q47" s="2" t="s">
        <v>34</v>
      </c>
    </row>
    <row r="48" spans="1:17" x14ac:dyDescent="0.25">
      <c r="A48" s="1">
        <v>46170</v>
      </c>
      <c r="B48" s="1">
        <v>46168</v>
      </c>
      <c r="C48" s="2" t="s">
        <v>184</v>
      </c>
      <c r="D48" s="2" t="s">
        <v>18</v>
      </c>
      <c r="E48" s="2" t="s">
        <v>181</v>
      </c>
      <c r="F48" s="2" t="s">
        <v>35</v>
      </c>
      <c r="G48" s="2" t="s">
        <v>129</v>
      </c>
      <c r="H48" s="2" t="s">
        <v>185</v>
      </c>
      <c r="I48" s="2" t="s">
        <v>186</v>
      </c>
      <c r="J48" s="3">
        <v>8</v>
      </c>
      <c r="K48" s="2" t="s">
        <v>87</v>
      </c>
      <c r="L48" s="3">
        <v>8</v>
      </c>
      <c r="M48" s="11">
        <v>1065600</v>
      </c>
      <c r="N48" s="3">
        <v>0</v>
      </c>
      <c r="O48" s="2" t="s">
        <v>25</v>
      </c>
      <c r="P48" s="2" t="s">
        <v>26</v>
      </c>
      <c r="Q48" s="2" t="s">
        <v>34</v>
      </c>
    </row>
    <row r="49" spans="1:17" x14ac:dyDescent="0.25">
      <c r="A49" s="1">
        <v>46170</v>
      </c>
      <c r="B49" s="1">
        <v>46168</v>
      </c>
      <c r="C49" s="2" t="s">
        <v>187</v>
      </c>
      <c r="D49" s="2" t="s">
        <v>18</v>
      </c>
      <c r="E49" s="2" t="s">
        <v>181</v>
      </c>
      <c r="F49" s="2" t="s">
        <v>35</v>
      </c>
      <c r="G49" s="2" t="s">
        <v>84</v>
      </c>
      <c r="H49" s="2" t="s">
        <v>31</v>
      </c>
      <c r="I49" s="2" t="s">
        <v>32</v>
      </c>
      <c r="J49" s="3">
        <v>500</v>
      </c>
      <c r="K49" s="2" t="s">
        <v>33</v>
      </c>
      <c r="L49" s="3">
        <v>500</v>
      </c>
      <c r="M49" s="11">
        <v>7249998.2999999998</v>
      </c>
      <c r="N49" s="3">
        <v>0</v>
      </c>
      <c r="O49" s="2" t="s">
        <v>25</v>
      </c>
      <c r="P49" s="2" t="s">
        <v>26</v>
      </c>
      <c r="Q49" s="2" t="s">
        <v>188</v>
      </c>
    </row>
    <row r="50" spans="1:17" x14ac:dyDescent="0.25">
      <c r="A50" s="1">
        <v>46170</v>
      </c>
      <c r="B50" s="1">
        <v>46168</v>
      </c>
      <c r="C50" s="2" t="s">
        <v>189</v>
      </c>
      <c r="D50" s="2" t="s">
        <v>18</v>
      </c>
      <c r="E50" s="2" t="s">
        <v>181</v>
      </c>
      <c r="F50" s="2" t="s">
        <v>35</v>
      </c>
      <c r="G50" s="2" t="s">
        <v>84</v>
      </c>
      <c r="H50" s="2" t="s">
        <v>31</v>
      </c>
      <c r="I50" s="2" t="s">
        <v>32</v>
      </c>
      <c r="J50" s="3">
        <v>500</v>
      </c>
      <c r="K50" s="2" t="s">
        <v>33</v>
      </c>
      <c r="L50" s="3">
        <v>500</v>
      </c>
      <c r="M50" s="11">
        <v>7249998.2999999998</v>
      </c>
      <c r="N50" s="3">
        <v>0</v>
      </c>
      <c r="O50" s="2" t="s">
        <v>25</v>
      </c>
      <c r="P50" s="2" t="s">
        <v>26</v>
      </c>
      <c r="Q50" s="2" t="s">
        <v>190</v>
      </c>
    </row>
    <row r="51" spans="1:17" x14ac:dyDescent="0.25">
      <c r="A51" s="1">
        <v>46170</v>
      </c>
      <c r="B51" s="1">
        <v>46168</v>
      </c>
      <c r="C51" s="2" t="s">
        <v>191</v>
      </c>
      <c r="D51" s="2" t="s">
        <v>18</v>
      </c>
      <c r="E51" s="2" t="s">
        <v>181</v>
      </c>
      <c r="F51" s="2" t="s">
        <v>35</v>
      </c>
      <c r="G51" s="2" t="s">
        <v>84</v>
      </c>
      <c r="H51" s="2" t="s">
        <v>192</v>
      </c>
      <c r="I51" s="2" t="s">
        <v>193</v>
      </c>
      <c r="J51" s="3">
        <v>20</v>
      </c>
      <c r="K51" s="2" t="s">
        <v>33</v>
      </c>
      <c r="L51" s="3">
        <v>20</v>
      </c>
      <c r="M51" s="11">
        <v>719999.95</v>
      </c>
      <c r="N51" s="3">
        <v>0</v>
      </c>
      <c r="O51" s="2" t="s">
        <v>25</v>
      </c>
      <c r="P51" s="2" t="s">
        <v>26</v>
      </c>
      <c r="Q51" s="2" t="s">
        <v>34</v>
      </c>
    </row>
    <row r="52" spans="1:17" x14ac:dyDescent="0.25">
      <c r="A52" s="1">
        <v>46170</v>
      </c>
      <c r="B52" s="1">
        <v>46168</v>
      </c>
      <c r="C52" s="2" t="s">
        <v>191</v>
      </c>
      <c r="D52" s="2" t="s">
        <v>18</v>
      </c>
      <c r="E52" s="2" t="s">
        <v>181</v>
      </c>
      <c r="F52" s="2" t="s">
        <v>35</v>
      </c>
      <c r="G52" s="2" t="s">
        <v>84</v>
      </c>
      <c r="H52" s="2" t="s">
        <v>141</v>
      </c>
      <c r="I52" s="2" t="s">
        <v>142</v>
      </c>
      <c r="J52" s="3">
        <v>30</v>
      </c>
      <c r="K52" s="2" t="s">
        <v>33</v>
      </c>
      <c r="L52" s="3">
        <v>30</v>
      </c>
      <c r="M52" s="11">
        <v>1049999.95</v>
      </c>
      <c r="N52" s="3">
        <v>0</v>
      </c>
      <c r="O52" s="2" t="s">
        <v>25</v>
      </c>
      <c r="P52" s="2" t="s">
        <v>26</v>
      </c>
      <c r="Q52" s="2" t="s">
        <v>34</v>
      </c>
    </row>
    <row r="53" spans="1:17" x14ac:dyDescent="0.25">
      <c r="A53" s="1">
        <v>46170</v>
      </c>
      <c r="B53" s="1">
        <v>46168</v>
      </c>
      <c r="C53" s="2" t="s">
        <v>194</v>
      </c>
      <c r="D53" s="2" t="s">
        <v>18</v>
      </c>
      <c r="E53" s="2" t="s">
        <v>181</v>
      </c>
      <c r="F53" s="2" t="s">
        <v>35</v>
      </c>
      <c r="G53" s="2" t="s">
        <v>129</v>
      </c>
      <c r="H53" s="2" t="s">
        <v>195</v>
      </c>
      <c r="I53" s="2" t="s">
        <v>196</v>
      </c>
      <c r="J53" s="3">
        <v>12</v>
      </c>
      <c r="K53" s="2" t="s">
        <v>87</v>
      </c>
      <c r="L53" s="3">
        <v>12</v>
      </c>
      <c r="M53" s="11">
        <v>613200.05000000005</v>
      </c>
      <c r="N53" s="3">
        <v>0</v>
      </c>
      <c r="O53" s="2" t="s">
        <v>25</v>
      </c>
      <c r="P53" s="2" t="s">
        <v>26</v>
      </c>
      <c r="Q53" s="2" t="s">
        <v>34</v>
      </c>
    </row>
    <row r="54" spans="1:17" x14ac:dyDescent="0.25">
      <c r="A54" s="1">
        <v>46170</v>
      </c>
      <c r="B54" s="1">
        <v>46168</v>
      </c>
      <c r="C54" s="2" t="s">
        <v>194</v>
      </c>
      <c r="D54" s="2" t="s">
        <v>18</v>
      </c>
      <c r="E54" s="2" t="s">
        <v>181</v>
      </c>
      <c r="F54" s="2" t="s">
        <v>35</v>
      </c>
      <c r="G54" s="2" t="s">
        <v>129</v>
      </c>
      <c r="H54" s="2" t="s">
        <v>197</v>
      </c>
      <c r="I54" s="2" t="s">
        <v>198</v>
      </c>
      <c r="J54" s="3">
        <v>12</v>
      </c>
      <c r="K54" s="2" t="s">
        <v>87</v>
      </c>
      <c r="L54" s="3">
        <v>12</v>
      </c>
      <c r="M54" s="11">
        <v>649200.02</v>
      </c>
      <c r="N54" s="3">
        <v>0</v>
      </c>
      <c r="O54" s="2" t="s">
        <v>25</v>
      </c>
      <c r="P54" s="2" t="s">
        <v>26</v>
      </c>
      <c r="Q54" s="2" t="s">
        <v>34</v>
      </c>
    </row>
    <row r="55" spans="1:17" x14ac:dyDescent="0.25">
      <c r="A55" s="1">
        <v>46170</v>
      </c>
      <c r="B55" s="1">
        <v>46168</v>
      </c>
      <c r="C55" s="2" t="s">
        <v>194</v>
      </c>
      <c r="D55" s="2" t="s">
        <v>18</v>
      </c>
      <c r="E55" s="2" t="s">
        <v>181</v>
      </c>
      <c r="F55" s="2" t="s">
        <v>35</v>
      </c>
      <c r="G55" s="2" t="s">
        <v>129</v>
      </c>
      <c r="H55" s="2" t="s">
        <v>199</v>
      </c>
      <c r="I55" s="2" t="s">
        <v>200</v>
      </c>
      <c r="J55" s="3">
        <v>12</v>
      </c>
      <c r="K55" s="2" t="s">
        <v>87</v>
      </c>
      <c r="L55" s="3">
        <v>12</v>
      </c>
      <c r="M55" s="11">
        <v>523799.94</v>
      </c>
      <c r="N55" s="3">
        <v>0</v>
      </c>
      <c r="O55" s="2" t="s">
        <v>25</v>
      </c>
      <c r="P55" s="2" t="s">
        <v>26</v>
      </c>
      <c r="Q55" s="2" t="s">
        <v>34</v>
      </c>
    </row>
    <row r="56" spans="1:17" x14ac:dyDescent="0.25">
      <c r="A56" s="1">
        <v>46170</v>
      </c>
      <c r="B56" s="1">
        <v>46168</v>
      </c>
      <c r="C56" s="2" t="s">
        <v>201</v>
      </c>
      <c r="D56" s="2" t="s">
        <v>18</v>
      </c>
      <c r="E56" s="2" t="s">
        <v>202</v>
      </c>
      <c r="F56" s="2" t="s">
        <v>35</v>
      </c>
      <c r="G56" s="2" t="s">
        <v>53</v>
      </c>
      <c r="H56" s="2" t="s">
        <v>203</v>
      </c>
      <c r="I56" s="2" t="s">
        <v>204</v>
      </c>
      <c r="J56" s="3">
        <v>10</v>
      </c>
      <c r="K56" s="2" t="s">
        <v>33</v>
      </c>
      <c r="L56" s="3">
        <v>10</v>
      </c>
      <c r="M56" s="11">
        <v>300000.03000000003</v>
      </c>
      <c r="N56" s="3">
        <v>0</v>
      </c>
      <c r="O56" s="2" t="s">
        <v>25</v>
      </c>
      <c r="P56" s="2" t="s">
        <v>26</v>
      </c>
      <c r="Q56" s="2" t="s">
        <v>205</v>
      </c>
    </row>
    <row r="57" spans="1:17" x14ac:dyDescent="0.25">
      <c r="A57" s="1">
        <v>46170</v>
      </c>
      <c r="B57" s="1">
        <v>46168</v>
      </c>
      <c r="C57" s="2" t="s">
        <v>201</v>
      </c>
      <c r="D57" s="2" t="s">
        <v>18</v>
      </c>
      <c r="E57" s="2" t="s">
        <v>202</v>
      </c>
      <c r="F57" s="2" t="s">
        <v>35</v>
      </c>
      <c r="G57" s="2" t="s">
        <v>53</v>
      </c>
      <c r="H57" s="2" t="s">
        <v>54</v>
      </c>
      <c r="I57" s="2" t="s">
        <v>55</v>
      </c>
      <c r="J57" s="3">
        <v>1</v>
      </c>
      <c r="K57" s="2" t="s">
        <v>24</v>
      </c>
      <c r="L57" s="3">
        <v>1</v>
      </c>
      <c r="M57" s="11">
        <v>327450</v>
      </c>
      <c r="N57" s="3">
        <v>0</v>
      </c>
      <c r="O57" s="2" t="s">
        <v>25</v>
      </c>
      <c r="P57" s="2" t="s">
        <v>26</v>
      </c>
      <c r="Q57" s="2" t="s">
        <v>205</v>
      </c>
    </row>
    <row r="58" spans="1:17" x14ac:dyDescent="0.25">
      <c r="A58" s="1">
        <v>46170</v>
      </c>
      <c r="B58" s="1">
        <v>46168</v>
      </c>
      <c r="C58" s="2" t="s">
        <v>206</v>
      </c>
      <c r="D58" s="2" t="s">
        <v>18</v>
      </c>
      <c r="E58" s="2" t="s">
        <v>207</v>
      </c>
      <c r="F58" s="2" t="s">
        <v>35</v>
      </c>
      <c r="G58" s="2" t="s">
        <v>145</v>
      </c>
      <c r="H58" s="2" t="s">
        <v>146</v>
      </c>
      <c r="I58" s="2" t="s">
        <v>147</v>
      </c>
      <c r="J58" s="3">
        <v>5</v>
      </c>
      <c r="K58" s="2" t="s">
        <v>87</v>
      </c>
      <c r="L58" s="3">
        <v>5</v>
      </c>
      <c r="M58" s="11">
        <v>288900.01</v>
      </c>
      <c r="N58" s="3">
        <v>0</v>
      </c>
      <c r="O58" s="2" t="s">
        <v>25</v>
      </c>
      <c r="P58" s="2" t="s">
        <v>26</v>
      </c>
      <c r="Q58" s="2" t="s">
        <v>34</v>
      </c>
    </row>
    <row r="59" spans="1:17" x14ac:dyDescent="0.25">
      <c r="A59" s="1">
        <v>46170</v>
      </c>
      <c r="B59" s="1">
        <v>46168</v>
      </c>
      <c r="C59" s="2" t="s">
        <v>206</v>
      </c>
      <c r="D59" s="2" t="s">
        <v>18</v>
      </c>
      <c r="E59" s="2" t="s">
        <v>207</v>
      </c>
      <c r="F59" s="2" t="s">
        <v>35</v>
      </c>
      <c r="G59" s="2" t="s">
        <v>145</v>
      </c>
      <c r="H59" s="2" t="s">
        <v>208</v>
      </c>
      <c r="I59" s="2" t="s">
        <v>209</v>
      </c>
      <c r="J59" s="3">
        <v>3</v>
      </c>
      <c r="K59" s="2" t="s">
        <v>87</v>
      </c>
      <c r="L59" s="3">
        <v>3</v>
      </c>
      <c r="M59" s="11">
        <v>315000</v>
      </c>
      <c r="N59" s="3">
        <v>0</v>
      </c>
      <c r="O59" s="2" t="s">
        <v>25</v>
      </c>
      <c r="P59" s="2" t="s">
        <v>26</v>
      </c>
      <c r="Q59" s="2" t="s">
        <v>34</v>
      </c>
    </row>
    <row r="60" spans="1:17" x14ac:dyDescent="0.25">
      <c r="A60" s="1">
        <v>46170</v>
      </c>
      <c r="B60" s="1">
        <v>46168</v>
      </c>
      <c r="C60" s="2" t="s">
        <v>210</v>
      </c>
      <c r="D60" s="2" t="s">
        <v>18</v>
      </c>
      <c r="E60" s="2" t="s">
        <v>211</v>
      </c>
      <c r="F60" s="2" t="s">
        <v>35</v>
      </c>
      <c r="G60" s="2" t="s">
        <v>21</v>
      </c>
      <c r="H60" s="2" t="s">
        <v>31</v>
      </c>
      <c r="I60" s="2" t="s">
        <v>32</v>
      </c>
      <c r="J60" s="3">
        <v>36</v>
      </c>
      <c r="K60" s="2" t="s">
        <v>33</v>
      </c>
      <c r="L60" s="3">
        <v>36</v>
      </c>
      <c r="M60" s="11">
        <v>599400</v>
      </c>
      <c r="N60" s="3">
        <v>0</v>
      </c>
      <c r="O60" s="2" t="s">
        <v>25</v>
      </c>
      <c r="P60" s="2" t="s">
        <v>26</v>
      </c>
      <c r="Q60" s="2" t="s">
        <v>34</v>
      </c>
    </row>
    <row r="61" spans="1:17" x14ac:dyDescent="0.25">
      <c r="A61" s="1">
        <v>46170</v>
      </c>
      <c r="B61" s="1">
        <v>46168</v>
      </c>
      <c r="C61" s="2" t="s">
        <v>212</v>
      </c>
      <c r="D61" s="2" t="s">
        <v>18</v>
      </c>
      <c r="E61" s="2" t="s">
        <v>213</v>
      </c>
      <c r="F61" s="2" t="s">
        <v>35</v>
      </c>
      <c r="G61" s="2" t="s">
        <v>145</v>
      </c>
      <c r="H61" s="2" t="s">
        <v>118</v>
      </c>
      <c r="I61" s="2" t="s">
        <v>119</v>
      </c>
      <c r="J61" s="3">
        <v>48</v>
      </c>
      <c r="K61" s="2" t="s">
        <v>87</v>
      </c>
      <c r="L61" s="3">
        <v>48</v>
      </c>
      <c r="M61" s="11">
        <v>2850480</v>
      </c>
      <c r="N61" s="3">
        <v>0</v>
      </c>
      <c r="O61" s="2" t="s">
        <v>25</v>
      </c>
      <c r="P61" s="2" t="s">
        <v>26</v>
      </c>
      <c r="Q61" s="2" t="s">
        <v>34</v>
      </c>
    </row>
    <row r="62" spans="1:17" x14ac:dyDescent="0.25">
      <c r="A62" s="1">
        <v>46170</v>
      </c>
      <c r="B62" s="1">
        <v>46168</v>
      </c>
      <c r="C62" s="2" t="s">
        <v>214</v>
      </c>
      <c r="D62" s="2" t="s">
        <v>18</v>
      </c>
      <c r="E62" s="2" t="s">
        <v>215</v>
      </c>
      <c r="F62" s="2" t="s">
        <v>20</v>
      </c>
      <c r="G62" s="2" t="s">
        <v>47</v>
      </c>
      <c r="H62" s="2" t="s">
        <v>141</v>
      </c>
      <c r="I62" s="2" t="s">
        <v>142</v>
      </c>
      <c r="J62" s="3">
        <v>20</v>
      </c>
      <c r="K62" s="2" t="s">
        <v>33</v>
      </c>
      <c r="L62" s="3">
        <v>20</v>
      </c>
      <c r="M62" s="11">
        <v>725940</v>
      </c>
      <c r="N62" s="3">
        <v>0</v>
      </c>
      <c r="O62" s="2" t="s">
        <v>25</v>
      </c>
      <c r="P62" s="2" t="s">
        <v>26</v>
      </c>
      <c r="Q62" s="2" t="s">
        <v>34</v>
      </c>
    </row>
    <row r="63" spans="1:17" x14ac:dyDescent="0.25">
      <c r="A63" s="1">
        <v>46170</v>
      </c>
      <c r="B63" s="1">
        <v>46168</v>
      </c>
      <c r="C63" s="2" t="s">
        <v>218</v>
      </c>
      <c r="D63" s="2" t="s">
        <v>18</v>
      </c>
      <c r="E63" s="2" t="s">
        <v>219</v>
      </c>
      <c r="F63" s="2" t="s">
        <v>35</v>
      </c>
      <c r="G63" s="2" t="s">
        <v>99</v>
      </c>
      <c r="H63" s="2" t="s">
        <v>220</v>
      </c>
      <c r="I63" s="2" t="s">
        <v>221</v>
      </c>
      <c r="J63" s="3">
        <v>20</v>
      </c>
      <c r="K63" s="2" t="s">
        <v>33</v>
      </c>
      <c r="L63" s="3">
        <v>20</v>
      </c>
      <c r="M63" s="11">
        <v>384060</v>
      </c>
      <c r="N63" s="3">
        <v>0</v>
      </c>
      <c r="O63" s="2" t="s">
        <v>25</v>
      </c>
      <c r="P63" s="2" t="s">
        <v>26</v>
      </c>
      <c r="Q63" s="2" t="s">
        <v>34</v>
      </c>
    </row>
    <row r="64" spans="1:17" x14ac:dyDescent="0.25">
      <c r="A64" s="1">
        <v>46170</v>
      </c>
      <c r="B64" s="1">
        <v>46168</v>
      </c>
      <c r="C64" s="2" t="s">
        <v>222</v>
      </c>
      <c r="D64" s="2" t="s">
        <v>18</v>
      </c>
      <c r="E64" s="2" t="s">
        <v>223</v>
      </c>
      <c r="F64" s="2" t="s">
        <v>20</v>
      </c>
      <c r="G64" s="2" t="s">
        <v>30</v>
      </c>
      <c r="H64" s="2" t="s">
        <v>31</v>
      </c>
      <c r="I64" s="2" t="s">
        <v>32</v>
      </c>
      <c r="J64" s="3">
        <v>60</v>
      </c>
      <c r="K64" s="2" t="s">
        <v>33</v>
      </c>
      <c r="L64" s="3">
        <v>60</v>
      </c>
      <c r="M64" s="11">
        <v>929999.74</v>
      </c>
      <c r="N64" s="3">
        <v>0</v>
      </c>
      <c r="O64" s="2" t="s">
        <v>25</v>
      </c>
      <c r="P64" s="2" t="s">
        <v>26</v>
      </c>
      <c r="Q64" s="2" t="s">
        <v>34</v>
      </c>
    </row>
    <row r="65" spans="1:17" x14ac:dyDescent="0.25">
      <c r="A65" s="1">
        <v>46170</v>
      </c>
      <c r="B65" s="1">
        <v>46168</v>
      </c>
      <c r="C65" s="2" t="s">
        <v>224</v>
      </c>
      <c r="D65" s="2" t="s">
        <v>18</v>
      </c>
      <c r="E65" s="2" t="s">
        <v>225</v>
      </c>
      <c r="F65" s="2" t="s">
        <v>35</v>
      </c>
      <c r="G65" s="2" t="s">
        <v>30</v>
      </c>
      <c r="H65" s="2" t="s">
        <v>31</v>
      </c>
      <c r="I65" s="2" t="s">
        <v>32</v>
      </c>
      <c r="J65" s="3">
        <v>50</v>
      </c>
      <c r="K65" s="2" t="s">
        <v>33</v>
      </c>
      <c r="L65" s="3">
        <v>50</v>
      </c>
      <c r="M65" s="11">
        <v>764999.79</v>
      </c>
      <c r="N65" s="3">
        <v>0</v>
      </c>
      <c r="O65" s="2" t="s">
        <v>25</v>
      </c>
      <c r="P65" s="2" t="s">
        <v>26</v>
      </c>
      <c r="Q65" s="2" t="s">
        <v>34</v>
      </c>
    </row>
    <row r="66" spans="1:17" x14ac:dyDescent="0.25">
      <c r="A66" s="1">
        <v>46170</v>
      </c>
      <c r="B66" s="1">
        <v>46168</v>
      </c>
      <c r="C66" s="2" t="s">
        <v>226</v>
      </c>
      <c r="D66" s="2" t="s">
        <v>18</v>
      </c>
      <c r="E66" s="2" t="s">
        <v>227</v>
      </c>
      <c r="F66" s="2" t="s">
        <v>35</v>
      </c>
      <c r="G66" s="2" t="s">
        <v>99</v>
      </c>
      <c r="H66" s="2" t="s">
        <v>31</v>
      </c>
      <c r="I66" s="2" t="s">
        <v>32</v>
      </c>
      <c r="J66" s="3">
        <v>20</v>
      </c>
      <c r="K66" s="2" t="s">
        <v>33</v>
      </c>
      <c r="L66" s="3">
        <v>20</v>
      </c>
      <c r="M66" s="11">
        <v>372960</v>
      </c>
      <c r="N66" s="3">
        <v>0</v>
      </c>
      <c r="O66" s="2" t="s">
        <v>25</v>
      </c>
      <c r="P66" s="2" t="s">
        <v>26</v>
      </c>
      <c r="Q66" s="2" t="s">
        <v>34</v>
      </c>
    </row>
    <row r="67" spans="1:17" x14ac:dyDescent="0.25">
      <c r="A67" s="1">
        <v>46170</v>
      </c>
      <c r="B67" s="1">
        <v>46168</v>
      </c>
      <c r="C67" s="2" t="s">
        <v>228</v>
      </c>
      <c r="D67" s="2" t="s">
        <v>18</v>
      </c>
      <c r="E67" s="2" t="s">
        <v>229</v>
      </c>
      <c r="F67" s="2" t="s">
        <v>35</v>
      </c>
      <c r="G67" s="2" t="s">
        <v>84</v>
      </c>
      <c r="H67" s="2" t="s">
        <v>31</v>
      </c>
      <c r="I67" s="2" t="s">
        <v>32</v>
      </c>
      <c r="J67" s="3">
        <v>100</v>
      </c>
      <c r="K67" s="2" t="s">
        <v>33</v>
      </c>
      <c r="L67" s="3">
        <v>100</v>
      </c>
      <c r="M67" s="11">
        <v>1449999.66</v>
      </c>
      <c r="N67" s="3">
        <v>0</v>
      </c>
      <c r="O67" s="2" t="s">
        <v>25</v>
      </c>
      <c r="P67" s="2" t="s">
        <v>26</v>
      </c>
      <c r="Q67" s="2" t="s">
        <v>34</v>
      </c>
    </row>
    <row r="68" spans="1:17" x14ac:dyDescent="0.25">
      <c r="A68" s="1">
        <v>46170</v>
      </c>
      <c r="B68" s="1">
        <v>46168</v>
      </c>
      <c r="C68" s="2" t="s">
        <v>228</v>
      </c>
      <c r="D68" s="2" t="s">
        <v>18</v>
      </c>
      <c r="E68" s="2" t="s">
        <v>229</v>
      </c>
      <c r="F68" s="2" t="s">
        <v>35</v>
      </c>
      <c r="G68" s="2" t="s">
        <v>84</v>
      </c>
      <c r="H68" s="2" t="s">
        <v>54</v>
      </c>
      <c r="I68" s="2" t="s">
        <v>55</v>
      </c>
      <c r="J68" s="3">
        <v>15</v>
      </c>
      <c r="K68" s="2" t="s">
        <v>24</v>
      </c>
      <c r="L68" s="3">
        <v>15</v>
      </c>
      <c r="M68" s="11">
        <v>4200000.13</v>
      </c>
      <c r="N68" s="3">
        <v>0</v>
      </c>
      <c r="O68" s="2" t="s">
        <v>25</v>
      </c>
      <c r="P68" s="2" t="s">
        <v>26</v>
      </c>
      <c r="Q68" s="2" t="s">
        <v>34</v>
      </c>
    </row>
    <row r="69" spans="1:17" x14ac:dyDescent="0.25">
      <c r="A69" s="1">
        <v>46170</v>
      </c>
      <c r="B69" s="1">
        <v>46168</v>
      </c>
      <c r="C69" s="2" t="s">
        <v>230</v>
      </c>
      <c r="D69" s="2" t="s">
        <v>18</v>
      </c>
      <c r="E69" s="2" t="s">
        <v>231</v>
      </c>
      <c r="F69" s="2" t="s">
        <v>35</v>
      </c>
      <c r="G69" s="2" t="s">
        <v>99</v>
      </c>
      <c r="H69" s="2" t="s">
        <v>31</v>
      </c>
      <c r="I69" s="2" t="s">
        <v>32</v>
      </c>
      <c r="J69" s="3">
        <v>80</v>
      </c>
      <c r="K69" s="2" t="s">
        <v>33</v>
      </c>
      <c r="L69" s="3">
        <v>80</v>
      </c>
      <c r="M69" s="11">
        <v>1491840</v>
      </c>
      <c r="N69" s="3">
        <v>0</v>
      </c>
      <c r="O69" s="2" t="s">
        <v>25</v>
      </c>
      <c r="P69" s="2" t="s">
        <v>26</v>
      </c>
      <c r="Q69" s="2" t="s">
        <v>34</v>
      </c>
    </row>
    <row r="70" spans="1:17" x14ac:dyDescent="0.25">
      <c r="A70" s="1">
        <v>46170</v>
      </c>
      <c r="B70" s="1">
        <v>46168</v>
      </c>
      <c r="C70" s="2" t="s">
        <v>232</v>
      </c>
      <c r="D70" s="2" t="s">
        <v>18</v>
      </c>
      <c r="E70" s="2" t="s">
        <v>233</v>
      </c>
      <c r="F70" s="2" t="s">
        <v>35</v>
      </c>
      <c r="G70" s="2" t="s">
        <v>76</v>
      </c>
      <c r="H70" s="2" t="s">
        <v>22</v>
      </c>
      <c r="I70" s="2" t="s">
        <v>23</v>
      </c>
      <c r="J70" s="3">
        <v>17</v>
      </c>
      <c r="K70" s="2" t="s">
        <v>24</v>
      </c>
      <c r="L70" s="3">
        <v>10</v>
      </c>
      <c r="M70" s="11">
        <v>2300000</v>
      </c>
      <c r="N70" s="3">
        <v>-7</v>
      </c>
      <c r="O70" s="2" t="s">
        <v>25</v>
      </c>
      <c r="P70" s="2" t="s">
        <v>26</v>
      </c>
      <c r="Q70" s="2" t="s">
        <v>34</v>
      </c>
    </row>
    <row r="71" spans="1:17" x14ac:dyDescent="0.25">
      <c r="A71" s="1">
        <v>46170</v>
      </c>
      <c r="B71" s="1">
        <v>46168</v>
      </c>
      <c r="C71" s="2" t="s">
        <v>234</v>
      </c>
      <c r="D71" s="2" t="s">
        <v>18</v>
      </c>
      <c r="E71" s="2" t="s">
        <v>235</v>
      </c>
      <c r="F71" s="2" t="s">
        <v>35</v>
      </c>
      <c r="G71" s="2" t="s">
        <v>99</v>
      </c>
      <c r="H71" s="2" t="s">
        <v>31</v>
      </c>
      <c r="I71" s="2" t="s">
        <v>32</v>
      </c>
      <c r="J71" s="3">
        <v>20</v>
      </c>
      <c r="K71" s="2" t="s">
        <v>33</v>
      </c>
      <c r="L71" s="3">
        <v>20</v>
      </c>
      <c r="M71" s="11">
        <v>372960</v>
      </c>
      <c r="N71" s="3">
        <v>0</v>
      </c>
      <c r="O71" s="2" t="s">
        <v>25</v>
      </c>
      <c r="P71" s="2" t="s">
        <v>26</v>
      </c>
      <c r="Q71" s="2" t="s">
        <v>34</v>
      </c>
    </row>
    <row r="72" spans="1:17" x14ac:dyDescent="0.25">
      <c r="A72" s="1">
        <v>46170</v>
      </c>
      <c r="B72" s="1">
        <v>46168</v>
      </c>
      <c r="C72" s="2" t="s">
        <v>236</v>
      </c>
      <c r="D72" s="2" t="s">
        <v>18</v>
      </c>
      <c r="E72" s="2" t="s">
        <v>237</v>
      </c>
      <c r="F72" s="2" t="s">
        <v>20</v>
      </c>
      <c r="G72" s="2" t="s">
        <v>47</v>
      </c>
      <c r="H72" s="2" t="s">
        <v>54</v>
      </c>
      <c r="I72" s="2" t="s">
        <v>55</v>
      </c>
      <c r="J72" s="3">
        <v>1</v>
      </c>
      <c r="K72" s="2" t="s">
        <v>24</v>
      </c>
      <c r="L72" s="3">
        <v>1</v>
      </c>
      <c r="M72" s="11">
        <v>327450</v>
      </c>
      <c r="N72" s="3">
        <v>0</v>
      </c>
      <c r="O72" s="2" t="s">
        <v>25</v>
      </c>
      <c r="P72" s="2" t="s">
        <v>26</v>
      </c>
      <c r="Q72" s="2" t="s">
        <v>34</v>
      </c>
    </row>
    <row r="73" spans="1:17" x14ac:dyDescent="0.25">
      <c r="A73" s="1">
        <v>46170</v>
      </c>
      <c r="B73" s="1">
        <v>46168</v>
      </c>
      <c r="C73" s="2" t="s">
        <v>236</v>
      </c>
      <c r="D73" s="2" t="s">
        <v>18</v>
      </c>
      <c r="E73" s="2" t="s">
        <v>237</v>
      </c>
      <c r="F73" s="2" t="s">
        <v>20</v>
      </c>
      <c r="G73" s="2" t="s">
        <v>47</v>
      </c>
      <c r="H73" s="2" t="s">
        <v>106</v>
      </c>
      <c r="I73" s="2" t="s">
        <v>107</v>
      </c>
      <c r="J73" s="3">
        <v>1</v>
      </c>
      <c r="K73" s="2" t="s">
        <v>24</v>
      </c>
      <c r="L73" s="3">
        <v>1</v>
      </c>
      <c r="M73" s="11">
        <v>355200</v>
      </c>
      <c r="N73" s="3">
        <v>0</v>
      </c>
      <c r="O73" s="2" t="s">
        <v>25</v>
      </c>
      <c r="P73" s="2" t="s">
        <v>26</v>
      </c>
      <c r="Q73" s="2" t="s">
        <v>34</v>
      </c>
    </row>
    <row r="74" spans="1:17" x14ac:dyDescent="0.25">
      <c r="A74" s="1">
        <v>46170</v>
      </c>
      <c r="B74" s="1">
        <v>46168</v>
      </c>
      <c r="C74" s="2" t="s">
        <v>238</v>
      </c>
      <c r="D74" s="2" t="s">
        <v>18</v>
      </c>
      <c r="E74" s="2" t="s">
        <v>239</v>
      </c>
      <c r="F74" s="2" t="s">
        <v>35</v>
      </c>
      <c r="G74" s="2" t="s">
        <v>62</v>
      </c>
      <c r="H74" s="2" t="s">
        <v>54</v>
      </c>
      <c r="I74" s="2" t="s">
        <v>55</v>
      </c>
      <c r="J74" s="3">
        <v>10</v>
      </c>
      <c r="K74" s="2" t="s">
        <v>24</v>
      </c>
      <c r="L74" s="3">
        <v>10</v>
      </c>
      <c r="M74" s="11">
        <v>2849999.99</v>
      </c>
      <c r="N74" s="3">
        <v>0</v>
      </c>
      <c r="O74" s="2" t="s">
        <v>25</v>
      </c>
      <c r="P74" s="2" t="s">
        <v>26</v>
      </c>
      <c r="Q74" s="2" t="s">
        <v>34</v>
      </c>
    </row>
    <row r="75" spans="1:17" x14ac:dyDescent="0.25">
      <c r="A75" s="1">
        <v>46170</v>
      </c>
      <c r="B75" s="1">
        <v>46168</v>
      </c>
      <c r="C75" s="2" t="s">
        <v>240</v>
      </c>
      <c r="D75" s="2" t="s">
        <v>18</v>
      </c>
      <c r="E75" s="2" t="s">
        <v>241</v>
      </c>
      <c r="F75" s="2" t="s">
        <v>35</v>
      </c>
      <c r="G75" s="2" t="s">
        <v>99</v>
      </c>
      <c r="H75" s="2" t="s">
        <v>31</v>
      </c>
      <c r="I75" s="2" t="s">
        <v>32</v>
      </c>
      <c r="J75" s="3">
        <v>60</v>
      </c>
      <c r="K75" s="2" t="s">
        <v>33</v>
      </c>
      <c r="L75" s="3">
        <v>60</v>
      </c>
      <c r="M75" s="11">
        <v>1118880</v>
      </c>
      <c r="N75" s="3">
        <v>0</v>
      </c>
      <c r="O75" s="2" t="s">
        <v>25</v>
      </c>
      <c r="P75" s="2" t="s">
        <v>26</v>
      </c>
      <c r="Q75" s="2" t="s">
        <v>34</v>
      </c>
    </row>
    <row r="76" spans="1:17" x14ac:dyDescent="0.25">
      <c r="A76" s="1">
        <v>46170</v>
      </c>
      <c r="B76" s="1">
        <v>46168</v>
      </c>
      <c r="C76" s="2" t="s">
        <v>240</v>
      </c>
      <c r="D76" s="2" t="s">
        <v>18</v>
      </c>
      <c r="E76" s="2" t="s">
        <v>241</v>
      </c>
      <c r="F76" s="2" t="s">
        <v>35</v>
      </c>
      <c r="G76" s="2" t="s">
        <v>99</v>
      </c>
      <c r="H76" s="2" t="s">
        <v>110</v>
      </c>
      <c r="I76" s="2" t="s">
        <v>111</v>
      </c>
      <c r="J76" s="3">
        <v>20</v>
      </c>
      <c r="K76" s="2" t="s">
        <v>33</v>
      </c>
      <c r="L76" s="3">
        <v>20</v>
      </c>
      <c r="M76" s="11">
        <v>361860</v>
      </c>
      <c r="N76" s="3">
        <v>0</v>
      </c>
      <c r="O76" s="2" t="s">
        <v>25</v>
      </c>
      <c r="P76" s="2" t="s">
        <v>26</v>
      </c>
      <c r="Q76" s="2" t="s">
        <v>34</v>
      </c>
    </row>
    <row r="77" spans="1:17" x14ac:dyDescent="0.25">
      <c r="A77" s="1">
        <v>46170</v>
      </c>
      <c r="B77" s="1">
        <v>46168</v>
      </c>
      <c r="C77" s="2" t="s">
        <v>242</v>
      </c>
      <c r="D77" s="2" t="s">
        <v>18</v>
      </c>
      <c r="E77" s="2" t="s">
        <v>243</v>
      </c>
      <c r="F77" s="2" t="s">
        <v>35</v>
      </c>
      <c r="G77" s="2" t="s">
        <v>76</v>
      </c>
      <c r="H77" s="2" t="s">
        <v>244</v>
      </c>
      <c r="I77" s="2" t="s">
        <v>245</v>
      </c>
      <c r="J77" s="3">
        <v>50</v>
      </c>
      <c r="K77" s="2" t="s">
        <v>33</v>
      </c>
      <c r="L77" s="3">
        <v>50.6</v>
      </c>
      <c r="M77" s="11">
        <v>5059999.99</v>
      </c>
      <c r="N77" s="3">
        <v>0.6</v>
      </c>
      <c r="O77" s="2" t="s">
        <v>25</v>
      </c>
      <c r="P77" s="2" t="s">
        <v>26</v>
      </c>
      <c r="Q77" s="2" t="s">
        <v>246</v>
      </c>
    </row>
    <row r="78" spans="1:17" x14ac:dyDescent="0.25">
      <c r="A78" s="1">
        <v>46170</v>
      </c>
      <c r="B78" s="1">
        <v>46168</v>
      </c>
      <c r="C78" s="2" t="s">
        <v>247</v>
      </c>
      <c r="D78" s="2" t="s">
        <v>18</v>
      </c>
      <c r="E78" s="2" t="s">
        <v>248</v>
      </c>
      <c r="F78" s="2" t="s">
        <v>35</v>
      </c>
      <c r="G78" s="2" t="s">
        <v>99</v>
      </c>
      <c r="H78" s="2" t="s">
        <v>31</v>
      </c>
      <c r="I78" s="2" t="s">
        <v>32</v>
      </c>
      <c r="J78" s="3">
        <v>60</v>
      </c>
      <c r="K78" s="2" t="s">
        <v>33</v>
      </c>
      <c r="L78" s="3">
        <v>60</v>
      </c>
      <c r="M78" s="11">
        <v>1118880</v>
      </c>
      <c r="N78" s="3">
        <v>0</v>
      </c>
      <c r="O78" s="2" t="s">
        <v>25</v>
      </c>
      <c r="P78" s="2" t="s">
        <v>26</v>
      </c>
      <c r="Q78" s="2" t="s">
        <v>34</v>
      </c>
    </row>
    <row r="79" spans="1:17" x14ac:dyDescent="0.25">
      <c r="A79" s="1">
        <v>46170</v>
      </c>
      <c r="B79" s="1">
        <v>46168</v>
      </c>
      <c r="C79" s="2" t="s">
        <v>247</v>
      </c>
      <c r="D79" s="2" t="s">
        <v>18</v>
      </c>
      <c r="E79" s="2" t="s">
        <v>248</v>
      </c>
      <c r="F79" s="2" t="s">
        <v>35</v>
      </c>
      <c r="G79" s="2" t="s">
        <v>99</v>
      </c>
      <c r="H79" s="2" t="s">
        <v>110</v>
      </c>
      <c r="I79" s="2" t="s">
        <v>111</v>
      </c>
      <c r="J79" s="3">
        <v>40</v>
      </c>
      <c r="K79" s="2" t="s">
        <v>33</v>
      </c>
      <c r="L79" s="3">
        <v>40</v>
      </c>
      <c r="M79" s="11">
        <v>723720</v>
      </c>
      <c r="N79" s="3">
        <v>0</v>
      </c>
      <c r="O79" s="2" t="s">
        <v>25</v>
      </c>
      <c r="P79" s="2" t="s">
        <v>26</v>
      </c>
      <c r="Q79" s="2" t="s">
        <v>34</v>
      </c>
    </row>
    <row r="80" spans="1:17" x14ac:dyDescent="0.25">
      <c r="A80" s="1">
        <v>46170</v>
      </c>
      <c r="B80" s="1">
        <v>46168</v>
      </c>
      <c r="C80" s="2" t="s">
        <v>249</v>
      </c>
      <c r="D80" s="2" t="s">
        <v>18</v>
      </c>
      <c r="E80" s="2" t="s">
        <v>250</v>
      </c>
      <c r="F80" s="2" t="s">
        <v>20</v>
      </c>
      <c r="G80" s="2" t="s">
        <v>53</v>
      </c>
      <c r="H80" s="2" t="s">
        <v>54</v>
      </c>
      <c r="I80" s="2" t="s">
        <v>55</v>
      </c>
      <c r="J80" s="3">
        <v>3</v>
      </c>
      <c r="K80" s="2" t="s">
        <v>24</v>
      </c>
      <c r="L80" s="3">
        <v>3</v>
      </c>
      <c r="M80" s="11">
        <v>807000</v>
      </c>
      <c r="N80" s="3">
        <v>0</v>
      </c>
      <c r="O80" s="2" t="s">
        <v>25</v>
      </c>
      <c r="P80" s="2" t="s">
        <v>26</v>
      </c>
      <c r="Q80" s="2" t="s">
        <v>34</v>
      </c>
    </row>
    <row r="81" spans="1:17" x14ac:dyDescent="0.25">
      <c r="A81" s="1">
        <v>46170</v>
      </c>
      <c r="B81" s="1">
        <v>46168</v>
      </c>
      <c r="C81" s="2" t="s">
        <v>251</v>
      </c>
      <c r="D81" s="2" t="s">
        <v>18</v>
      </c>
      <c r="E81" s="2" t="s">
        <v>252</v>
      </c>
      <c r="F81" s="2" t="s">
        <v>20</v>
      </c>
      <c r="G81" s="2" t="s">
        <v>30</v>
      </c>
      <c r="H81" s="2" t="s">
        <v>203</v>
      </c>
      <c r="I81" s="2" t="s">
        <v>204</v>
      </c>
      <c r="J81" s="3">
        <v>20</v>
      </c>
      <c r="K81" s="2" t="s">
        <v>33</v>
      </c>
      <c r="L81" s="3">
        <v>20</v>
      </c>
      <c r="M81" s="11">
        <v>654900</v>
      </c>
      <c r="N81" s="3">
        <v>0</v>
      </c>
      <c r="O81" s="2" t="s">
        <v>25</v>
      </c>
      <c r="P81" s="2" t="s">
        <v>26</v>
      </c>
      <c r="Q81" s="2" t="s">
        <v>34</v>
      </c>
    </row>
    <row r="82" spans="1:17" x14ac:dyDescent="0.25">
      <c r="A82" s="1">
        <v>46170</v>
      </c>
      <c r="B82" s="1">
        <v>46168</v>
      </c>
      <c r="C82" s="2" t="s">
        <v>251</v>
      </c>
      <c r="D82" s="2" t="s">
        <v>18</v>
      </c>
      <c r="E82" s="2" t="s">
        <v>252</v>
      </c>
      <c r="F82" s="2" t="s">
        <v>20</v>
      </c>
      <c r="G82" s="2" t="s">
        <v>30</v>
      </c>
      <c r="H82" s="2" t="s">
        <v>31</v>
      </c>
      <c r="I82" s="2" t="s">
        <v>32</v>
      </c>
      <c r="J82" s="3">
        <v>50</v>
      </c>
      <c r="K82" s="2" t="s">
        <v>33</v>
      </c>
      <c r="L82" s="3">
        <v>50</v>
      </c>
      <c r="M82" s="11">
        <v>799999.76</v>
      </c>
      <c r="N82" s="3">
        <v>0</v>
      </c>
      <c r="O82" s="2" t="s">
        <v>25</v>
      </c>
      <c r="P82" s="2" t="s">
        <v>26</v>
      </c>
      <c r="Q82" s="2" t="s">
        <v>34</v>
      </c>
    </row>
    <row r="83" spans="1:17" x14ac:dyDescent="0.25">
      <c r="A83" s="1">
        <v>46170</v>
      </c>
      <c r="B83" s="1">
        <v>46168</v>
      </c>
      <c r="C83" s="2" t="s">
        <v>253</v>
      </c>
      <c r="D83" s="2" t="s">
        <v>18</v>
      </c>
      <c r="E83" s="2" t="s">
        <v>254</v>
      </c>
      <c r="F83" s="2" t="s">
        <v>20</v>
      </c>
      <c r="G83" s="2" t="s">
        <v>30</v>
      </c>
      <c r="H83" s="2" t="s">
        <v>31</v>
      </c>
      <c r="I83" s="2" t="s">
        <v>32</v>
      </c>
      <c r="J83" s="3">
        <v>50</v>
      </c>
      <c r="K83" s="2" t="s">
        <v>33</v>
      </c>
      <c r="L83" s="3">
        <v>50</v>
      </c>
      <c r="M83" s="11">
        <v>799999.76</v>
      </c>
      <c r="N83" s="3">
        <v>0</v>
      </c>
      <c r="O83" s="2" t="s">
        <v>25</v>
      </c>
      <c r="P83" s="2" t="s">
        <v>26</v>
      </c>
      <c r="Q83" s="2" t="s">
        <v>34</v>
      </c>
    </row>
    <row r="84" spans="1:17" x14ac:dyDescent="0.25">
      <c r="A84" s="1">
        <v>46170</v>
      </c>
      <c r="B84" s="1">
        <v>46168</v>
      </c>
      <c r="C84" s="2" t="s">
        <v>255</v>
      </c>
      <c r="D84" s="2" t="s">
        <v>18</v>
      </c>
      <c r="E84" s="2" t="s">
        <v>256</v>
      </c>
      <c r="F84" s="2" t="s">
        <v>35</v>
      </c>
      <c r="G84" s="2" t="s">
        <v>84</v>
      </c>
      <c r="H84" s="2" t="s">
        <v>31</v>
      </c>
      <c r="I84" s="2" t="s">
        <v>32</v>
      </c>
      <c r="J84" s="3">
        <v>50</v>
      </c>
      <c r="K84" s="2" t="s">
        <v>33</v>
      </c>
      <c r="L84" s="3">
        <v>50</v>
      </c>
      <c r="M84" s="11">
        <v>774999.78</v>
      </c>
      <c r="N84" s="3">
        <v>0</v>
      </c>
      <c r="O84" s="2" t="s">
        <v>25</v>
      </c>
      <c r="P84" s="2" t="s">
        <v>26</v>
      </c>
      <c r="Q84" s="2" t="s">
        <v>34</v>
      </c>
    </row>
    <row r="85" spans="1:17" x14ac:dyDescent="0.25">
      <c r="A85" s="1">
        <v>46170</v>
      </c>
      <c r="B85" s="1">
        <v>46168</v>
      </c>
      <c r="C85" s="2" t="s">
        <v>257</v>
      </c>
      <c r="D85" s="2" t="s">
        <v>18</v>
      </c>
      <c r="E85" s="2" t="s">
        <v>258</v>
      </c>
      <c r="F85" s="2" t="s">
        <v>35</v>
      </c>
      <c r="G85" s="2" t="s">
        <v>84</v>
      </c>
      <c r="H85" s="2" t="s">
        <v>31</v>
      </c>
      <c r="I85" s="2" t="s">
        <v>32</v>
      </c>
      <c r="J85" s="3">
        <v>500</v>
      </c>
      <c r="K85" s="2" t="s">
        <v>33</v>
      </c>
      <c r="L85" s="3">
        <v>500</v>
      </c>
      <c r="M85" s="11">
        <v>7249998.2999999998</v>
      </c>
      <c r="N85" s="3">
        <v>0</v>
      </c>
      <c r="O85" s="2" t="s">
        <v>25</v>
      </c>
      <c r="P85" s="2" t="s">
        <v>26</v>
      </c>
      <c r="Q85" s="2" t="s">
        <v>259</v>
      </c>
    </row>
    <row r="86" spans="1:17" x14ac:dyDescent="0.25">
      <c r="A86" s="1">
        <v>46170</v>
      </c>
      <c r="B86" s="1">
        <v>46168</v>
      </c>
      <c r="C86" s="2" t="s">
        <v>260</v>
      </c>
      <c r="D86" s="2" t="s">
        <v>18</v>
      </c>
      <c r="E86" s="2" t="s">
        <v>258</v>
      </c>
      <c r="F86" s="2" t="s">
        <v>35</v>
      </c>
      <c r="G86" s="2" t="s">
        <v>84</v>
      </c>
      <c r="H86" s="2" t="s">
        <v>31</v>
      </c>
      <c r="I86" s="2" t="s">
        <v>32</v>
      </c>
      <c r="J86" s="3">
        <v>1000</v>
      </c>
      <c r="K86" s="2" t="s">
        <v>33</v>
      </c>
      <c r="L86" s="3">
        <v>1000</v>
      </c>
      <c r="M86" s="11">
        <v>14499996.6</v>
      </c>
      <c r="N86" s="3">
        <v>0</v>
      </c>
      <c r="O86" s="2" t="s">
        <v>25</v>
      </c>
      <c r="P86" s="2" t="s">
        <v>26</v>
      </c>
      <c r="Q86" s="2" t="s">
        <v>261</v>
      </c>
    </row>
    <row r="87" spans="1:17" x14ac:dyDescent="0.25">
      <c r="A87" s="1">
        <v>46170</v>
      </c>
      <c r="B87" s="1">
        <v>46168</v>
      </c>
      <c r="C87" s="2" t="s">
        <v>262</v>
      </c>
      <c r="D87" s="2" t="s">
        <v>18</v>
      </c>
      <c r="E87" s="2" t="s">
        <v>168</v>
      </c>
      <c r="F87" s="2" t="s">
        <v>35</v>
      </c>
      <c r="G87" s="2" t="s">
        <v>145</v>
      </c>
      <c r="H87" s="2" t="s">
        <v>195</v>
      </c>
      <c r="I87" s="2" t="s">
        <v>196</v>
      </c>
      <c r="J87" s="3">
        <v>1</v>
      </c>
      <c r="K87" s="2" t="s">
        <v>87</v>
      </c>
      <c r="L87" s="3">
        <v>1</v>
      </c>
      <c r="M87" s="11">
        <v>56055</v>
      </c>
      <c r="N87" s="3">
        <v>0</v>
      </c>
      <c r="O87" s="2" t="s">
        <v>25</v>
      </c>
      <c r="P87" s="2" t="s">
        <v>26</v>
      </c>
      <c r="Q87" s="2" t="s">
        <v>34</v>
      </c>
    </row>
    <row r="88" spans="1:17" x14ac:dyDescent="0.25">
      <c r="A88" s="1">
        <v>46170</v>
      </c>
      <c r="B88" s="1">
        <v>46168</v>
      </c>
      <c r="C88" s="2" t="s">
        <v>263</v>
      </c>
      <c r="D88" s="2" t="s">
        <v>18</v>
      </c>
      <c r="E88" s="2" t="s">
        <v>264</v>
      </c>
      <c r="F88" s="2" t="s">
        <v>35</v>
      </c>
      <c r="G88" s="2" t="s">
        <v>47</v>
      </c>
      <c r="H88" s="2" t="s">
        <v>265</v>
      </c>
      <c r="I88" s="2" t="s">
        <v>266</v>
      </c>
      <c r="J88" s="3">
        <v>14</v>
      </c>
      <c r="K88" s="2" t="s">
        <v>33</v>
      </c>
      <c r="L88" s="3">
        <v>16.89</v>
      </c>
      <c r="M88" s="11">
        <v>5911500</v>
      </c>
      <c r="N88" s="3">
        <v>2.89</v>
      </c>
      <c r="O88" s="2" t="s">
        <v>25</v>
      </c>
      <c r="P88" s="2" t="s">
        <v>26</v>
      </c>
      <c r="Q88" s="2" t="s">
        <v>267</v>
      </c>
    </row>
    <row r="89" spans="1:17" x14ac:dyDescent="0.25">
      <c r="A89" s="1">
        <v>46170</v>
      </c>
      <c r="B89" s="1">
        <v>46168</v>
      </c>
      <c r="C89" s="2" t="s">
        <v>268</v>
      </c>
      <c r="D89" s="2" t="s">
        <v>18</v>
      </c>
      <c r="E89" s="2" t="s">
        <v>269</v>
      </c>
      <c r="F89" s="2" t="s">
        <v>35</v>
      </c>
      <c r="G89" s="2" t="s">
        <v>99</v>
      </c>
      <c r="H89" s="2" t="s">
        <v>220</v>
      </c>
      <c r="I89" s="2" t="s">
        <v>221</v>
      </c>
      <c r="J89" s="3">
        <v>20</v>
      </c>
      <c r="K89" s="2" t="s">
        <v>33</v>
      </c>
      <c r="L89" s="3">
        <v>20</v>
      </c>
      <c r="M89" s="11">
        <v>384060</v>
      </c>
      <c r="N89" s="3">
        <v>0</v>
      </c>
      <c r="O89" s="2" t="s">
        <v>25</v>
      </c>
      <c r="P89" s="2" t="s">
        <v>26</v>
      </c>
      <c r="Q89" s="2" t="s">
        <v>34</v>
      </c>
    </row>
    <row r="90" spans="1:17" x14ac:dyDescent="0.25">
      <c r="A90" s="1">
        <v>46170</v>
      </c>
      <c r="B90" s="1">
        <v>46168</v>
      </c>
      <c r="C90" s="2" t="s">
        <v>268</v>
      </c>
      <c r="D90" s="2" t="s">
        <v>18</v>
      </c>
      <c r="E90" s="2" t="s">
        <v>269</v>
      </c>
      <c r="F90" s="2" t="s">
        <v>35</v>
      </c>
      <c r="G90" s="2" t="s">
        <v>99</v>
      </c>
      <c r="H90" s="2" t="s">
        <v>110</v>
      </c>
      <c r="I90" s="2" t="s">
        <v>111</v>
      </c>
      <c r="J90" s="3">
        <v>20</v>
      </c>
      <c r="K90" s="2" t="s">
        <v>33</v>
      </c>
      <c r="L90" s="3">
        <v>20</v>
      </c>
      <c r="M90" s="11">
        <v>361860</v>
      </c>
      <c r="N90" s="3">
        <v>0</v>
      </c>
      <c r="O90" s="2" t="s">
        <v>25</v>
      </c>
      <c r="P90" s="2" t="s">
        <v>26</v>
      </c>
      <c r="Q90" s="2" t="s">
        <v>34</v>
      </c>
    </row>
    <row r="91" spans="1:17" x14ac:dyDescent="0.25">
      <c r="A91" s="1">
        <v>46170</v>
      </c>
      <c r="B91" s="1">
        <v>46168</v>
      </c>
      <c r="C91" s="2" t="s">
        <v>270</v>
      </c>
      <c r="D91" s="2" t="s">
        <v>18</v>
      </c>
      <c r="E91" s="2" t="s">
        <v>264</v>
      </c>
      <c r="F91" s="2" t="s">
        <v>35</v>
      </c>
      <c r="G91" s="2" t="s">
        <v>47</v>
      </c>
      <c r="H91" s="2" t="s">
        <v>265</v>
      </c>
      <c r="I91" s="2" t="s">
        <v>266</v>
      </c>
      <c r="J91" s="3">
        <v>14</v>
      </c>
      <c r="K91" s="2" t="s">
        <v>33</v>
      </c>
      <c r="L91" s="3">
        <v>16.8599</v>
      </c>
      <c r="M91" s="11">
        <v>5901000</v>
      </c>
      <c r="N91" s="3">
        <v>2.8599000000000001</v>
      </c>
      <c r="O91" s="2" t="s">
        <v>25</v>
      </c>
      <c r="P91" s="2" t="s">
        <v>26</v>
      </c>
      <c r="Q91" s="2" t="s">
        <v>271</v>
      </c>
    </row>
    <row r="92" spans="1:17" x14ac:dyDescent="0.25">
      <c r="A92" s="1">
        <v>46170</v>
      </c>
      <c r="B92" s="1">
        <v>46168</v>
      </c>
      <c r="C92" s="2" t="s">
        <v>272</v>
      </c>
      <c r="D92" s="2" t="s">
        <v>18</v>
      </c>
      <c r="E92" s="2" t="s">
        <v>273</v>
      </c>
      <c r="F92" s="2" t="s">
        <v>35</v>
      </c>
      <c r="G92" s="2" t="s">
        <v>58</v>
      </c>
      <c r="H92" s="2" t="s">
        <v>77</v>
      </c>
      <c r="I92" s="2" t="s">
        <v>78</v>
      </c>
      <c r="J92" s="3">
        <v>12</v>
      </c>
      <c r="K92" s="2" t="s">
        <v>24</v>
      </c>
      <c r="L92" s="3">
        <v>12</v>
      </c>
      <c r="M92" s="11">
        <v>3480000.11</v>
      </c>
      <c r="N92" s="3">
        <v>0</v>
      </c>
      <c r="O92" s="2" t="s">
        <v>25</v>
      </c>
      <c r="P92" s="2" t="s">
        <v>26</v>
      </c>
      <c r="Q92" s="2" t="s">
        <v>34</v>
      </c>
    </row>
    <row r="93" spans="1:17" x14ac:dyDescent="0.25">
      <c r="A93" s="1">
        <v>46170</v>
      </c>
      <c r="B93" s="1">
        <v>46168</v>
      </c>
      <c r="C93" s="2" t="s">
        <v>272</v>
      </c>
      <c r="D93" s="2" t="s">
        <v>18</v>
      </c>
      <c r="E93" s="2" t="s">
        <v>273</v>
      </c>
      <c r="F93" s="2" t="s">
        <v>35</v>
      </c>
      <c r="G93" s="2" t="s">
        <v>58</v>
      </c>
      <c r="H93" s="2" t="s">
        <v>54</v>
      </c>
      <c r="I93" s="2" t="s">
        <v>55</v>
      </c>
      <c r="J93" s="3">
        <v>6</v>
      </c>
      <c r="K93" s="2" t="s">
        <v>24</v>
      </c>
      <c r="L93" s="3">
        <v>6</v>
      </c>
      <c r="M93" s="11">
        <v>1770000.03</v>
      </c>
      <c r="N93" s="3">
        <v>0</v>
      </c>
      <c r="O93" s="2" t="s">
        <v>25</v>
      </c>
      <c r="P93" s="2" t="s">
        <v>26</v>
      </c>
      <c r="Q93" s="2" t="s">
        <v>34</v>
      </c>
    </row>
    <row r="94" spans="1:17" x14ac:dyDescent="0.25">
      <c r="A94" s="1">
        <v>46170</v>
      </c>
      <c r="B94" s="1">
        <v>46168</v>
      </c>
      <c r="C94" s="2" t="s">
        <v>274</v>
      </c>
      <c r="D94" s="2" t="s">
        <v>18</v>
      </c>
      <c r="E94" s="2" t="s">
        <v>254</v>
      </c>
      <c r="F94" s="2" t="s">
        <v>20</v>
      </c>
      <c r="G94" s="2" t="s">
        <v>129</v>
      </c>
      <c r="H94" s="2" t="s">
        <v>134</v>
      </c>
      <c r="I94" s="2" t="s">
        <v>135</v>
      </c>
      <c r="J94" s="3">
        <v>18</v>
      </c>
      <c r="K94" s="2" t="s">
        <v>136</v>
      </c>
      <c r="L94" s="3">
        <v>18</v>
      </c>
      <c r="M94" s="11">
        <v>1250100.05</v>
      </c>
      <c r="N94" s="3">
        <v>0</v>
      </c>
      <c r="O94" s="2" t="s">
        <v>25</v>
      </c>
      <c r="P94" s="2" t="s">
        <v>26</v>
      </c>
      <c r="Q94" s="2" t="s">
        <v>34</v>
      </c>
    </row>
    <row r="95" spans="1:17" x14ac:dyDescent="0.25">
      <c r="A95" s="1">
        <v>46170</v>
      </c>
      <c r="B95" s="1">
        <v>46168</v>
      </c>
      <c r="C95" s="2" t="s">
        <v>275</v>
      </c>
      <c r="D95" s="2" t="s">
        <v>18</v>
      </c>
      <c r="E95" s="2" t="s">
        <v>276</v>
      </c>
      <c r="F95" s="2" t="s">
        <v>20</v>
      </c>
      <c r="G95" s="2" t="s">
        <v>53</v>
      </c>
      <c r="H95" s="2" t="s">
        <v>277</v>
      </c>
      <c r="I95" s="2" t="s">
        <v>278</v>
      </c>
      <c r="J95" s="3">
        <v>6</v>
      </c>
      <c r="K95" s="2" t="s">
        <v>33</v>
      </c>
      <c r="L95" s="3">
        <v>5.28</v>
      </c>
      <c r="M95" s="11">
        <v>834240</v>
      </c>
      <c r="N95" s="3">
        <v>-0.72</v>
      </c>
      <c r="O95" s="2" t="s">
        <v>25</v>
      </c>
      <c r="P95" s="2" t="s">
        <v>26</v>
      </c>
      <c r="Q95" s="2" t="s">
        <v>279</v>
      </c>
    </row>
    <row r="96" spans="1:17" x14ac:dyDescent="0.25">
      <c r="A96" s="1">
        <v>46170</v>
      </c>
      <c r="B96" s="1">
        <v>46168</v>
      </c>
      <c r="C96" s="2" t="s">
        <v>280</v>
      </c>
      <c r="D96" s="2" t="s">
        <v>18</v>
      </c>
      <c r="E96" s="2" t="s">
        <v>281</v>
      </c>
      <c r="F96" s="2" t="s">
        <v>20</v>
      </c>
      <c r="G96" s="2" t="s">
        <v>84</v>
      </c>
      <c r="H96" s="2" t="s">
        <v>282</v>
      </c>
      <c r="I96" s="2" t="s">
        <v>283</v>
      </c>
      <c r="J96" s="3">
        <v>20</v>
      </c>
      <c r="K96" s="2" t="s">
        <v>33</v>
      </c>
      <c r="L96" s="3">
        <v>20</v>
      </c>
      <c r="M96" s="11">
        <v>620000.05000000005</v>
      </c>
      <c r="N96" s="3">
        <v>0</v>
      </c>
      <c r="O96" s="2" t="s">
        <v>25</v>
      </c>
      <c r="P96" s="2" t="s">
        <v>26</v>
      </c>
      <c r="Q96" s="2" t="s">
        <v>34</v>
      </c>
    </row>
    <row r="97" spans="1:17" x14ac:dyDescent="0.25">
      <c r="A97" s="1">
        <v>46170</v>
      </c>
      <c r="B97" s="1">
        <v>46168</v>
      </c>
      <c r="C97" s="2" t="s">
        <v>280</v>
      </c>
      <c r="D97" s="2" t="s">
        <v>18</v>
      </c>
      <c r="E97" s="2" t="s">
        <v>281</v>
      </c>
      <c r="F97" s="2" t="s">
        <v>20</v>
      </c>
      <c r="G97" s="2" t="s">
        <v>84</v>
      </c>
      <c r="H97" s="2" t="s">
        <v>203</v>
      </c>
      <c r="I97" s="2" t="s">
        <v>204</v>
      </c>
      <c r="J97" s="3">
        <v>30</v>
      </c>
      <c r="K97" s="2" t="s">
        <v>33</v>
      </c>
      <c r="L97" s="3">
        <v>30</v>
      </c>
      <c r="M97" s="11">
        <v>930000.07</v>
      </c>
      <c r="N97" s="3">
        <v>0</v>
      </c>
      <c r="O97" s="2" t="s">
        <v>25</v>
      </c>
      <c r="P97" s="2" t="s">
        <v>26</v>
      </c>
      <c r="Q97" s="2" t="s">
        <v>34</v>
      </c>
    </row>
    <row r="98" spans="1:17" x14ac:dyDescent="0.25">
      <c r="A98" s="1">
        <v>46170</v>
      </c>
      <c r="B98" s="1">
        <v>46168</v>
      </c>
      <c r="C98" s="2" t="s">
        <v>284</v>
      </c>
      <c r="D98" s="2" t="s">
        <v>18</v>
      </c>
      <c r="E98" s="2" t="s">
        <v>285</v>
      </c>
      <c r="F98" s="2" t="s">
        <v>20</v>
      </c>
      <c r="G98" s="2" t="s">
        <v>161</v>
      </c>
      <c r="H98" s="2" t="s">
        <v>54</v>
      </c>
      <c r="I98" s="2" t="s">
        <v>55</v>
      </c>
      <c r="J98" s="3">
        <v>4</v>
      </c>
      <c r="K98" s="2" t="s">
        <v>24</v>
      </c>
      <c r="L98" s="3">
        <v>4</v>
      </c>
      <c r="M98" s="11">
        <v>1200000</v>
      </c>
      <c r="N98" s="3">
        <v>0</v>
      </c>
      <c r="O98" s="2" t="s">
        <v>25</v>
      </c>
      <c r="P98" s="2" t="s">
        <v>26</v>
      </c>
      <c r="Q98" s="2" t="s">
        <v>34</v>
      </c>
    </row>
    <row r="99" spans="1:17" x14ac:dyDescent="0.25">
      <c r="A99" s="1">
        <v>46170</v>
      </c>
      <c r="B99" s="1">
        <v>46168</v>
      </c>
      <c r="C99" s="2" t="s">
        <v>286</v>
      </c>
      <c r="D99" s="2" t="s">
        <v>18</v>
      </c>
      <c r="E99" s="2" t="s">
        <v>287</v>
      </c>
      <c r="F99" s="2" t="s">
        <v>35</v>
      </c>
      <c r="G99" s="2" t="s">
        <v>21</v>
      </c>
      <c r="H99" s="2" t="s">
        <v>100</v>
      </c>
      <c r="I99" s="2" t="s">
        <v>101</v>
      </c>
      <c r="J99" s="3">
        <v>12</v>
      </c>
      <c r="K99" s="2" t="s">
        <v>37</v>
      </c>
      <c r="L99" s="3">
        <v>12</v>
      </c>
      <c r="M99" s="11">
        <v>559440</v>
      </c>
      <c r="N99" s="3">
        <v>0</v>
      </c>
      <c r="O99" s="2" t="s">
        <v>25</v>
      </c>
      <c r="P99" s="2" t="s">
        <v>26</v>
      </c>
      <c r="Q99" s="2" t="s">
        <v>34</v>
      </c>
    </row>
    <row r="100" spans="1:17" x14ac:dyDescent="0.25">
      <c r="A100" s="1">
        <v>46170</v>
      </c>
      <c r="B100" s="1">
        <v>46168</v>
      </c>
      <c r="C100" s="2" t="s">
        <v>288</v>
      </c>
      <c r="D100" s="2" t="s">
        <v>18</v>
      </c>
      <c r="E100" s="2" t="s">
        <v>289</v>
      </c>
      <c r="F100" s="2" t="s">
        <v>35</v>
      </c>
      <c r="G100" s="2" t="s">
        <v>145</v>
      </c>
      <c r="H100" s="2" t="s">
        <v>195</v>
      </c>
      <c r="I100" s="2" t="s">
        <v>196</v>
      </c>
      <c r="J100" s="3">
        <v>24</v>
      </c>
      <c r="K100" s="2" t="s">
        <v>87</v>
      </c>
      <c r="L100" s="3">
        <v>24</v>
      </c>
      <c r="M100" s="11">
        <v>1226400.1100000001</v>
      </c>
      <c r="N100" s="3">
        <v>0</v>
      </c>
      <c r="O100" s="2" t="s">
        <v>25</v>
      </c>
      <c r="P100" s="2" t="s">
        <v>26</v>
      </c>
      <c r="Q100" s="2" t="s">
        <v>290</v>
      </c>
    </row>
    <row r="101" spans="1:17" x14ac:dyDescent="0.25">
      <c r="A101" s="1">
        <v>46170</v>
      </c>
      <c r="B101" s="1">
        <v>46168</v>
      </c>
      <c r="C101" s="2" t="s">
        <v>291</v>
      </c>
      <c r="D101" s="2" t="s">
        <v>18</v>
      </c>
      <c r="E101" s="2" t="s">
        <v>292</v>
      </c>
      <c r="F101" s="2" t="s">
        <v>35</v>
      </c>
      <c r="G101" s="2" t="s">
        <v>62</v>
      </c>
      <c r="H101" s="2" t="s">
        <v>293</v>
      </c>
      <c r="I101" s="2" t="s">
        <v>294</v>
      </c>
      <c r="J101" s="3">
        <v>6</v>
      </c>
      <c r="K101" s="2" t="s">
        <v>24</v>
      </c>
      <c r="L101" s="3">
        <v>6</v>
      </c>
      <c r="M101" s="11">
        <v>1949999.98</v>
      </c>
      <c r="N101" s="3">
        <v>0</v>
      </c>
      <c r="O101" s="2" t="s">
        <v>25</v>
      </c>
      <c r="P101" s="2" t="s">
        <v>26</v>
      </c>
      <c r="Q101" s="2" t="s">
        <v>34</v>
      </c>
    </row>
    <row r="102" spans="1:17" x14ac:dyDescent="0.25">
      <c r="A102" s="1">
        <v>46170</v>
      </c>
      <c r="B102" s="1">
        <v>46168</v>
      </c>
      <c r="C102" s="2" t="s">
        <v>295</v>
      </c>
      <c r="D102" s="2" t="s">
        <v>18</v>
      </c>
      <c r="E102" s="2" t="s">
        <v>289</v>
      </c>
      <c r="F102" s="2" t="s">
        <v>35</v>
      </c>
      <c r="G102" s="2" t="s">
        <v>145</v>
      </c>
      <c r="H102" s="2" t="s">
        <v>146</v>
      </c>
      <c r="I102" s="2" t="s">
        <v>147</v>
      </c>
      <c r="J102" s="3">
        <v>24</v>
      </c>
      <c r="K102" s="2" t="s">
        <v>87</v>
      </c>
      <c r="L102" s="3">
        <v>24</v>
      </c>
      <c r="M102" s="11">
        <v>1540800.06</v>
      </c>
      <c r="N102" s="3">
        <v>0</v>
      </c>
      <c r="O102" s="2" t="s">
        <v>25</v>
      </c>
      <c r="P102" s="2" t="s">
        <v>26</v>
      </c>
      <c r="Q102" s="2" t="s">
        <v>296</v>
      </c>
    </row>
    <row r="103" spans="1:17" x14ac:dyDescent="0.25">
      <c r="A103" s="1">
        <v>46170</v>
      </c>
      <c r="B103" s="1">
        <v>46168</v>
      </c>
      <c r="C103" s="2" t="s">
        <v>297</v>
      </c>
      <c r="D103" s="2" t="s">
        <v>18</v>
      </c>
      <c r="E103" s="2" t="s">
        <v>298</v>
      </c>
      <c r="F103" s="2" t="s">
        <v>35</v>
      </c>
      <c r="G103" s="2" t="s">
        <v>81</v>
      </c>
      <c r="H103" s="2" t="s">
        <v>100</v>
      </c>
      <c r="I103" s="2" t="s">
        <v>101</v>
      </c>
      <c r="J103" s="3">
        <v>12</v>
      </c>
      <c r="K103" s="2" t="s">
        <v>37</v>
      </c>
      <c r="L103" s="3">
        <v>12</v>
      </c>
      <c r="M103" s="11">
        <v>559440</v>
      </c>
      <c r="N103" s="3">
        <v>0</v>
      </c>
      <c r="O103" s="2" t="s">
        <v>25</v>
      </c>
      <c r="P103" s="2" t="s">
        <v>26</v>
      </c>
      <c r="Q103" s="2" t="s">
        <v>299</v>
      </c>
    </row>
    <row r="104" spans="1:17" x14ac:dyDescent="0.25">
      <c r="A104" s="1">
        <v>46170</v>
      </c>
      <c r="B104" s="1">
        <v>46168</v>
      </c>
      <c r="C104" s="2" t="s">
        <v>300</v>
      </c>
      <c r="D104" s="2" t="s">
        <v>18</v>
      </c>
      <c r="E104" s="2" t="s">
        <v>301</v>
      </c>
      <c r="F104" s="2" t="s">
        <v>35</v>
      </c>
      <c r="G104" s="2" t="s">
        <v>76</v>
      </c>
      <c r="H104" s="2" t="s">
        <v>48</v>
      </c>
      <c r="I104" s="2" t="s">
        <v>49</v>
      </c>
      <c r="J104" s="3">
        <v>2</v>
      </c>
      <c r="K104" s="2" t="s">
        <v>33</v>
      </c>
      <c r="L104" s="3">
        <v>1.9</v>
      </c>
      <c r="M104" s="11">
        <v>266000.01</v>
      </c>
      <c r="N104" s="3">
        <v>-0.1</v>
      </c>
      <c r="O104" s="2" t="s">
        <v>25</v>
      </c>
      <c r="P104" s="2" t="s">
        <v>26</v>
      </c>
      <c r="Q104" s="2" t="s">
        <v>42</v>
      </c>
    </row>
    <row r="105" spans="1:17" x14ac:dyDescent="0.25">
      <c r="A105" s="1">
        <v>46170</v>
      </c>
      <c r="B105" s="1">
        <v>46168</v>
      </c>
      <c r="C105" s="2" t="s">
        <v>302</v>
      </c>
      <c r="D105" s="2" t="s">
        <v>18</v>
      </c>
      <c r="E105" s="2" t="s">
        <v>303</v>
      </c>
      <c r="F105" s="2" t="s">
        <v>35</v>
      </c>
      <c r="G105" s="2" t="s">
        <v>99</v>
      </c>
      <c r="H105" s="2" t="s">
        <v>31</v>
      </c>
      <c r="I105" s="2" t="s">
        <v>32</v>
      </c>
      <c r="J105" s="3">
        <v>20</v>
      </c>
      <c r="K105" s="2" t="s">
        <v>33</v>
      </c>
      <c r="L105" s="3">
        <v>20</v>
      </c>
      <c r="M105" s="11">
        <v>372960</v>
      </c>
      <c r="N105" s="3">
        <v>0</v>
      </c>
      <c r="O105" s="2" t="s">
        <v>25</v>
      </c>
      <c r="P105" s="2" t="s">
        <v>26</v>
      </c>
      <c r="Q105" s="2" t="s">
        <v>34</v>
      </c>
    </row>
    <row r="106" spans="1:17" x14ac:dyDescent="0.25">
      <c r="A106" s="1">
        <v>46170</v>
      </c>
      <c r="B106" s="1">
        <v>46168</v>
      </c>
      <c r="C106" s="2" t="s">
        <v>304</v>
      </c>
      <c r="D106" s="2" t="s">
        <v>18</v>
      </c>
      <c r="E106" s="2" t="s">
        <v>305</v>
      </c>
      <c r="F106" s="2" t="s">
        <v>35</v>
      </c>
      <c r="G106" s="2" t="s">
        <v>47</v>
      </c>
      <c r="H106" s="2" t="s">
        <v>54</v>
      </c>
      <c r="I106" s="2" t="s">
        <v>55</v>
      </c>
      <c r="J106" s="3">
        <v>2</v>
      </c>
      <c r="K106" s="2" t="s">
        <v>24</v>
      </c>
      <c r="L106" s="3">
        <v>2</v>
      </c>
      <c r="M106" s="11">
        <v>640000</v>
      </c>
      <c r="N106" s="3">
        <v>0</v>
      </c>
      <c r="O106" s="2" t="s">
        <v>25</v>
      </c>
      <c r="P106" s="2" t="s">
        <v>26</v>
      </c>
      <c r="Q106" s="2" t="s">
        <v>34</v>
      </c>
    </row>
    <row r="107" spans="1:17" x14ac:dyDescent="0.25">
      <c r="A107" s="1">
        <v>46170</v>
      </c>
      <c r="B107" s="1">
        <v>46168</v>
      </c>
      <c r="C107" s="2" t="s">
        <v>306</v>
      </c>
      <c r="D107" s="2" t="s">
        <v>18</v>
      </c>
      <c r="E107" s="2" t="s">
        <v>307</v>
      </c>
      <c r="F107" s="2" t="s">
        <v>35</v>
      </c>
      <c r="G107" s="2" t="s">
        <v>92</v>
      </c>
      <c r="H107" s="2" t="s">
        <v>93</v>
      </c>
      <c r="I107" s="2" t="s">
        <v>94</v>
      </c>
      <c r="J107" s="3">
        <v>2</v>
      </c>
      <c r="K107" s="2" t="s">
        <v>33</v>
      </c>
      <c r="L107" s="3">
        <v>2.33</v>
      </c>
      <c r="M107" s="11">
        <v>559200</v>
      </c>
      <c r="N107" s="3">
        <v>0.33</v>
      </c>
      <c r="O107" s="2" t="s">
        <v>25</v>
      </c>
      <c r="P107" s="2" t="s">
        <v>26</v>
      </c>
      <c r="Q107" s="2" t="s">
        <v>34</v>
      </c>
    </row>
    <row r="108" spans="1:17" x14ac:dyDescent="0.25">
      <c r="A108" s="1">
        <v>46170</v>
      </c>
      <c r="B108" s="1">
        <v>46168</v>
      </c>
      <c r="C108" s="2" t="s">
        <v>306</v>
      </c>
      <c r="D108" s="2" t="s">
        <v>18</v>
      </c>
      <c r="E108" s="2" t="s">
        <v>307</v>
      </c>
      <c r="F108" s="2" t="s">
        <v>35</v>
      </c>
      <c r="G108" s="2" t="s">
        <v>92</v>
      </c>
      <c r="H108" s="2" t="s">
        <v>153</v>
      </c>
      <c r="I108" s="2" t="s">
        <v>154</v>
      </c>
      <c r="J108" s="3">
        <v>2</v>
      </c>
      <c r="K108" s="2" t="s">
        <v>33</v>
      </c>
      <c r="L108" s="3">
        <v>2.2200000000000002</v>
      </c>
      <c r="M108" s="11">
        <v>388500</v>
      </c>
      <c r="N108" s="3">
        <v>0.22</v>
      </c>
      <c r="O108" s="2" t="s">
        <v>25</v>
      </c>
      <c r="P108" s="2" t="s">
        <v>26</v>
      </c>
      <c r="Q108" s="2" t="s">
        <v>34</v>
      </c>
    </row>
    <row r="109" spans="1:17" x14ac:dyDescent="0.25">
      <c r="A109" s="1">
        <v>46170</v>
      </c>
      <c r="B109" s="1">
        <v>46168</v>
      </c>
      <c r="C109" s="2" t="s">
        <v>308</v>
      </c>
      <c r="D109" s="2" t="s">
        <v>18</v>
      </c>
      <c r="E109" s="2" t="s">
        <v>309</v>
      </c>
      <c r="F109" s="2" t="s">
        <v>35</v>
      </c>
      <c r="G109" s="2" t="s">
        <v>36</v>
      </c>
      <c r="H109" s="2" t="s">
        <v>153</v>
      </c>
      <c r="I109" s="2" t="s">
        <v>154</v>
      </c>
      <c r="J109" s="3">
        <v>3</v>
      </c>
      <c r="K109" s="2" t="s">
        <v>33</v>
      </c>
      <c r="L109" s="3">
        <v>2.78</v>
      </c>
      <c r="M109" s="11">
        <v>472600</v>
      </c>
      <c r="N109" s="3">
        <v>-0.22</v>
      </c>
      <c r="O109" s="2" t="s">
        <v>25</v>
      </c>
      <c r="P109" s="2" t="s">
        <v>26</v>
      </c>
      <c r="Q109" s="2" t="s">
        <v>34</v>
      </c>
    </row>
    <row r="110" spans="1:17" x14ac:dyDescent="0.25">
      <c r="A110" s="1">
        <v>46170</v>
      </c>
      <c r="B110" s="1">
        <v>46168</v>
      </c>
      <c r="C110" s="2" t="s">
        <v>310</v>
      </c>
      <c r="D110" s="2" t="s">
        <v>18</v>
      </c>
      <c r="E110" s="2" t="s">
        <v>309</v>
      </c>
      <c r="F110" s="2" t="s">
        <v>35</v>
      </c>
      <c r="G110" s="2" t="s">
        <v>36</v>
      </c>
      <c r="H110" s="2" t="s">
        <v>153</v>
      </c>
      <c r="I110" s="2" t="s">
        <v>154</v>
      </c>
      <c r="J110" s="3">
        <v>6</v>
      </c>
      <c r="K110" s="2" t="s">
        <v>33</v>
      </c>
      <c r="L110" s="3">
        <v>6.68</v>
      </c>
      <c r="M110" s="11">
        <v>1135600</v>
      </c>
      <c r="N110" s="3">
        <v>0.68</v>
      </c>
      <c r="O110" s="2" t="s">
        <v>25</v>
      </c>
      <c r="P110" s="2" t="s">
        <v>26</v>
      </c>
      <c r="Q110" s="2" t="s">
        <v>34</v>
      </c>
    </row>
    <row r="111" spans="1:17" x14ac:dyDescent="0.25">
      <c r="A111" s="1">
        <v>46170</v>
      </c>
      <c r="B111" s="1">
        <v>46168</v>
      </c>
      <c r="C111" s="2" t="s">
        <v>311</v>
      </c>
      <c r="D111" s="2" t="s">
        <v>18</v>
      </c>
      <c r="E111" s="2" t="s">
        <v>243</v>
      </c>
      <c r="F111" s="2" t="s">
        <v>35</v>
      </c>
      <c r="G111" s="2" t="s">
        <v>76</v>
      </c>
      <c r="H111" s="2" t="s">
        <v>54</v>
      </c>
      <c r="I111" s="2" t="s">
        <v>55</v>
      </c>
      <c r="J111" s="3">
        <v>6</v>
      </c>
      <c r="K111" s="2" t="s">
        <v>24</v>
      </c>
      <c r="L111" s="3">
        <v>6</v>
      </c>
      <c r="M111" s="11">
        <v>1602000</v>
      </c>
      <c r="N111" s="3">
        <v>0</v>
      </c>
      <c r="O111" s="2" t="s">
        <v>25</v>
      </c>
      <c r="P111" s="2" t="s">
        <v>26</v>
      </c>
      <c r="Q111" s="2" t="s">
        <v>312</v>
      </c>
    </row>
    <row r="112" spans="1:17" x14ac:dyDescent="0.25">
      <c r="A112" s="1">
        <v>46170</v>
      </c>
      <c r="B112" s="1">
        <v>46168</v>
      </c>
      <c r="C112" s="2" t="s">
        <v>313</v>
      </c>
      <c r="D112" s="2" t="s">
        <v>18</v>
      </c>
      <c r="E112" s="2" t="s">
        <v>243</v>
      </c>
      <c r="F112" s="2" t="s">
        <v>35</v>
      </c>
      <c r="G112" s="2" t="s">
        <v>76</v>
      </c>
      <c r="H112" s="2" t="s">
        <v>314</v>
      </c>
      <c r="I112" s="2" t="s">
        <v>315</v>
      </c>
      <c r="J112" s="3">
        <v>1</v>
      </c>
      <c r="K112" s="2" t="s">
        <v>87</v>
      </c>
      <c r="L112" s="3">
        <v>1</v>
      </c>
      <c r="M112" s="11">
        <v>115000</v>
      </c>
      <c r="N112" s="3">
        <v>0</v>
      </c>
      <c r="O112" s="2" t="s">
        <v>25</v>
      </c>
      <c r="P112" s="2" t="s">
        <v>26</v>
      </c>
      <c r="Q112" s="2" t="s">
        <v>312</v>
      </c>
    </row>
    <row r="113" spans="1:17" x14ac:dyDescent="0.25">
      <c r="A113" s="1">
        <v>46170</v>
      </c>
      <c r="B113" s="1">
        <v>46168</v>
      </c>
      <c r="C113" s="2" t="s">
        <v>316</v>
      </c>
      <c r="D113" s="2" t="s">
        <v>18</v>
      </c>
      <c r="E113" s="2" t="s">
        <v>317</v>
      </c>
      <c r="F113" s="2" t="s">
        <v>35</v>
      </c>
      <c r="G113" s="2" t="s">
        <v>92</v>
      </c>
      <c r="H113" s="2" t="s">
        <v>77</v>
      </c>
      <c r="I113" s="2" t="s">
        <v>78</v>
      </c>
      <c r="J113" s="3">
        <v>10</v>
      </c>
      <c r="K113" s="2" t="s">
        <v>24</v>
      </c>
      <c r="L113" s="3">
        <v>10</v>
      </c>
      <c r="M113" s="11">
        <v>2749999.99</v>
      </c>
      <c r="N113" s="3">
        <v>0</v>
      </c>
      <c r="O113" s="2" t="s">
        <v>25</v>
      </c>
      <c r="P113" s="2" t="s">
        <v>26</v>
      </c>
      <c r="Q113" s="2" t="s">
        <v>34</v>
      </c>
    </row>
    <row r="114" spans="1:17" x14ac:dyDescent="0.25">
      <c r="A114" s="1">
        <v>46170</v>
      </c>
      <c r="B114" s="1">
        <v>46168</v>
      </c>
      <c r="C114" s="2" t="s">
        <v>316</v>
      </c>
      <c r="D114" s="2" t="s">
        <v>18</v>
      </c>
      <c r="E114" s="2" t="s">
        <v>317</v>
      </c>
      <c r="F114" s="2" t="s">
        <v>35</v>
      </c>
      <c r="G114" s="2" t="s">
        <v>92</v>
      </c>
      <c r="H114" s="2" t="s">
        <v>54</v>
      </c>
      <c r="I114" s="2" t="s">
        <v>55</v>
      </c>
      <c r="J114" s="3">
        <v>25</v>
      </c>
      <c r="K114" s="2" t="s">
        <v>24</v>
      </c>
      <c r="L114" s="3">
        <v>25</v>
      </c>
      <c r="M114" s="11">
        <v>7125000.0899999999</v>
      </c>
      <c r="N114" s="3">
        <v>0</v>
      </c>
      <c r="O114" s="2" t="s">
        <v>25</v>
      </c>
      <c r="P114" s="2" t="s">
        <v>26</v>
      </c>
      <c r="Q114" s="2" t="s">
        <v>34</v>
      </c>
    </row>
    <row r="115" spans="1:17" x14ac:dyDescent="0.25">
      <c r="A115" s="1">
        <v>46170</v>
      </c>
      <c r="B115" s="1">
        <v>46168</v>
      </c>
      <c r="C115" s="2" t="s">
        <v>318</v>
      </c>
      <c r="D115" s="2" t="s">
        <v>18</v>
      </c>
      <c r="E115" s="2" t="s">
        <v>319</v>
      </c>
      <c r="F115" s="2" t="s">
        <v>35</v>
      </c>
      <c r="G115" s="2" t="s">
        <v>36</v>
      </c>
      <c r="H115" s="2" t="s">
        <v>54</v>
      </c>
      <c r="I115" s="2" t="s">
        <v>55</v>
      </c>
      <c r="J115" s="3">
        <v>3</v>
      </c>
      <c r="K115" s="2" t="s">
        <v>24</v>
      </c>
      <c r="L115" s="3">
        <v>3</v>
      </c>
      <c r="M115" s="11">
        <v>982350</v>
      </c>
      <c r="N115" s="3">
        <v>0</v>
      </c>
      <c r="O115" s="2" t="s">
        <v>25</v>
      </c>
      <c r="P115" s="2" t="s">
        <v>26</v>
      </c>
      <c r="Q115" s="2" t="s">
        <v>34</v>
      </c>
    </row>
    <row r="116" spans="1:17" x14ac:dyDescent="0.25">
      <c r="A116" s="1">
        <v>46170</v>
      </c>
      <c r="B116" s="1">
        <v>46168</v>
      </c>
      <c r="C116" s="2" t="s">
        <v>320</v>
      </c>
      <c r="D116" s="2" t="s">
        <v>18</v>
      </c>
      <c r="E116" s="2" t="s">
        <v>168</v>
      </c>
      <c r="F116" s="2" t="s">
        <v>35</v>
      </c>
      <c r="G116" s="2" t="s">
        <v>53</v>
      </c>
      <c r="H116" s="2" t="s">
        <v>54</v>
      </c>
      <c r="I116" s="2" t="s">
        <v>55</v>
      </c>
      <c r="J116" s="3">
        <v>2</v>
      </c>
      <c r="K116" s="2" t="s">
        <v>24</v>
      </c>
      <c r="L116" s="3">
        <v>2</v>
      </c>
      <c r="M116" s="11">
        <v>620000</v>
      </c>
      <c r="N116" s="3">
        <v>0</v>
      </c>
      <c r="O116" s="2" t="s">
        <v>25</v>
      </c>
      <c r="P116" s="2" t="s">
        <v>26</v>
      </c>
      <c r="Q116" s="2" t="s">
        <v>34</v>
      </c>
    </row>
    <row r="117" spans="1:17" x14ac:dyDescent="0.25">
      <c r="A117" s="1">
        <v>46170</v>
      </c>
      <c r="B117" s="1">
        <v>46168</v>
      </c>
      <c r="C117" s="2" t="s">
        <v>321</v>
      </c>
      <c r="D117" s="2" t="s">
        <v>18</v>
      </c>
      <c r="E117" s="2" t="s">
        <v>168</v>
      </c>
      <c r="F117" s="2" t="s">
        <v>35</v>
      </c>
      <c r="G117" s="2" t="s">
        <v>53</v>
      </c>
      <c r="H117" s="2" t="s">
        <v>54</v>
      </c>
      <c r="I117" s="2" t="s">
        <v>55</v>
      </c>
      <c r="J117" s="3">
        <v>1</v>
      </c>
      <c r="K117" s="2" t="s">
        <v>24</v>
      </c>
      <c r="L117" s="3">
        <v>1</v>
      </c>
      <c r="M117" s="11">
        <v>310000</v>
      </c>
      <c r="N117" s="3">
        <v>0</v>
      </c>
      <c r="O117" s="2" t="s">
        <v>25</v>
      </c>
      <c r="P117" s="2" t="s">
        <v>26</v>
      </c>
      <c r="Q117" s="2" t="s">
        <v>34</v>
      </c>
    </row>
    <row r="118" spans="1:17" x14ac:dyDescent="0.25">
      <c r="A118" s="1">
        <v>46170</v>
      </c>
      <c r="B118" s="1">
        <v>46168</v>
      </c>
      <c r="C118" s="2" t="s">
        <v>322</v>
      </c>
      <c r="D118" s="2" t="s">
        <v>18</v>
      </c>
      <c r="E118" s="2" t="s">
        <v>323</v>
      </c>
      <c r="F118" s="2" t="s">
        <v>35</v>
      </c>
      <c r="G118" s="2" t="s">
        <v>36</v>
      </c>
      <c r="H118" s="2" t="s">
        <v>54</v>
      </c>
      <c r="I118" s="2" t="s">
        <v>55</v>
      </c>
      <c r="J118" s="3">
        <v>1</v>
      </c>
      <c r="K118" s="2" t="s">
        <v>24</v>
      </c>
      <c r="L118" s="3">
        <v>1</v>
      </c>
      <c r="M118" s="11">
        <v>300000</v>
      </c>
      <c r="N118" s="3">
        <v>0</v>
      </c>
      <c r="O118" s="2" t="s">
        <v>25</v>
      </c>
      <c r="P118" s="2" t="s">
        <v>26</v>
      </c>
      <c r="Q118" s="2" t="s">
        <v>34</v>
      </c>
    </row>
    <row r="119" spans="1:17" x14ac:dyDescent="0.25">
      <c r="A119" s="1">
        <v>46170</v>
      </c>
      <c r="B119" s="1">
        <v>46168</v>
      </c>
      <c r="C119" s="2" t="s">
        <v>322</v>
      </c>
      <c r="D119" s="2" t="s">
        <v>18</v>
      </c>
      <c r="E119" s="2" t="s">
        <v>323</v>
      </c>
      <c r="F119" s="2" t="s">
        <v>35</v>
      </c>
      <c r="G119" s="2" t="s">
        <v>36</v>
      </c>
      <c r="H119" s="2" t="s">
        <v>106</v>
      </c>
      <c r="I119" s="2" t="s">
        <v>107</v>
      </c>
      <c r="J119" s="3">
        <v>1</v>
      </c>
      <c r="K119" s="2" t="s">
        <v>24</v>
      </c>
      <c r="L119" s="3">
        <v>1</v>
      </c>
      <c r="M119" s="11">
        <v>304999.99</v>
      </c>
      <c r="N119" s="3">
        <v>0</v>
      </c>
      <c r="O119" s="2" t="s">
        <v>25</v>
      </c>
      <c r="P119" s="2" t="s">
        <v>26</v>
      </c>
      <c r="Q119" s="2" t="s">
        <v>34</v>
      </c>
    </row>
    <row r="120" spans="1:17" x14ac:dyDescent="0.25">
      <c r="A120" s="1">
        <v>46170</v>
      </c>
      <c r="B120" s="1">
        <v>46168</v>
      </c>
      <c r="C120" s="2" t="s">
        <v>324</v>
      </c>
      <c r="D120" s="2" t="s">
        <v>18</v>
      </c>
      <c r="E120" s="2" t="s">
        <v>175</v>
      </c>
      <c r="F120" s="2" t="s">
        <v>35</v>
      </c>
      <c r="G120" s="2" t="s">
        <v>36</v>
      </c>
      <c r="H120" s="2" t="s">
        <v>93</v>
      </c>
      <c r="I120" s="2" t="s">
        <v>94</v>
      </c>
      <c r="J120" s="3">
        <v>30</v>
      </c>
      <c r="K120" s="2" t="s">
        <v>33</v>
      </c>
      <c r="L120" s="3">
        <v>27.879899999999999</v>
      </c>
      <c r="M120" s="11">
        <v>6133600</v>
      </c>
      <c r="N120" s="3">
        <v>-2.1200999999999999</v>
      </c>
      <c r="O120" s="2" t="s">
        <v>25</v>
      </c>
      <c r="P120" s="2" t="s">
        <v>26</v>
      </c>
      <c r="Q120" s="2" t="s">
        <v>34</v>
      </c>
    </row>
    <row r="121" spans="1:17" x14ac:dyDescent="0.25">
      <c r="A121" s="1">
        <v>46170</v>
      </c>
      <c r="B121" s="1">
        <v>46168</v>
      </c>
      <c r="C121" s="2" t="s">
        <v>325</v>
      </c>
      <c r="D121" s="2" t="s">
        <v>18</v>
      </c>
      <c r="E121" s="2" t="s">
        <v>326</v>
      </c>
      <c r="F121" s="2" t="s">
        <v>35</v>
      </c>
      <c r="G121" s="2" t="s">
        <v>36</v>
      </c>
      <c r="H121" s="2" t="s">
        <v>141</v>
      </c>
      <c r="I121" s="2" t="s">
        <v>142</v>
      </c>
      <c r="J121" s="3">
        <v>2</v>
      </c>
      <c r="K121" s="2" t="s">
        <v>33</v>
      </c>
      <c r="L121" s="3">
        <v>2</v>
      </c>
      <c r="M121" s="11">
        <v>71999.990000000005</v>
      </c>
      <c r="N121" s="3">
        <v>0</v>
      </c>
      <c r="O121" s="2" t="s">
        <v>25</v>
      </c>
      <c r="P121" s="2" t="s">
        <v>26</v>
      </c>
      <c r="Q121" s="2" t="s">
        <v>34</v>
      </c>
    </row>
    <row r="122" spans="1:17" x14ac:dyDescent="0.25">
      <c r="A122" s="1">
        <v>46170</v>
      </c>
      <c r="B122" s="1">
        <v>46168</v>
      </c>
      <c r="C122" s="2" t="s">
        <v>327</v>
      </c>
      <c r="D122" s="2" t="s">
        <v>18</v>
      </c>
      <c r="E122" s="2" t="s">
        <v>326</v>
      </c>
      <c r="F122" s="2" t="s">
        <v>35</v>
      </c>
      <c r="G122" s="2" t="s">
        <v>36</v>
      </c>
      <c r="H122" s="2" t="s">
        <v>328</v>
      </c>
      <c r="I122" s="2" t="s">
        <v>329</v>
      </c>
      <c r="J122" s="3">
        <v>1</v>
      </c>
      <c r="K122" s="2" t="s">
        <v>330</v>
      </c>
      <c r="L122" s="3">
        <v>1</v>
      </c>
      <c r="M122" s="11">
        <v>13320</v>
      </c>
      <c r="N122" s="3">
        <v>0</v>
      </c>
      <c r="O122" s="2" t="s">
        <v>25</v>
      </c>
      <c r="P122" s="2" t="s">
        <v>26</v>
      </c>
      <c r="Q122" s="2" t="s">
        <v>34</v>
      </c>
    </row>
    <row r="123" spans="1:17" x14ac:dyDescent="0.25">
      <c r="A123" s="1">
        <v>46170</v>
      </c>
      <c r="B123" s="1">
        <v>46168</v>
      </c>
      <c r="C123" s="2" t="s">
        <v>331</v>
      </c>
      <c r="D123" s="2" t="s">
        <v>18</v>
      </c>
      <c r="E123" s="2" t="s">
        <v>326</v>
      </c>
      <c r="F123" s="2" t="s">
        <v>35</v>
      </c>
      <c r="G123" s="2" t="s">
        <v>36</v>
      </c>
      <c r="H123" s="2" t="s">
        <v>141</v>
      </c>
      <c r="I123" s="2" t="s">
        <v>142</v>
      </c>
      <c r="J123" s="3">
        <v>1</v>
      </c>
      <c r="K123" s="2" t="s">
        <v>33</v>
      </c>
      <c r="L123" s="3">
        <v>1</v>
      </c>
      <c r="M123" s="11">
        <v>36000</v>
      </c>
      <c r="N123" s="3">
        <v>0</v>
      </c>
      <c r="O123" s="2" t="s">
        <v>25</v>
      </c>
      <c r="P123" s="2" t="s">
        <v>26</v>
      </c>
      <c r="Q123" s="2" t="s">
        <v>34</v>
      </c>
    </row>
    <row r="124" spans="1:17" x14ac:dyDescent="0.25">
      <c r="A124" s="1">
        <v>46170</v>
      </c>
      <c r="B124" s="1">
        <v>46168</v>
      </c>
      <c r="C124" s="2" t="s">
        <v>332</v>
      </c>
      <c r="D124" s="2" t="s">
        <v>18</v>
      </c>
      <c r="E124" s="2" t="s">
        <v>326</v>
      </c>
      <c r="F124" s="2" t="s">
        <v>35</v>
      </c>
      <c r="G124" s="2" t="s">
        <v>36</v>
      </c>
      <c r="H124" s="2" t="s">
        <v>277</v>
      </c>
      <c r="I124" s="2" t="s">
        <v>278</v>
      </c>
      <c r="J124" s="3">
        <v>6</v>
      </c>
      <c r="K124" s="2" t="s">
        <v>33</v>
      </c>
      <c r="L124" s="3">
        <v>4.3</v>
      </c>
      <c r="M124" s="11">
        <v>696600</v>
      </c>
      <c r="N124" s="3">
        <v>-1.7</v>
      </c>
      <c r="O124" s="2" t="s">
        <v>25</v>
      </c>
      <c r="P124" s="2" t="s">
        <v>26</v>
      </c>
      <c r="Q124" s="2" t="s">
        <v>34</v>
      </c>
    </row>
    <row r="125" spans="1:17" x14ac:dyDescent="0.25">
      <c r="A125" s="1">
        <v>46170</v>
      </c>
      <c r="B125" s="1">
        <v>46168</v>
      </c>
      <c r="C125" s="2" t="s">
        <v>335</v>
      </c>
      <c r="D125" s="2" t="s">
        <v>18</v>
      </c>
      <c r="E125" s="2" t="s">
        <v>333</v>
      </c>
      <c r="F125" s="2" t="s">
        <v>35</v>
      </c>
      <c r="G125" s="2" t="s">
        <v>36</v>
      </c>
      <c r="H125" s="2" t="s">
        <v>244</v>
      </c>
      <c r="I125" s="2" t="s">
        <v>245</v>
      </c>
      <c r="J125" s="3">
        <v>9.1998999999999995</v>
      </c>
      <c r="K125" s="2" t="s">
        <v>33</v>
      </c>
      <c r="L125" s="3">
        <v>9.1998999999999995</v>
      </c>
      <c r="M125" s="11">
        <v>920000</v>
      </c>
      <c r="N125" s="3">
        <v>0</v>
      </c>
      <c r="O125" s="2" t="s">
        <v>25</v>
      </c>
      <c r="P125" s="2" t="s">
        <v>26</v>
      </c>
      <c r="Q125" s="2" t="s">
        <v>334</v>
      </c>
    </row>
    <row r="126" spans="1:17" x14ac:dyDescent="0.25">
      <c r="A126" s="1">
        <v>46170</v>
      </c>
      <c r="B126" s="1">
        <v>46168</v>
      </c>
      <c r="C126" s="2" t="s">
        <v>336</v>
      </c>
      <c r="D126" s="2" t="s">
        <v>18</v>
      </c>
      <c r="E126" s="2" t="s">
        <v>337</v>
      </c>
      <c r="F126" s="2" t="s">
        <v>20</v>
      </c>
      <c r="G126" s="2" t="s">
        <v>53</v>
      </c>
      <c r="H126" s="2" t="s">
        <v>338</v>
      </c>
      <c r="I126" s="2" t="s">
        <v>339</v>
      </c>
      <c r="J126" s="3">
        <v>72</v>
      </c>
      <c r="K126" s="2" t="s">
        <v>37</v>
      </c>
      <c r="L126" s="3">
        <v>72</v>
      </c>
      <c r="M126" s="11">
        <v>2769228</v>
      </c>
      <c r="N126" s="3">
        <v>0</v>
      </c>
      <c r="O126" s="2" t="s">
        <v>25</v>
      </c>
      <c r="P126" s="2" t="s">
        <v>26</v>
      </c>
      <c r="Q126" s="2" t="s">
        <v>340</v>
      </c>
    </row>
    <row r="127" spans="1:17" x14ac:dyDescent="0.25">
      <c r="A127" s="1">
        <v>46170</v>
      </c>
      <c r="B127" s="1">
        <v>46168</v>
      </c>
      <c r="C127" s="2" t="s">
        <v>341</v>
      </c>
      <c r="D127" s="2" t="s">
        <v>18</v>
      </c>
      <c r="E127" s="2" t="s">
        <v>342</v>
      </c>
      <c r="F127" s="2" t="s">
        <v>20</v>
      </c>
      <c r="G127" s="2" t="s">
        <v>115</v>
      </c>
      <c r="H127" s="2" t="s">
        <v>116</v>
      </c>
      <c r="I127" s="2" t="s">
        <v>117</v>
      </c>
      <c r="J127" s="3">
        <v>12</v>
      </c>
      <c r="K127" s="2" t="s">
        <v>87</v>
      </c>
      <c r="L127" s="3">
        <v>12</v>
      </c>
      <c r="M127" s="11">
        <v>757199.99</v>
      </c>
      <c r="N127" s="3">
        <v>0</v>
      </c>
      <c r="O127" s="2" t="s">
        <v>25</v>
      </c>
      <c r="P127" s="2" t="s">
        <v>26</v>
      </c>
      <c r="Q127" s="2" t="s">
        <v>343</v>
      </c>
    </row>
    <row r="128" spans="1:17" x14ac:dyDescent="0.25">
      <c r="A128" s="1">
        <v>46170</v>
      </c>
      <c r="B128" s="1">
        <v>46168</v>
      </c>
      <c r="C128" s="2" t="s">
        <v>341</v>
      </c>
      <c r="D128" s="2" t="s">
        <v>18</v>
      </c>
      <c r="E128" s="2" t="s">
        <v>342</v>
      </c>
      <c r="F128" s="2" t="s">
        <v>20</v>
      </c>
      <c r="G128" s="2" t="s">
        <v>115</v>
      </c>
      <c r="H128" s="2" t="s">
        <v>208</v>
      </c>
      <c r="I128" s="2" t="s">
        <v>209</v>
      </c>
      <c r="J128" s="3">
        <v>9</v>
      </c>
      <c r="K128" s="2" t="s">
        <v>87</v>
      </c>
      <c r="L128" s="3">
        <v>9</v>
      </c>
      <c r="M128" s="11">
        <v>945000</v>
      </c>
      <c r="N128" s="3">
        <v>0</v>
      </c>
      <c r="O128" s="2" t="s">
        <v>25</v>
      </c>
      <c r="P128" s="2" t="s">
        <v>26</v>
      </c>
      <c r="Q128" s="2" t="s">
        <v>343</v>
      </c>
    </row>
    <row r="129" spans="1:17" x14ac:dyDescent="0.25">
      <c r="A129" s="1">
        <v>46170</v>
      </c>
      <c r="B129" s="1">
        <v>46168</v>
      </c>
      <c r="C129" s="2" t="s">
        <v>344</v>
      </c>
      <c r="D129" s="2" t="s">
        <v>18</v>
      </c>
      <c r="E129" s="2" t="s">
        <v>345</v>
      </c>
      <c r="F129" s="2" t="s">
        <v>35</v>
      </c>
      <c r="G129" s="2" t="s">
        <v>81</v>
      </c>
      <c r="H129" s="2" t="s">
        <v>54</v>
      </c>
      <c r="I129" s="2" t="s">
        <v>55</v>
      </c>
      <c r="J129" s="3">
        <v>4</v>
      </c>
      <c r="K129" s="2" t="s">
        <v>24</v>
      </c>
      <c r="L129" s="3">
        <v>4</v>
      </c>
      <c r="M129" s="11">
        <v>1280000.01</v>
      </c>
      <c r="N129" s="3">
        <v>0</v>
      </c>
      <c r="O129" s="2" t="s">
        <v>25</v>
      </c>
      <c r="P129" s="2" t="s">
        <v>26</v>
      </c>
      <c r="Q129" s="2" t="s">
        <v>34</v>
      </c>
    </row>
    <row r="130" spans="1:17" x14ac:dyDescent="0.25">
      <c r="A130" s="1">
        <v>46170</v>
      </c>
      <c r="B130" s="1">
        <v>46168</v>
      </c>
      <c r="C130" s="2" t="s">
        <v>346</v>
      </c>
      <c r="D130" s="2" t="s">
        <v>18</v>
      </c>
      <c r="E130" s="2" t="s">
        <v>347</v>
      </c>
      <c r="F130" s="2" t="s">
        <v>20</v>
      </c>
      <c r="G130" s="2" t="s">
        <v>47</v>
      </c>
      <c r="H130" s="2" t="s">
        <v>348</v>
      </c>
      <c r="I130" s="2" t="s">
        <v>349</v>
      </c>
      <c r="J130" s="3">
        <v>15</v>
      </c>
      <c r="K130" s="2" t="s">
        <v>33</v>
      </c>
      <c r="L130" s="3">
        <v>14.4499</v>
      </c>
      <c r="M130" s="11">
        <v>2095250</v>
      </c>
      <c r="N130" s="3">
        <v>-0.55010000000000003</v>
      </c>
      <c r="O130" s="2" t="s">
        <v>25</v>
      </c>
      <c r="P130" s="2" t="s">
        <v>26</v>
      </c>
      <c r="Q130" s="2" t="s">
        <v>34</v>
      </c>
    </row>
    <row r="131" spans="1:17" x14ac:dyDescent="0.25">
      <c r="A131" s="1">
        <v>46170</v>
      </c>
      <c r="B131" s="1">
        <v>46168</v>
      </c>
      <c r="C131" s="2" t="s">
        <v>350</v>
      </c>
      <c r="D131" s="2" t="s">
        <v>18</v>
      </c>
      <c r="E131" s="2" t="s">
        <v>351</v>
      </c>
      <c r="F131" s="2" t="s">
        <v>35</v>
      </c>
      <c r="G131" s="2" t="s">
        <v>81</v>
      </c>
      <c r="H131" s="2" t="s">
        <v>141</v>
      </c>
      <c r="I131" s="2" t="s">
        <v>142</v>
      </c>
      <c r="J131" s="3">
        <v>20</v>
      </c>
      <c r="K131" s="2" t="s">
        <v>33</v>
      </c>
      <c r="L131" s="3">
        <v>20</v>
      </c>
      <c r="M131" s="11">
        <v>699999.97</v>
      </c>
      <c r="N131" s="3">
        <v>0</v>
      </c>
      <c r="O131" s="2" t="s">
        <v>25</v>
      </c>
      <c r="P131" s="2" t="s">
        <v>26</v>
      </c>
      <c r="Q131" s="2" t="s">
        <v>34</v>
      </c>
    </row>
    <row r="132" spans="1:17" x14ac:dyDescent="0.25">
      <c r="A132" s="1">
        <v>46170</v>
      </c>
      <c r="B132" s="1">
        <v>46168</v>
      </c>
      <c r="C132" s="2" t="s">
        <v>352</v>
      </c>
      <c r="D132" s="2" t="s">
        <v>18</v>
      </c>
      <c r="E132" s="2" t="s">
        <v>353</v>
      </c>
      <c r="F132" s="2" t="s">
        <v>35</v>
      </c>
      <c r="G132" s="2" t="s">
        <v>92</v>
      </c>
      <c r="H132" s="2" t="s">
        <v>54</v>
      </c>
      <c r="I132" s="2" t="s">
        <v>55</v>
      </c>
      <c r="J132" s="3">
        <v>10</v>
      </c>
      <c r="K132" s="2" t="s">
        <v>24</v>
      </c>
      <c r="L132" s="3">
        <v>10</v>
      </c>
      <c r="M132" s="11">
        <v>3274500</v>
      </c>
      <c r="N132" s="3">
        <v>0</v>
      </c>
      <c r="O132" s="2" t="s">
        <v>25</v>
      </c>
      <c r="P132" s="2" t="s">
        <v>26</v>
      </c>
      <c r="Q132" s="2" t="s">
        <v>34</v>
      </c>
    </row>
    <row r="133" spans="1:17" x14ac:dyDescent="0.25">
      <c r="A133" s="1">
        <v>46170</v>
      </c>
      <c r="B133" s="1">
        <v>46168</v>
      </c>
      <c r="C133" s="2" t="s">
        <v>354</v>
      </c>
      <c r="D133" s="2" t="s">
        <v>18</v>
      </c>
      <c r="E133" s="2" t="s">
        <v>213</v>
      </c>
      <c r="F133" s="2" t="s">
        <v>35</v>
      </c>
      <c r="G133" s="2" t="s">
        <v>81</v>
      </c>
      <c r="H133" s="2" t="s">
        <v>54</v>
      </c>
      <c r="I133" s="2" t="s">
        <v>55</v>
      </c>
      <c r="J133" s="3">
        <v>3</v>
      </c>
      <c r="K133" s="2" t="s">
        <v>24</v>
      </c>
      <c r="L133" s="3">
        <v>3</v>
      </c>
      <c r="M133" s="11">
        <v>945000</v>
      </c>
      <c r="N133" s="3">
        <v>0</v>
      </c>
      <c r="O133" s="2" t="s">
        <v>25</v>
      </c>
      <c r="P133" s="2" t="s">
        <v>26</v>
      </c>
      <c r="Q133" s="2" t="s">
        <v>34</v>
      </c>
    </row>
    <row r="134" spans="1:17" x14ac:dyDescent="0.25">
      <c r="A134" s="1">
        <v>46170</v>
      </c>
      <c r="B134" s="1">
        <v>46168</v>
      </c>
      <c r="C134" s="2" t="s">
        <v>354</v>
      </c>
      <c r="D134" s="2" t="s">
        <v>18</v>
      </c>
      <c r="E134" s="2" t="s">
        <v>213</v>
      </c>
      <c r="F134" s="2" t="s">
        <v>35</v>
      </c>
      <c r="G134" s="2" t="s">
        <v>81</v>
      </c>
      <c r="H134" s="2" t="s">
        <v>182</v>
      </c>
      <c r="I134" s="2" t="s">
        <v>183</v>
      </c>
      <c r="J134" s="3">
        <v>2</v>
      </c>
      <c r="K134" s="2" t="s">
        <v>24</v>
      </c>
      <c r="L134" s="3">
        <v>2</v>
      </c>
      <c r="M134" s="11">
        <v>1120000</v>
      </c>
      <c r="N134" s="3">
        <v>0</v>
      </c>
      <c r="O134" s="2" t="s">
        <v>25</v>
      </c>
      <c r="P134" s="2" t="s">
        <v>26</v>
      </c>
      <c r="Q134" s="2" t="s">
        <v>34</v>
      </c>
    </row>
    <row r="135" spans="1:17" x14ac:dyDescent="0.25">
      <c r="A135" s="1">
        <v>46170</v>
      </c>
      <c r="B135" s="1">
        <v>46168</v>
      </c>
      <c r="C135" s="2" t="s">
        <v>355</v>
      </c>
      <c r="D135" s="2" t="s">
        <v>18</v>
      </c>
      <c r="E135" s="2" t="s">
        <v>356</v>
      </c>
      <c r="F135" s="2" t="s">
        <v>20</v>
      </c>
      <c r="G135" s="2" t="s">
        <v>21</v>
      </c>
      <c r="H135" s="2" t="s">
        <v>293</v>
      </c>
      <c r="I135" s="2" t="s">
        <v>294</v>
      </c>
      <c r="J135" s="3">
        <v>1</v>
      </c>
      <c r="K135" s="2" t="s">
        <v>24</v>
      </c>
      <c r="L135" s="3">
        <v>1</v>
      </c>
      <c r="M135" s="11">
        <v>294999.99</v>
      </c>
      <c r="N135" s="3">
        <v>0</v>
      </c>
      <c r="O135" s="2" t="s">
        <v>25</v>
      </c>
      <c r="P135" s="2" t="s">
        <v>26</v>
      </c>
      <c r="Q135" s="2" t="s">
        <v>34</v>
      </c>
    </row>
    <row r="136" spans="1:17" x14ac:dyDescent="0.25">
      <c r="A136" s="1">
        <v>46170</v>
      </c>
      <c r="B136" s="1">
        <v>46168</v>
      </c>
      <c r="C136" s="2" t="s">
        <v>357</v>
      </c>
      <c r="D136" s="2" t="s">
        <v>18</v>
      </c>
      <c r="E136" s="2" t="s">
        <v>75</v>
      </c>
      <c r="F136" s="2" t="s">
        <v>35</v>
      </c>
      <c r="G136" s="2" t="s">
        <v>76</v>
      </c>
      <c r="H136" s="2" t="s">
        <v>54</v>
      </c>
      <c r="I136" s="2" t="s">
        <v>55</v>
      </c>
      <c r="J136" s="3">
        <v>1</v>
      </c>
      <c r="K136" s="2" t="s">
        <v>24</v>
      </c>
      <c r="L136" s="3">
        <v>1</v>
      </c>
      <c r="M136" s="11">
        <v>315000</v>
      </c>
      <c r="N136" s="3">
        <v>0</v>
      </c>
      <c r="O136" s="2" t="s">
        <v>25</v>
      </c>
      <c r="P136" s="2" t="s">
        <v>26</v>
      </c>
      <c r="Q136" s="2" t="s">
        <v>34</v>
      </c>
    </row>
    <row r="137" spans="1:17" x14ac:dyDescent="0.25">
      <c r="A137" s="1">
        <v>46170</v>
      </c>
      <c r="B137" s="1">
        <v>46168</v>
      </c>
      <c r="C137" s="2" t="s">
        <v>357</v>
      </c>
      <c r="D137" s="2" t="s">
        <v>18</v>
      </c>
      <c r="E137" s="2" t="s">
        <v>75</v>
      </c>
      <c r="F137" s="2" t="s">
        <v>35</v>
      </c>
      <c r="G137" s="2" t="s">
        <v>76</v>
      </c>
      <c r="H137" s="2" t="s">
        <v>77</v>
      </c>
      <c r="I137" s="2" t="s">
        <v>78</v>
      </c>
      <c r="J137" s="3">
        <v>1</v>
      </c>
      <c r="K137" s="2" t="s">
        <v>24</v>
      </c>
      <c r="L137" s="3">
        <v>1</v>
      </c>
      <c r="M137" s="11">
        <v>314999.99</v>
      </c>
      <c r="N137" s="3">
        <v>0</v>
      </c>
      <c r="O137" s="2" t="s">
        <v>25</v>
      </c>
      <c r="P137" s="2" t="s">
        <v>26</v>
      </c>
      <c r="Q137" s="2" t="s">
        <v>34</v>
      </c>
    </row>
    <row r="138" spans="1:17" x14ac:dyDescent="0.25">
      <c r="A138" s="1">
        <v>46170</v>
      </c>
      <c r="B138" s="1">
        <v>46168</v>
      </c>
      <c r="C138" s="2" t="s">
        <v>358</v>
      </c>
      <c r="D138" s="2" t="s">
        <v>18</v>
      </c>
      <c r="E138" s="2" t="s">
        <v>359</v>
      </c>
      <c r="F138" s="2" t="s">
        <v>20</v>
      </c>
      <c r="G138" s="2" t="s">
        <v>58</v>
      </c>
      <c r="H138" s="2" t="s">
        <v>106</v>
      </c>
      <c r="I138" s="2" t="s">
        <v>107</v>
      </c>
      <c r="J138" s="3">
        <v>6</v>
      </c>
      <c r="K138" s="2" t="s">
        <v>24</v>
      </c>
      <c r="L138" s="3">
        <v>6</v>
      </c>
      <c r="M138" s="11">
        <v>1949999.99</v>
      </c>
      <c r="N138" s="3">
        <v>0</v>
      </c>
      <c r="O138" s="2" t="s">
        <v>25</v>
      </c>
      <c r="P138" s="2" t="s">
        <v>26</v>
      </c>
      <c r="Q138" s="2" t="s">
        <v>34</v>
      </c>
    </row>
    <row r="139" spans="1:17" x14ac:dyDescent="0.25">
      <c r="A139" s="1">
        <v>46170</v>
      </c>
      <c r="B139" s="1">
        <v>46168</v>
      </c>
      <c r="C139" s="2" t="s">
        <v>360</v>
      </c>
      <c r="D139" s="2" t="s">
        <v>18</v>
      </c>
      <c r="E139" s="2" t="s">
        <v>96</v>
      </c>
      <c r="F139" s="2" t="s">
        <v>35</v>
      </c>
      <c r="G139" s="2" t="s">
        <v>36</v>
      </c>
      <c r="H139" s="2" t="s">
        <v>54</v>
      </c>
      <c r="I139" s="2" t="s">
        <v>55</v>
      </c>
      <c r="J139" s="3">
        <v>20</v>
      </c>
      <c r="K139" s="2" t="s">
        <v>24</v>
      </c>
      <c r="L139" s="3">
        <v>20</v>
      </c>
      <c r="M139" s="11">
        <v>5599999.9900000002</v>
      </c>
      <c r="N139" s="3">
        <v>0</v>
      </c>
      <c r="O139" s="2" t="s">
        <v>25</v>
      </c>
      <c r="P139" s="2" t="s">
        <v>26</v>
      </c>
      <c r="Q139" s="2" t="s">
        <v>34</v>
      </c>
    </row>
    <row r="140" spans="1:17" x14ac:dyDescent="0.25">
      <c r="A140" s="1">
        <v>46170</v>
      </c>
      <c r="B140" s="1">
        <v>46168</v>
      </c>
      <c r="C140" s="2" t="s">
        <v>361</v>
      </c>
      <c r="D140" s="2" t="s">
        <v>18</v>
      </c>
      <c r="E140" s="2" t="s">
        <v>362</v>
      </c>
      <c r="F140" s="2" t="s">
        <v>35</v>
      </c>
      <c r="G140" s="2" t="s">
        <v>81</v>
      </c>
      <c r="H140" s="2" t="s">
        <v>277</v>
      </c>
      <c r="I140" s="2" t="s">
        <v>278</v>
      </c>
      <c r="J140" s="3">
        <v>5</v>
      </c>
      <c r="K140" s="2" t="s">
        <v>33</v>
      </c>
      <c r="L140" s="3">
        <v>4.1500000000000004</v>
      </c>
      <c r="M140" s="11">
        <v>655700</v>
      </c>
      <c r="N140" s="3">
        <v>-0.85</v>
      </c>
      <c r="O140" s="2" t="s">
        <v>25</v>
      </c>
      <c r="P140" s="2" t="s">
        <v>26</v>
      </c>
      <c r="Q140" s="2" t="s">
        <v>34</v>
      </c>
    </row>
    <row r="141" spans="1:17" x14ac:dyDescent="0.25">
      <c r="A141" s="1">
        <v>46170</v>
      </c>
      <c r="B141" s="1">
        <v>46168</v>
      </c>
      <c r="C141" s="2" t="s">
        <v>363</v>
      </c>
      <c r="D141" s="2" t="s">
        <v>18</v>
      </c>
      <c r="E141" s="2" t="s">
        <v>364</v>
      </c>
      <c r="F141" s="2" t="s">
        <v>35</v>
      </c>
      <c r="G141" s="2" t="s">
        <v>92</v>
      </c>
      <c r="H141" s="2" t="s">
        <v>100</v>
      </c>
      <c r="I141" s="2" t="s">
        <v>101</v>
      </c>
      <c r="J141" s="3">
        <v>6</v>
      </c>
      <c r="K141" s="2" t="s">
        <v>37</v>
      </c>
      <c r="L141" s="3">
        <v>6</v>
      </c>
      <c r="M141" s="11">
        <v>279720</v>
      </c>
      <c r="N141" s="3">
        <v>0</v>
      </c>
      <c r="O141" s="2" t="s">
        <v>25</v>
      </c>
      <c r="P141" s="2" t="s">
        <v>26</v>
      </c>
      <c r="Q141" s="2" t="s">
        <v>34</v>
      </c>
    </row>
    <row r="142" spans="1:17" x14ac:dyDescent="0.25">
      <c r="A142" s="1">
        <v>46170</v>
      </c>
      <c r="B142" s="1">
        <v>46168</v>
      </c>
      <c r="C142" s="2" t="s">
        <v>365</v>
      </c>
      <c r="D142" s="2" t="s">
        <v>18</v>
      </c>
      <c r="E142" s="2" t="s">
        <v>366</v>
      </c>
      <c r="F142" s="2" t="s">
        <v>35</v>
      </c>
      <c r="G142" s="2" t="s">
        <v>92</v>
      </c>
      <c r="H142" s="2" t="s">
        <v>141</v>
      </c>
      <c r="I142" s="2" t="s">
        <v>142</v>
      </c>
      <c r="J142" s="3">
        <v>12</v>
      </c>
      <c r="K142" s="2" t="s">
        <v>33</v>
      </c>
      <c r="L142" s="3">
        <v>12</v>
      </c>
      <c r="M142" s="11">
        <v>435564</v>
      </c>
      <c r="N142" s="3">
        <v>0</v>
      </c>
      <c r="O142" s="2" t="s">
        <v>25</v>
      </c>
      <c r="P142" s="2" t="s">
        <v>26</v>
      </c>
      <c r="Q142" s="2" t="s">
        <v>367</v>
      </c>
    </row>
    <row r="143" spans="1:17" x14ac:dyDescent="0.25">
      <c r="A143" s="1">
        <v>46170</v>
      </c>
      <c r="B143" s="1">
        <v>46168</v>
      </c>
      <c r="C143" s="2" t="s">
        <v>368</v>
      </c>
      <c r="D143" s="2" t="s">
        <v>18</v>
      </c>
      <c r="E143" s="2" t="s">
        <v>369</v>
      </c>
      <c r="F143" s="2" t="s">
        <v>35</v>
      </c>
      <c r="G143" s="2" t="s">
        <v>62</v>
      </c>
      <c r="H143" s="2" t="s">
        <v>54</v>
      </c>
      <c r="I143" s="2" t="s">
        <v>55</v>
      </c>
      <c r="J143" s="3">
        <v>1</v>
      </c>
      <c r="K143" s="2" t="s">
        <v>24</v>
      </c>
      <c r="L143" s="3">
        <v>1</v>
      </c>
      <c r="M143" s="11">
        <v>275000</v>
      </c>
      <c r="N143" s="3">
        <v>0</v>
      </c>
      <c r="O143" s="2" t="s">
        <v>25</v>
      </c>
      <c r="P143" s="2" t="s">
        <v>26</v>
      </c>
      <c r="Q143" s="2" t="s">
        <v>34</v>
      </c>
    </row>
    <row r="144" spans="1:17" x14ac:dyDescent="0.25">
      <c r="A144" s="1">
        <v>46170</v>
      </c>
      <c r="B144" s="1">
        <v>46168</v>
      </c>
      <c r="C144" s="2" t="s">
        <v>370</v>
      </c>
      <c r="D144" s="2" t="s">
        <v>18</v>
      </c>
      <c r="E144" s="2" t="s">
        <v>371</v>
      </c>
      <c r="F144" s="2" t="s">
        <v>35</v>
      </c>
      <c r="G144" s="2" t="s">
        <v>92</v>
      </c>
      <c r="H144" s="2" t="s">
        <v>54</v>
      </c>
      <c r="I144" s="2" t="s">
        <v>55</v>
      </c>
      <c r="J144" s="3">
        <v>2</v>
      </c>
      <c r="K144" s="2" t="s">
        <v>24</v>
      </c>
      <c r="L144" s="3">
        <v>2</v>
      </c>
      <c r="M144" s="11">
        <v>554000</v>
      </c>
      <c r="N144" s="3">
        <v>0</v>
      </c>
      <c r="O144" s="2" t="s">
        <v>25</v>
      </c>
      <c r="P144" s="2" t="s">
        <v>26</v>
      </c>
      <c r="Q144" s="2" t="s">
        <v>34</v>
      </c>
    </row>
    <row r="145" spans="1:17" x14ac:dyDescent="0.25">
      <c r="A145" s="1">
        <v>46170</v>
      </c>
      <c r="B145" s="1">
        <v>46168</v>
      </c>
      <c r="C145" s="2" t="s">
        <v>372</v>
      </c>
      <c r="D145" s="2" t="s">
        <v>18</v>
      </c>
      <c r="E145" s="2" t="s">
        <v>373</v>
      </c>
      <c r="F145" s="2" t="s">
        <v>35</v>
      </c>
      <c r="G145" s="2" t="s">
        <v>115</v>
      </c>
      <c r="H145" s="2" t="s">
        <v>146</v>
      </c>
      <c r="I145" s="2" t="s">
        <v>147</v>
      </c>
      <c r="J145" s="3">
        <v>3</v>
      </c>
      <c r="K145" s="2" t="s">
        <v>87</v>
      </c>
      <c r="L145" s="3">
        <v>3</v>
      </c>
      <c r="M145" s="11">
        <v>192600.01</v>
      </c>
      <c r="N145" s="3">
        <v>0</v>
      </c>
      <c r="O145" s="2" t="s">
        <v>25</v>
      </c>
      <c r="P145" s="2" t="s">
        <v>26</v>
      </c>
      <c r="Q145" s="2" t="s">
        <v>34</v>
      </c>
    </row>
    <row r="146" spans="1:17" x14ac:dyDescent="0.25">
      <c r="A146" s="1">
        <v>46170</v>
      </c>
      <c r="B146" s="1">
        <v>46168</v>
      </c>
      <c r="C146" s="2" t="s">
        <v>372</v>
      </c>
      <c r="D146" s="2" t="s">
        <v>18</v>
      </c>
      <c r="E146" s="2" t="s">
        <v>373</v>
      </c>
      <c r="F146" s="2" t="s">
        <v>35</v>
      </c>
      <c r="G146" s="2" t="s">
        <v>115</v>
      </c>
      <c r="H146" s="2" t="s">
        <v>374</v>
      </c>
      <c r="I146" s="2" t="s">
        <v>375</v>
      </c>
      <c r="J146" s="3">
        <v>1</v>
      </c>
      <c r="K146" s="2" t="s">
        <v>87</v>
      </c>
      <c r="L146" s="3">
        <v>1</v>
      </c>
      <c r="M146" s="11">
        <v>68100</v>
      </c>
      <c r="N146" s="3">
        <v>0</v>
      </c>
      <c r="O146" s="2" t="s">
        <v>25</v>
      </c>
      <c r="P146" s="2" t="s">
        <v>26</v>
      </c>
      <c r="Q146" s="2" t="s">
        <v>34</v>
      </c>
    </row>
    <row r="147" spans="1:17" x14ac:dyDescent="0.25">
      <c r="A147" s="1">
        <v>46170</v>
      </c>
      <c r="B147" s="1">
        <v>46168</v>
      </c>
      <c r="C147" s="2" t="s">
        <v>372</v>
      </c>
      <c r="D147" s="2" t="s">
        <v>18</v>
      </c>
      <c r="E147" s="2" t="s">
        <v>373</v>
      </c>
      <c r="F147" s="2" t="s">
        <v>35</v>
      </c>
      <c r="G147" s="2" t="s">
        <v>115</v>
      </c>
      <c r="H147" s="2" t="s">
        <v>208</v>
      </c>
      <c r="I147" s="2" t="s">
        <v>209</v>
      </c>
      <c r="J147" s="3">
        <v>2</v>
      </c>
      <c r="K147" s="2" t="s">
        <v>87</v>
      </c>
      <c r="L147" s="3">
        <v>2</v>
      </c>
      <c r="M147" s="11">
        <v>210000</v>
      </c>
      <c r="N147" s="3">
        <v>0</v>
      </c>
      <c r="O147" s="2" t="s">
        <v>25</v>
      </c>
      <c r="P147" s="2" t="s">
        <v>26</v>
      </c>
      <c r="Q147" s="2" t="s">
        <v>34</v>
      </c>
    </row>
    <row r="148" spans="1:17" x14ac:dyDescent="0.25">
      <c r="A148" s="1">
        <v>46170</v>
      </c>
      <c r="B148" s="1">
        <v>46168</v>
      </c>
      <c r="C148" s="2" t="s">
        <v>376</v>
      </c>
      <c r="D148" s="2" t="s">
        <v>18</v>
      </c>
      <c r="E148" s="2" t="s">
        <v>377</v>
      </c>
      <c r="F148" s="2" t="s">
        <v>20</v>
      </c>
      <c r="G148" s="2" t="s">
        <v>62</v>
      </c>
      <c r="H148" s="2" t="s">
        <v>54</v>
      </c>
      <c r="I148" s="2" t="s">
        <v>55</v>
      </c>
      <c r="J148" s="3">
        <v>1</v>
      </c>
      <c r="K148" s="2" t="s">
        <v>24</v>
      </c>
      <c r="L148" s="3">
        <v>1</v>
      </c>
      <c r="M148" s="11">
        <v>327450</v>
      </c>
      <c r="N148" s="3">
        <v>0</v>
      </c>
      <c r="O148" s="2" t="s">
        <v>25</v>
      </c>
      <c r="P148" s="2" t="s">
        <v>26</v>
      </c>
      <c r="Q148" s="2" t="s">
        <v>34</v>
      </c>
    </row>
    <row r="149" spans="1:17" x14ac:dyDescent="0.25">
      <c r="A149" s="1">
        <v>46170</v>
      </c>
      <c r="B149" s="1">
        <v>46168</v>
      </c>
      <c r="C149" s="2" t="s">
        <v>378</v>
      </c>
      <c r="D149" s="2" t="s">
        <v>18</v>
      </c>
      <c r="E149" s="2" t="s">
        <v>379</v>
      </c>
      <c r="F149" s="2" t="s">
        <v>35</v>
      </c>
      <c r="G149" s="2" t="s">
        <v>62</v>
      </c>
      <c r="H149" s="2" t="s">
        <v>380</v>
      </c>
      <c r="I149" s="2" t="s">
        <v>381</v>
      </c>
      <c r="J149" s="3">
        <v>3</v>
      </c>
      <c r="K149" s="2" t="s">
        <v>33</v>
      </c>
      <c r="L149" s="3">
        <v>3</v>
      </c>
      <c r="M149" s="11">
        <v>315000</v>
      </c>
      <c r="N149" s="3">
        <v>0</v>
      </c>
      <c r="O149" s="2" t="s">
        <v>25</v>
      </c>
      <c r="P149" s="2" t="s">
        <v>26</v>
      </c>
      <c r="Q149" s="2" t="s">
        <v>34</v>
      </c>
    </row>
    <row r="150" spans="1:17" x14ac:dyDescent="0.25">
      <c r="A150" s="1">
        <v>46170</v>
      </c>
      <c r="B150" s="1">
        <v>46168</v>
      </c>
      <c r="C150" s="2" t="s">
        <v>382</v>
      </c>
      <c r="D150" s="2" t="s">
        <v>18</v>
      </c>
      <c r="E150" s="2" t="s">
        <v>383</v>
      </c>
      <c r="F150" s="2" t="s">
        <v>35</v>
      </c>
      <c r="G150" s="2" t="s">
        <v>384</v>
      </c>
      <c r="H150" s="2" t="s">
        <v>31</v>
      </c>
      <c r="I150" s="2" t="s">
        <v>32</v>
      </c>
      <c r="J150" s="3">
        <v>6</v>
      </c>
      <c r="K150" s="2" t="s">
        <v>33</v>
      </c>
      <c r="L150" s="3">
        <v>6</v>
      </c>
      <c r="M150" s="11">
        <v>89999.98</v>
      </c>
      <c r="N150" s="3">
        <v>0</v>
      </c>
      <c r="O150" s="2" t="s">
        <v>25</v>
      </c>
      <c r="P150" s="2" t="s">
        <v>26</v>
      </c>
      <c r="Q150" s="2" t="s">
        <v>34</v>
      </c>
    </row>
    <row r="151" spans="1:17" x14ac:dyDescent="0.25">
      <c r="A151" s="1">
        <v>46170</v>
      </c>
      <c r="B151" s="1">
        <v>46168</v>
      </c>
      <c r="C151" s="2" t="s">
        <v>385</v>
      </c>
      <c r="D151" s="2" t="s">
        <v>18</v>
      </c>
      <c r="E151" s="2" t="s">
        <v>383</v>
      </c>
      <c r="F151" s="2" t="s">
        <v>35</v>
      </c>
      <c r="G151" s="2" t="s">
        <v>384</v>
      </c>
      <c r="H151" s="2" t="s">
        <v>386</v>
      </c>
      <c r="I151" s="2" t="s">
        <v>387</v>
      </c>
      <c r="J151" s="3">
        <v>12</v>
      </c>
      <c r="K151" s="2" t="s">
        <v>388</v>
      </c>
      <c r="L151" s="3">
        <v>12</v>
      </c>
      <c r="M151" s="11">
        <v>237000</v>
      </c>
      <c r="N151" s="3">
        <v>0</v>
      </c>
      <c r="O151" s="2" t="s">
        <v>25</v>
      </c>
      <c r="P151" s="2" t="s">
        <v>26</v>
      </c>
      <c r="Q151" s="2" t="s">
        <v>34</v>
      </c>
    </row>
    <row r="152" spans="1:17" x14ac:dyDescent="0.25">
      <c r="A152" s="1">
        <v>46170</v>
      </c>
      <c r="B152" s="1">
        <v>46168</v>
      </c>
      <c r="C152" s="2" t="s">
        <v>389</v>
      </c>
      <c r="D152" s="2" t="s">
        <v>18</v>
      </c>
      <c r="E152" s="2" t="s">
        <v>390</v>
      </c>
      <c r="F152" s="2" t="s">
        <v>35</v>
      </c>
      <c r="G152" s="2" t="s">
        <v>384</v>
      </c>
      <c r="H152" s="2" t="s">
        <v>391</v>
      </c>
      <c r="I152" s="2" t="s">
        <v>392</v>
      </c>
      <c r="J152" s="3">
        <v>8</v>
      </c>
      <c r="K152" s="2" t="s">
        <v>393</v>
      </c>
      <c r="L152" s="3">
        <v>8</v>
      </c>
      <c r="M152" s="11">
        <v>912000</v>
      </c>
      <c r="N152" s="3">
        <v>0</v>
      </c>
      <c r="O152" s="2" t="s">
        <v>25</v>
      </c>
      <c r="P152" s="2" t="s">
        <v>26</v>
      </c>
      <c r="Q152" s="2" t="s">
        <v>394</v>
      </c>
    </row>
    <row r="153" spans="1:17" x14ac:dyDescent="0.25">
      <c r="A153" s="1">
        <v>46170</v>
      </c>
      <c r="B153" s="1">
        <v>46168</v>
      </c>
      <c r="C153" s="2" t="s">
        <v>395</v>
      </c>
      <c r="D153" s="2" t="s">
        <v>396</v>
      </c>
      <c r="E153" s="2" t="s">
        <v>397</v>
      </c>
      <c r="F153" s="2" t="s">
        <v>35</v>
      </c>
      <c r="G153" s="2" t="s">
        <v>21</v>
      </c>
      <c r="H153" s="2" t="s">
        <v>398</v>
      </c>
      <c r="I153" s="2" t="s">
        <v>399</v>
      </c>
      <c r="J153" s="3">
        <v>4.5999999999999996</v>
      </c>
      <c r="K153" s="2" t="s">
        <v>33</v>
      </c>
      <c r="L153" s="3">
        <v>4.34</v>
      </c>
      <c r="M153" s="11">
        <v>420980.01</v>
      </c>
      <c r="N153" s="3">
        <v>-0.26</v>
      </c>
      <c r="O153" s="2" t="s">
        <v>25</v>
      </c>
      <c r="P153" s="2" t="s">
        <v>26</v>
      </c>
      <c r="Q153" s="2" t="s">
        <v>50</v>
      </c>
    </row>
    <row r="154" spans="1:17" x14ac:dyDescent="0.25">
      <c r="A154" s="1">
        <v>46170</v>
      </c>
      <c r="B154" s="1">
        <v>46168</v>
      </c>
      <c r="C154" s="2" t="s">
        <v>395</v>
      </c>
      <c r="D154" s="2" t="s">
        <v>396</v>
      </c>
      <c r="E154" s="2" t="s">
        <v>397</v>
      </c>
      <c r="F154" s="2" t="s">
        <v>35</v>
      </c>
      <c r="G154" s="2" t="s">
        <v>21</v>
      </c>
      <c r="H154" s="2" t="s">
        <v>400</v>
      </c>
      <c r="I154" s="2" t="s">
        <v>401</v>
      </c>
      <c r="J154" s="3">
        <v>10</v>
      </c>
      <c r="K154" s="2" t="s">
        <v>33</v>
      </c>
      <c r="L154" s="3">
        <v>10.14</v>
      </c>
      <c r="M154" s="11">
        <v>1368899.99</v>
      </c>
      <c r="N154" s="3">
        <v>0.14000000000000001</v>
      </c>
      <c r="O154" s="2" t="s">
        <v>25</v>
      </c>
      <c r="P154" s="2" t="s">
        <v>26</v>
      </c>
      <c r="Q154" s="2" t="s">
        <v>50</v>
      </c>
    </row>
    <row r="155" spans="1:17" x14ac:dyDescent="0.25">
      <c r="A155" s="1">
        <v>46170</v>
      </c>
      <c r="B155" s="1">
        <v>46168</v>
      </c>
      <c r="C155" s="2" t="s">
        <v>402</v>
      </c>
      <c r="D155" s="2" t="s">
        <v>396</v>
      </c>
      <c r="E155" s="2" t="s">
        <v>403</v>
      </c>
      <c r="F155" s="2" t="s">
        <v>35</v>
      </c>
      <c r="G155" s="2" t="s">
        <v>36</v>
      </c>
      <c r="H155" s="2" t="s">
        <v>404</v>
      </c>
      <c r="I155" s="2" t="s">
        <v>405</v>
      </c>
      <c r="J155" s="3">
        <v>2</v>
      </c>
      <c r="K155" s="2" t="s">
        <v>217</v>
      </c>
      <c r="L155" s="3">
        <v>2</v>
      </c>
      <c r="M155" s="11">
        <v>1100000.01</v>
      </c>
      <c r="N155" s="3">
        <v>0</v>
      </c>
      <c r="O155" s="2" t="s">
        <v>25</v>
      </c>
      <c r="P155" s="2" t="s">
        <v>26</v>
      </c>
      <c r="Q155" s="2" t="s">
        <v>34</v>
      </c>
    </row>
    <row r="156" spans="1:17" x14ac:dyDescent="0.25">
      <c r="A156" s="1">
        <v>46170</v>
      </c>
      <c r="B156" s="1">
        <v>46168</v>
      </c>
      <c r="C156" s="2" t="s">
        <v>406</v>
      </c>
      <c r="D156" s="2" t="s">
        <v>396</v>
      </c>
      <c r="E156" s="2" t="s">
        <v>407</v>
      </c>
      <c r="F156" s="2" t="s">
        <v>35</v>
      </c>
      <c r="G156" s="2" t="s">
        <v>81</v>
      </c>
      <c r="H156" s="2" t="s">
        <v>404</v>
      </c>
      <c r="I156" s="2" t="s">
        <v>405</v>
      </c>
      <c r="J156" s="3">
        <v>1</v>
      </c>
      <c r="K156" s="2" t="s">
        <v>217</v>
      </c>
      <c r="L156" s="3">
        <v>1</v>
      </c>
      <c r="M156" s="11">
        <v>500000</v>
      </c>
      <c r="N156" s="3">
        <v>0</v>
      </c>
      <c r="O156" s="2" t="s">
        <v>25</v>
      </c>
      <c r="P156" s="2" t="s">
        <v>26</v>
      </c>
      <c r="Q156" s="2" t="s">
        <v>34</v>
      </c>
    </row>
    <row r="157" spans="1:17" x14ac:dyDescent="0.25">
      <c r="A157" s="1">
        <v>46170</v>
      </c>
      <c r="B157" s="1">
        <v>46168</v>
      </c>
      <c r="C157" s="2" t="s">
        <v>408</v>
      </c>
      <c r="D157" s="2" t="s">
        <v>396</v>
      </c>
      <c r="E157" s="2" t="s">
        <v>409</v>
      </c>
      <c r="F157" s="2" t="s">
        <v>20</v>
      </c>
      <c r="G157" s="2" t="s">
        <v>161</v>
      </c>
      <c r="H157" s="2" t="s">
        <v>410</v>
      </c>
      <c r="I157" s="2" t="s">
        <v>411</v>
      </c>
      <c r="J157" s="3">
        <v>2</v>
      </c>
      <c r="K157" s="2" t="s">
        <v>217</v>
      </c>
      <c r="L157" s="3">
        <v>2</v>
      </c>
      <c r="M157" s="11">
        <v>680000</v>
      </c>
      <c r="N157" s="3">
        <v>0</v>
      </c>
      <c r="O157" s="2" t="s">
        <v>25</v>
      </c>
      <c r="P157" s="2" t="s">
        <v>26</v>
      </c>
      <c r="Q157" s="2" t="s">
        <v>34</v>
      </c>
    </row>
    <row r="158" spans="1:17" x14ac:dyDescent="0.25">
      <c r="A158" s="1">
        <v>46170</v>
      </c>
      <c r="B158" s="1">
        <v>46168</v>
      </c>
      <c r="C158" s="2" t="s">
        <v>412</v>
      </c>
      <c r="D158" s="2" t="s">
        <v>396</v>
      </c>
      <c r="E158" s="2" t="s">
        <v>413</v>
      </c>
      <c r="F158" s="2" t="s">
        <v>20</v>
      </c>
      <c r="G158" s="2" t="s">
        <v>62</v>
      </c>
      <c r="H158" s="2" t="s">
        <v>414</v>
      </c>
      <c r="I158" s="2" t="s">
        <v>415</v>
      </c>
      <c r="J158" s="3">
        <v>1</v>
      </c>
      <c r="K158" s="2" t="s">
        <v>217</v>
      </c>
      <c r="L158" s="3">
        <v>1</v>
      </c>
      <c r="M158" s="11">
        <v>450000.01</v>
      </c>
      <c r="N158" s="3">
        <v>0</v>
      </c>
      <c r="O158" s="2" t="s">
        <v>25</v>
      </c>
      <c r="P158" s="2" t="s">
        <v>26</v>
      </c>
      <c r="Q158" s="2" t="s">
        <v>34</v>
      </c>
    </row>
    <row r="159" spans="1:17" x14ac:dyDescent="0.25">
      <c r="A159" s="1">
        <v>46170</v>
      </c>
      <c r="B159" s="1">
        <v>46168</v>
      </c>
      <c r="C159" s="2" t="s">
        <v>416</v>
      </c>
      <c r="D159" s="2" t="s">
        <v>396</v>
      </c>
      <c r="E159" s="2" t="s">
        <v>73</v>
      </c>
      <c r="F159" s="2" t="s">
        <v>35</v>
      </c>
      <c r="G159" s="2" t="s">
        <v>62</v>
      </c>
      <c r="H159" s="2" t="s">
        <v>417</v>
      </c>
      <c r="I159" s="2" t="s">
        <v>418</v>
      </c>
      <c r="J159" s="3">
        <v>25</v>
      </c>
      <c r="K159" s="2" t="s">
        <v>33</v>
      </c>
      <c r="L159" s="3">
        <v>25</v>
      </c>
      <c r="M159" s="11">
        <v>4125000.04</v>
      </c>
      <c r="N159" s="3">
        <v>0</v>
      </c>
      <c r="O159" s="2" t="s">
        <v>25</v>
      </c>
      <c r="P159" s="2" t="s">
        <v>26</v>
      </c>
      <c r="Q159" s="2" t="s">
        <v>34</v>
      </c>
    </row>
    <row r="160" spans="1:17" x14ac:dyDescent="0.25">
      <c r="A160" s="1">
        <v>46170</v>
      </c>
      <c r="B160" s="1">
        <v>46168</v>
      </c>
      <c r="C160" s="2" t="s">
        <v>419</v>
      </c>
      <c r="D160" s="2" t="s">
        <v>396</v>
      </c>
      <c r="E160" s="2" t="s">
        <v>420</v>
      </c>
      <c r="F160" s="2" t="s">
        <v>20</v>
      </c>
      <c r="G160" s="2" t="s">
        <v>62</v>
      </c>
      <c r="H160" s="2" t="s">
        <v>421</v>
      </c>
      <c r="I160" s="2" t="s">
        <v>422</v>
      </c>
      <c r="J160" s="3">
        <v>4</v>
      </c>
      <c r="K160" s="2" t="s">
        <v>388</v>
      </c>
      <c r="L160" s="3">
        <v>4</v>
      </c>
      <c r="M160" s="11">
        <v>227999.99</v>
      </c>
      <c r="N160" s="3">
        <v>0</v>
      </c>
      <c r="O160" s="2" t="s">
        <v>25</v>
      </c>
      <c r="P160" s="2" t="s">
        <v>26</v>
      </c>
      <c r="Q160" s="2" t="s">
        <v>34</v>
      </c>
    </row>
    <row r="161" spans="1:17" x14ac:dyDescent="0.25">
      <c r="A161" s="1">
        <v>46170</v>
      </c>
      <c r="B161" s="1">
        <v>46168</v>
      </c>
      <c r="C161" s="2" t="s">
        <v>419</v>
      </c>
      <c r="D161" s="2" t="s">
        <v>396</v>
      </c>
      <c r="E161" s="2" t="s">
        <v>420</v>
      </c>
      <c r="F161" s="2" t="s">
        <v>20</v>
      </c>
      <c r="G161" s="2" t="s">
        <v>62</v>
      </c>
      <c r="H161" s="2" t="s">
        <v>423</v>
      </c>
      <c r="I161" s="2" t="s">
        <v>424</v>
      </c>
      <c r="J161" s="3">
        <v>2</v>
      </c>
      <c r="K161" s="2" t="s">
        <v>388</v>
      </c>
      <c r="L161" s="3">
        <v>2</v>
      </c>
      <c r="M161" s="11">
        <v>128000.01</v>
      </c>
      <c r="N161" s="3">
        <v>0</v>
      </c>
      <c r="O161" s="2" t="s">
        <v>25</v>
      </c>
      <c r="P161" s="2" t="s">
        <v>26</v>
      </c>
      <c r="Q161" s="2" t="s">
        <v>34</v>
      </c>
    </row>
    <row r="162" spans="1:17" x14ac:dyDescent="0.25">
      <c r="A162" s="1">
        <v>46170</v>
      </c>
      <c r="B162" s="1">
        <v>46168</v>
      </c>
      <c r="C162" s="2" t="s">
        <v>425</v>
      </c>
      <c r="D162" s="2" t="s">
        <v>396</v>
      </c>
      <c r="E162" s="2" t="s">
        <v>426</v>
      </c>
      <c r="F162" s="2" t="s">
        <v>35</v>
      </c>
      <c r="G162" s="2" t="s">
        <v>58</v>
      </c>
      <c r="H162" s="2" t="s">
        <v>427</v>
      </c>
      <c r="I162" s="2" t="s">
        <v>428</v>
      </c>
      <c r="J162" s="3">
        <v>4</v>
      </c>
      <c r="K162" s="2" t="s">
        <v>136</v>
      </c>
      <c r="L162" s="3">
        <v>4</v>
      </c>
      <c r="M162" s="11">
        <v>440000</v>
      </c>
      <c r="N162" s="3">
        <v>0</v>
      </c>
      <c r="O162" s="2" t="s">
        <v>25</v>
      </c>
      <c r="P162" s="2" t="s">
        <v>26</v>
      </c>
      <c r="Q162" s="2" t="s">
        <v>429</v>
      </c>
    </row>
    <row r="163" spans="1:17" x14ac:dyDescent="0.25">
      <c r="A163" s="1">
        <v>46170</v>
      </c>
      <c r="B163" s="1">
        <v>46168</v>
      </c>
      <c r="C163" s="2" t="s">
        <v>425</v>
      </c>
      <c r="D163" s="2" t="s">
        <v>396</v>
      </c>
      <c r="E163" s="2" t="s">
        <v>426</v>
      </c>
      <c r="F163" s="2" t="s">
        <v>35</v>
      </c>
      <c r="G163" s="2" t="s">
        <v>58</v>
      </c>
      <c r="H163" s="2" t="s">
        <v>430</v>
      </c>
      <c r="I163" s="2" t="s">
        <v>431</v>
      </c>
      <c r="J163" s="3">
        <v>4</v>
      </c>
      <c r="K163" s="2" t="s">
        <v>136</v>
      </c>
      <c r="L163" s="3">
        <v>4</v>
      </c>
      <c r="M163" s="11">
        <v>440000</v>
      </c>
      <c r="N163" s="3">
        <v>0</v>
      </c>
      <c r="O163" s="2" t="s">
        <v>25</v>
      </c>
      <c r="P163" s="2" t="s">
        <v>26</v>
      </c>
      <c r="Q163" s="2" t="s">
        <v>429</v>
      </c>
    </row>
    <row r="164" spans="1:17" x14ac:dyDescent="0.25">
      <c r="A164" s="1">
        <v>46170</v>
      </c>
      <c r="B164" s="1">
        <v>46168</v>
      </c>
      <c r="C164" s="2" t="s">
        <v>425</v>
      </c>
      <c r="D164" s="2" t="s">
        <v>396</v>
      </c>
      <c r="E164" s="2" t="s">
        <v>426</v>
      </c>
      <c r="F164" s="2" t="s">
        <v>35</v>
      </c>
      <c r="G164" s="2" t="s">
        <v>58</v>
      </c>
      <c r="H164" s="2" t="s">
        <v>432</v>
      </c>
      <c r="I164" s="2" t="s">
        <v>433</v>
      </c>
      <c r="J164" s="3">
        <v>4</v>
      </c>
      <c r="K164" s="2" t="s">
        <v>136</v>
      </c>
      <c r="L164" s="3">
        <v>4</v>
      </c>
      <c r="M164" s="11">
        <v>440000.01</v>
      </c>
      <c r="N164" s="3">
        <v>0</v>
      </c>
      <c r="O164" s="2" t="s">
        <v>25</v>
      </c>
      <c r="P164" s="2" t="s">
        <v>26</v>
      </c>
      <c r="Q164" s="2" t="s">
        <v>429</v>
      </c>
    </row>
    <row r="165" spans="1:17" x14ac:dyDescent="0.25">
      <c r="A165" s="1">
        <v>46170</v>
      </c>
      <c r="B165" s="1">
        <v>46168</v>
      </c>
      <c r="C165" s="2" t="s">
        <v>434</v>
      </c>
      <c r="D165" s="2" t="s">
        <v>396</v>
      </c>
      <c r="E165" s="2" t="s">
        <v>98</v>
      </c>
      <c r="F165" s="2" t="s">
        <v>35</v>
      </c>
      <c r="G165" s="2" t="s">
        <v>99</v>
      </c>
      <c r="H165" s="2" t="s">
        <v>435</v>
      </c>
      <c r="I165" s="2" t="s">
        <v>436</v>
      </c>
      <c r="J165" s="3">
        <v>6</v>
      </c>
      <c r="K165" s="2" t="s">
        <v>437</v>
      </c>
      <c r="L165" s="3">
        <v>6</v>
      </c>
      <c r="M165" s="11">
        <v>199800</v>
      </c>
      <c r="N165" s="3">
        <v>0</v>
      </c>
      <c r="O165" s="2" t="s">
        <v>25</v>
      </c>
      <c r="P165" s="2" t="s">
        <v>26</v>
      </c>
      <c r="Q165" s="2" t="s">
        <v>34</v>
      </c>
    </row>
    <row r="166" spans="1:17" x14ac:dyDescent="0.25">
      <c r="A166" s="1">
        <v>46170</v>
      </c>
      <c r="B166" s="1">
        <v>46168</v>
      </c>
      <c r="C166" s="2" t="s">
        <v>438</v>
      </c>
      <c r="D166" s="2" t="s">
        <v>396</v>
      </c>
      <c r="E166" s="2" t="s">
        <v>439</v>
      </c>
      <c r="F166" s="2" t="s">
        <v>20</v>
      </c>
      <c r="G166" s="2" t="s">
        <v>76</v>
      </c>
      <c r="H166" s="2" t="s">
        <v>440</v>
      </c>
      <c r="I166" s="2" t="s">
        <v>441</v>
      </c>
      <c r="J166" s="3">
        <v>1</v>
      </c>
      <c r="K166" s="2" t="s">
        <v>136</v>
      </c>
      <c r="L166" s="3">
        <v>1</v>
      </c>
      <c r="M166" s="11">
        <v>110000</v>
      </c>
      <c r="N166" s="3">
        <v>0</v>
      </c>
      <c r="O166" s="2" t="s">
        <v>25</v>
      </c>
      <c r="P166" s="2" t="s">
        <v>26</v>
      </c>
      <c r="Q166" s="2" t="s">
        <v>34</v>
      </c>
    </row>
    <row r="167" spans="1:17" x14ac:dyDescent="0.25">
      <c r="A167" s="1">
        <v>46170</v>
      </c>
      <c r="B167" s="1">
        <v>46168</v>
      </c>
      <c r="C167" s="2" t="s">
        <v>438</v>
      </c>
      <c r="D167" s="2" t="s">
        <v>396</v>
      </c>
      <c r="E167" s="2" t="s">
        <v>439</v>
      </c>
      <c r="F167" s="2" t="s">
        <v>20</v>
      </c>
      <c r="G167" s="2" t="s">
        <v>76</v>
      </c>
      <c r="H167" s="2" t="s">
        <v>430</v>
      </c>
      <c r="I167" s="2" t="s">
        <v>431</v>
      </c>
      <c r="J167" s="3">
        <v>1</v>
      </c>
      <c r="K167" s="2" t="s">
        <v>136</v>
      </c>
      <c r="L167" s="3">
        <v>1</v>
      </c>
      <c r="M167" s="11">
        <v>110000</v>
      </c>
      <c r="N167" s="3">
        <v>0</v>
      </c>
      <c r="O167" s="2" t="s">
        <v>25</v>
      </c>
      <c r="P167" s="2" t="s">
        <v>26</v>
      </c>
      <c r="Q167" s="2" t="s">
        <v>34</v>
      </c>
    </row>
    <row r="168" spans="1:17" x14ac:dyDescent="0.25">
      <c r="A168" s="1">
        <v>46170</v>
      </c>
      <c r="B168" s="1">
        <v>46168</v>
      </c>
      <c r="C168" s="2" t="s">
        <v>442</v>
      </c>
      <c r="D168" s="2" t="s">
        <v>396</v>
      </c>
      <c r="E168" s="2" t="s">
        <v>443</v>
      </c>
      <c r="F168" s="2" t="s">
        <v>20</v>
      </c>
      <c r="G168" s="2" t="s">
        <v>30</v>
      </c>
      <c r="H168" s="2" t="s">
        <v>444</v>
      </c>
      <c r="I168" s="2" t="s">
        <v>445</v>
      </c>
      <c r="J168" s="3">
        <v>10</v>
      </c>
      <c r="K168" s="2" t="s">
        <v>33</v>
      </c>
      <c r="L168" s="3">
        <v>10</v>
      </c>
      <c r="M168" s="11">
        <v>950000</v>
      </c>
      <c r="N168" s="3">
        <v>0</v>
      </c>
      <c r="O168" s="2" t="s">
        <v>25</v>
      </c>
      <c r="P168" s="2" t="s">
        <v>26</v>
      </c>
      <c r="Q168" s="2" t="s">
        <v>34</v>
      </c>
    </row>
    <row r="169" spans="1:17" x14ac:dyDescent="0.25">
      <c r="A169" s="1">
        <v>46170</v>
      </c>
      <c r="B169" s="1">
        <v>46168</v>
      </c>
      <c r="C169" s="2" t="s">
        <v>446</v>
      </c>
      <c r="D169" s="2" t="s">
        <v>396</v>
      </c>
      <c r="E169" s="2" t="s">
        <v>439</v>
      </c>
      <c r="F169" s="2" t="s">
        <v>20</v>
      </c>
      <c r="G169" s="2" t="s">
        <v>76</v>
      </c>
      <c r="H169" s="2" t="s">
        <v>447</v>
      </c>
      <c r="I169" s="2" t="s">
        <v>448</v>
      </c>
      <c r="J169" s="3">
        <v>1</v>
      </c>
      <c r="K169" s="2" t="s">
        <v>160</v>
      </c>
      <c r="L169" s="3">
        <v>1</v>
      </c>
      <c r="M169" s="11">
        <v>62440</v>
      </c>
      <c r="N169" s="3">
        <v>0</v>
      </c>
      <c r="O169" s="2" t="s">
        <v>25</v>
      </c>
      <c r="P169" s="2" t="s">
        <v>26</v>
      </c>
      <c r="Q169" s="2" t="s">
        <v>34</v>
      </c>
    </row>
    <row r="170" spans="1:17" x14ac:dyDescent="0.25">
      <c r="A170" s="1">
        <v>46170</v>
      </c>
      <c r="B170" s="1">
        <v>46168</v>
      </c>
      <c r="C170" s="2" t="s">
        <v>449</v>
      </c>
      <c r="D170" s="2" t="s">
        <v>396</v>
      </c>
      <c r="E170" s="2" t="s">
        <v>450</v>
      </c>
      <c r="F170" s="2" t="s">
        <v>20</v>
      </c>
      <c r="G170" s="2" t="s">
        <v>81</v>
      </c>
      <c r="H170" s="2" t="s">
        <v>451</v>
      </c>
      <c r="I170" s="2" t="s">
        <v>452</v>
      </c>
      <c r="J170" s="3">
        <v>1</v>
      </c>
      <c r="K170" s="2" t="s">
        <v>160</v>
      </c>
      <c r="L170" s="3">
        <v>1</v>
      </c>
      <c r="M170" s="11">
        <v>168510</v>
      </c>
      <c r="N170" s="3">
        <v>0</v>
      </c>
      <c r="O170" s="2" t="s">
        <v>25</v>
      </c>
      <c r="P170" s="2" t="s">
        <v>26</v>
      </c>
      <c r="Q170" s="2" t="s">
        <v>34</v>
      </c>
    </row>
    <row r="171" spans="1:17" x14ac:dyDescent="0.25">
      <c r="A171" s="1">
        <v>46170</v>
      </c>
      <c r="B171" s="1">
        <v>46168</v>
      </c>
      <c r="C171" s="2" t="s">
        <v>449</v>
      </c>
      <c r="D171" s="2" t="s">
        <v>396</v>
      </c>
      <c r="E171" s="2" t="s">
        <v>450</v>
      </c>
      <c r="F171" s="2" t="s">
        <v>20</v>
      </c>
      <c r="G171" s="2" t="s">
        <v>81</v>
      </c>
      <c r="H171" s="2" t="s">
        <v>453</v>
      </c>
      <c r="I171" s="2" t="s">
        <v>454</v>
      </c>
      <c r="J171" s="3">
        <v>1</v>
      </c>
      <c r="K171" s="2" t="s">
        <v>160</v>
      </c>
      <c r="L171" s="3">
        <v>1</v>
      </c>
      <c r="M171" s="11">
        <v>164835</v>
      </c>
      <c r="N171" s="3">
        <v>0</v>
      </c>
      <c r="O171" s="2" t="s">
        <v>25</v>
      </c>
      <c r="P171" s="2" t="s">
        <v>26</v>
      </c>
      <c r="Q171" s="2" t="s">
        <v>34</v>
      </c>
    </row>
    <row r="172" spans="1:17" x14ac:dyDescent="0.25">
      <c r="A172" s="1">
        <v>46170</v>
      </c>
      <c r="B172" s="1">
        <v>46168</v>
      </c>
      <c r="C172" s="2" t="s">
        <v>455</v>
      </c>
      <c r="D172" s="2" t="s">
        <v>396</v>
      </c>
      <c r="E172" s="2" t="s">
        <v>175</v>
      </c>
      <c r="F172" s="2" t="s">
        <v>35</v>
      </c>
      <c r="G172" s="2" t="s">
        <v>36</v>
      </c>
      <c r="H172" s="2" t="s">
        <v>456</v>
      </c>
      <c r="I172" s="2" t="s">
        <v>457</v>
      </c>
      <c r="J172" s="3">
        <v>1</v>
      </c>
      <c r="K172" s="2" t="s">
        <v>160</v>
      </c>
      <c r="L172" s="3">
        <v>1</v>
      </c>
      <c r="M172" s="11">
        <v>156510</v>
      </c>
      <c r="N172" s="3">
        <v>0</v>
      </c>
      <c r="O172" s="2" t="s">
        <v>25</v>
      </c>
      <c r="P172" s="2" t="s">
        <v>26</v>
      </c>
      <c r="Q172" s="2" t="s">
        <v>34</v>
      </c>
    </row>
    <row r="173" spans="1:17" x14ac:dyDescent="0.25">
      <c r="A173" s="1">
        <v>46170</v>
      </c>
      <c r="B173" s="1">
        <v>46168</v>
      </c>
      <c r="C173" s="2" t="s">
        <v>461</v>
      </c>
      <c r="D173" s="2" t="s">
        <v>396</v>
      </c>
      <c r="E173" s="2" t="s">
        <v>462</v>
      </c>
      <c r="F173" s="2" t="s">
        <v>20</v>
      </c>
      <c r="G173" s="2" t="s">
        <v>36</v>
      </c>
      <c r="H173" s="2" t="s">
        <v>463</v>
      </c>
      <c r="I173" s="2" t="s">
        <v>464</v>
      </c>
      <c r="J173" s="3">
        <v>1</v>
      </c>
      <c r="K173" s="2" t="s">
        <v>217</v>
      </c>
      <c r="L173" s="3">
        <v>1</v>
      </c>
      <c r="M173" s="11">
        <v>396000</v>
      </c>
      <c r="N173" s="3">
        <v>0</v>
      </c>
      <c r="O173" s="2" t="s">
        <v>25</v>
      </c>
      <c r="P173" s="2" t="s">
        <v>26</v>
      </c>
      <c r="Q173" s="2" t="s">
        <v>50</v>
      </c>
    </row>
    <row r="174" spans="1:17" x14ac:dyDescent="0.25">
      <c r="A174" s="1">
        <v>46170</v>
      </c>
      <c r="B174" s="1">
        <v>46168</v>
      </c>
      <c r="C174" s="2" t="s">
        <v>461</v>
      </c>
      <c r="D174" s="2" t="s">
        <v>396</v>
      </c>
      <c r="E174" s="2" t="s">
        <v>462</v>
      </c>
      <c r="F174" s="2" t="s">
        <v>20</v>
      </c>
      <c r="G174" s="2" t="s">
        <v>36</v>
      </c>
      <c r="H174" s="2" t="s">
        <v>398</v>
      </c>
      <c r="I174" s="2" t="s">
        <v>399</v>
      </c>
      <c r="J174" s="3">
        <v>4.5999999999999996</v>
      </c>
      <c r="K174" s="2" t="s">
        <v>33</v>
      </c>
      <c r="L174" s="3">
        <v>4.37</v>
      </c>
      <c r="M174" s="11">
        <v>458849.98</v>
      </c>
      <c r="N174" s="3">
        <v>-0.23</v>
      </c>
      <c r="O174" s="2" t="s">
        <v>25</v>
      </c>
      <c r="P174" s="2" t="s">
        <v>26</v>
      </c>
      <c r="Q174" s="2" t="s">
        <v>50</v>
      </c>
    </row>
    <row r="175" spans="1:17" x14ac:dyDescent="0.25">
      <c r="A175" s="1">
        <v>46170</v>
      </c>
      <c r="B175" s="1">
        <v>46168</v>
      </c>
      <c r="C175" s="2" t="s">
        <v>465</v>
      </c>
      <c r="D175" s="2" t="s">
        <v>396</v>
      </c>
      <c r="E175" s="2" t="s">
        <v>466</v>
      </c>
      <c r="F175" s="2" t="s">
        <v>35</v>
      </c>
      <c r="G175" s="2" t="s">
        <v>36</v>
      </c>
      <c r="H175" s="2" t="s">
        <v>398</v>
      </c>
      <c r="I175" s="2" t="s">
        <v>399</v>
      </c>
      <c r="J175" s="3">
        <v>7</v>
      </c>
      <c r="K175" s="2" t="s">
        <v>33</v>
      </c>
      <c r="L175" s="3">
        <v>6.47</v>
      </c>
      <c r="M175" s="11">
        <v>754078.5</v>
      </c>
      <c r="N175" s="3">
        <v>-0.53</v>
      </c>
      <c r="O175" s="2" t="s">
        <v>25</v>
      </c>
      <c r="P175" s="2" t="s">
        <v>26</v>
      </c>
      <c r="Q175" s="2" t="s">
        <v>34</v>
      </c>
    </row>
    <row r="176" spans="1:17" x14ac:dyDescent="0.25">
      <c r="A176" s="1">
        <v>46170</v>
      </c>
      <c r="B176" s="1">
        <v>46168</v>
      </c>
      <c r="C176" s="2" t="s">
        <v>467</v>
      </c>
      <c r="D176" s="2" t="s">
        <v>396</v>
      </c>
      <c r="E176" s="2" t="s">
        <v>175</v>
      </c>
      <c r="F176" s="2" t="s">
        <v>35</v>
      </c>
      <c r="G176" s="2" t="s">
        <v>36</v>
      </c>
      <c r="H176" s="2" t="s">
        <v>468</v>
      </c>
      <c r="I176" s="2" t="s">
        <v>469</v>
      </c>
      <c r="J176" s="3">
        <v>10</v>
      </c>
      <c r="K176" s="2" t="s">
        <v>33</v>
      </c>
      <c r="L176" s="3">
        <v>6.66</v>
      </c>
      <c r="M176" s="11">
        <v>765900</v>
      </c>
      <c r="N176" s="3">
        <v>-3.34</v>
      </c>
      <c r="O176" s="2" t="s">
        <v>25</v>
      </c>
      <c r="P176" s="2" t="s">
        <v>26</v>
      </c>
      <c r="Q176" s="2" t="s">
        <v>34</v>
      </c>
    </row>
    <row r="177" spans="1:17" x14ac:dyDescent="0.25">
      <c r="A177" s="1">
        <v>46170</v>
      </c>
      <c r="B177" s="1">
        <v>46168</v>
      </c>
      <c r="C177" s="2" t="s">
        <v>470</v>
      </c>
      <c r="D177" s="2" t="s">
        <v>396</v>
      </c>
      <c r="E177" s="2" t="s">
        <v>471</v>
      </c>
      <c r="F177" s="2" t="s">
        <v>35</v>
      </c>
      <c r="G177" s="2" t="s">
        <v>472</v>
      </c>
      <c r="H177" s="2" t="s">
        <v>451</v>
      </c>
      <c r="I177" s="2" t="s">
        <v>452</v>
      </c>
      <c r="J177" s="3">
        <v>24</v>
      </c>
      <c r="K177" s="2" t="s">
        <v>160</v>
      </c>
      <c r="L177" s="3">
        <v>24</v>
      </c>
      <c r="M177" s="11">
        <v>4044165.1200000001</v>
      </c>
      <c r="N177" s="3">
        <v>0</v>
      </c>
      <c r="O177" s="2" t="s">
        <v>25</v>
      </c>
      <c r="P177" s="2" t="s">
        <v>26</v>
      </c>
      <c r="Q177" s="2" t="s">
        <v>34</v>
      </c>
    </row>
    <row r="178" spans="1:17" x14ac:dyDescent="0.25">
      <c r="A178" s="1">
        <v>46170</v>
      </c>
      <c r="B178" s="1">
        <v>46168</v>
      </c>
      <c r="C178" s="2" t="s">
        <v>470</v>
      </c>
      <c r="D178" s="2" t="s">
        <v>396</v>
      </c>
      <c r="E178" s="2" t="s">
        <v>471</v>
      </c>
      <c r="F178" s="2" t="s">
        <v>35</v>
      </c>
      <c r="G178" s="2" t="s">
        <v>472</v>
      </c>
      <c r="H178" s="2" t="s">
        <v>453</v>
      </c>
      <c r="I178" s="2" t="s">
        <v>454</v>
      </c>
      <c r="J178" s="3">
        <v>25</v>
      </c>
      <c r="K178" s="2" t="s">
        <v>160</v>
      </c>
      <c r="L178" s="3">
        <v>25</v>
      </c>
      <c r="M178" s="11">
        <v>4120875</v>
      </c>
      <c r="N178" s="3">
        <v>0</v>
      </c>
      <c r="O178" s="2" t="s">
        <v>25</v>
      </c>
      <c r="P178" s="2" t="s">
        <v>26</v>
      </c>
      <c r="Q178" s="2" t="s">
        <v>34</v>
      </c>
    </row>
    <row r="179" spans="1:17" x14ac:dyDescent="0.25">
      <c r="A179" s="1">
        <v>46170</v>
      </c>
      <c r="B179" s="1">
        <v>46168</v>
      </c>
      <c r="C179" s="2" t="s">
        <v>470</v>
      </c>
      <c r="D179" s="2" t="s">
        <v>396</v>
      </c>
      <c r="E179" s="2" t="s">
        <v>471</v>
      </c>
      <c r="F179" s="2" t="s">
        <v>35</v>
      </c>
      <c r="G179" s="2" t="s">
        <v>472</v>
      </c>
      <c r="H179" s="2" t="s">
        <v>447</v>
      </c>
      <c r="I179" s="2" t="s">
        <v>448</v>
      </c>
      <c r="J179" s="3">
        <v>24</v>
      </c>
      <c r="K179" s="2" t="s">
        <v>160</v>
      </c>
      <c r="L179" s="3">
        <v>24</v>
      </c>
      <c r="M179" s="11">
        <v>1391999.94</v>
      </c>
      <c r="N179" s="3">
        <v>0</v>
      </c>
      <c r="O179" s="2" t="s">
        <v>25</v>
      </c>
      <c r="P179" s="2" t="s">
        <v>26</v>
      </c>
      <c r="Q179" s="2" t="s">
        <v>34</v>
      </c>
    </row>
    <row r="180" spans="1:17" x14ac:dyDescent="0.25">
      <c r="A180" s="1">
        <v>46170</v>
      </c>
      <c r="B180" s="1">
        <v>46168</v>
      </c>
      <c r="C180" s="2" t="s">
        <v>470</v>
      </c>
      <c r="D180" s="2" t="s">
        <v>396</v>
      </c>
      <c r="E180" s="2" t="s">
        <v>471</v>
      </c>
      <c r="F180" s="2" t="s">
        <v>35</v>
      </c>
      <c r="G180" s="2" t="s">
        <v>472</v>
      </c>
      <c r="H180" s="2" t="s">
        <v>473</v>
      </c>
      <c r="I180" s="2" t="s">
        <v>474</v>
      </c>
      <c r="J180" s="3">
        <v>24</v>
      </c>
      <c r="K180" s="2" t="s">
        <v>87</v>
      </c>
      <c r="L180" s="3">
        <v>24</v>
      </c>
      <c r="M180" s="11">
        <v>696000.1</v>
      </c>
      <c r="N180" s="3">
        <v>0</v>
      </c>
      <c r="O180" s="2" t="s">
        <v>25</v>
      </c>
      <c r="P180" s="2" t="s">
        <v>26</v>
      </c>
      <c r="Q180" s="2" t="s">
        <v>34</v>
      </c>
    </row>
    <row r="181" spans="1:17" x14ac:dyDescent="0.25">
      <c r="A181" s="1">
        <v>46170</v>
      </c>
      <c r="B181" s="1">
        <v>46168</v>
      </c>
      <c r="C181" s="2" t="s">
        <v>475</v>
      </c>
      <c r="D181" s="2" t="s">
        <v>396</v>
      </c>
      <c r="E181" s="2" t="s">
        <v>476</v>
      </c>
      <c r="F181" s="2" t="s">
        <v>35</v>
      </c>
      <c r="G181" s="2" t="s">
        <v>99</v>
      </c>
      <c r="H181" s="2" t="s">
        <v>477</v>
      </c>
      <c r="I181" s="2" t="s">
        <v>478</v>
      </c>
      <c r="J181" s="3">
        <v>20</v>
      </c>
      <c r="K181" s="2" t="s">
        <v>136</v>
      </c>
      <c r="L181" s="3">
        <v>20</v>
      </c>
      <c r="M181" s="11">
        <v>1412719.2</v>
      </c>
      <c r="N181" s="3">
        <v>0</v>
      </c>
      <c r="O181" s="2" t="s">
        <v>25</v>
      </c>
      <c r="P181" s="2" t="s">
        <v>26</v>
      </c>
      <c r="Q181" s="2" t="s">
        <v>34</v>
      </c>
    </row>
    <row r="182" spans="1:17" x14ac:dyDescent="0.25">
      <c r="A182" s="1">
        <v>46170</v>
      </c>
      <c r="B182" s="1">
        <v>46168</v>
      </c>
      <c r="C182" s="2" t="s">
        <v>479</v>
      </c>
      <c r="D182" s="2" t="s">
        <v>396</v>
      </c>
      <c r="E182" s="2" t="s">
        <v>175</v>
      </c>
      <c r="F182" s="2" t="s">
        <v>35</v>
      </c>
      <c r="G182" s="2" t="s">
        <v>36</v>
      </c>
      <c r="H182" s="2" t="s">
        <v>480</v>
      </c>
      <c r="I182" s="2" t="s">
        <v>481</v>
      </c>
      <c r="J182" s="3">
        <v>4</v>
      </c>
      <c r="K182" s="2" t="s">
        <v>87</v>
      </c>
      <c r="L182" s="3">
        <v>4</v>
      </c>
      <c r="M182" s="11">
        <v>1776000</v>
      </c>
      <c r="N182" s="3">
        <v>0</v>
      </c>
      <c r="O182" s="2" t="s">
        <v>25</v>
      </c>
      <c r="P182" s="2" t="s">
        <v>26</v>
      </c>
      <c r="Q182" s="2" t="s">
        <v>34</v>
      </c>
    </row>
    <row r="183" spans="1:17" x14ac:dyDescent="0.25">
      <c r="A183" s="1">
        <v>46170</v>
      </c>
      <c r="B183" s="1">
        <v>46168</v>
      </c>
      <c r="C183" s="2" t="s">
        <v>482</v>
      </c>
      <c r="D183" s="2" t="s">
        <v>396</v>
      </c>
      <c r="E183" s="2" t="s">
        <v>483</v>
      </c>
      <c r="F183" s="2" t="s">
        <v>35</v>
      </c>
      <c r="G183" s="2" t="s">
        <v>99</v>
      </c>
      <c r="H183" s="2" t="s">
        <v>477</v>
      </c>
      <c r="I183" s="2" t="s">
        <v>478</v>
      </c>
      <c r="J183" s="3">
        <v>20</v>
      </c>
      <c r="K183" s="2" t="s">
        <v>136</v>
      </c>
      <c r="L183" s="3">
        <v>20</v>
      </c>
      <c r="M183" s="11">
        <v>1412719.2</v>
      </c>
      <c r="N183" s="3">
        <v>0</v>
      </c>
      <c r="O183" s="2" t="s">
        <v>25</v>
      </c>
      <c r="P183" s="2" t="s">
        <v>26</v>
      </c>
      <c r="Q183" s="2" t="s">
        <v>34</v>
      </c>
    </row>
    <row r="184" spans="1:17" x14ac:dyDescent="0.25">
      <c r="A184" s="1">
        <v>46170</v>
      </c>
      <c r="B184" s="1">
        <v>46168</v>
      </c>
      <c r="C184" s="2" t="s">
        <v>482</v>
      </c>
      <c r="D184" s="2" t="s">
        <v>396</v>
      </c>
      <c r="E184" s="2" t="s">
        <v>483</v>
      </c>
      <c r="F184" s="2" t="s">
        <v>35</v>
      </c>
      <c r="G184" s="2" t="s">
        <v>99</v>
      </c>
      <c r="H184" s="2" t="s">
        <v>484</v>
      </c>
      <c r="I184" s="2" t="s">
        <v>485</v>
      </c>
      <c r="J184" s="3">
        <v>20</v>
      </c>
      <c r="K184" s="2" t="s">
        <v>136</v>
      </c>
      <c r="L184" s="3">
        <v>20</v>
      </c>
      <c r="M184" s="11">
        <v>1349999.98</v>
      </c>
      <c r="N184" s="3">
        <v>0</v>
      </c>
      <c r="O184" s="2" t="s">
        <v>25</v>
      </c>
      <c r="P184" s="2" t="s">
        <v>26</v>
      </c>
      <c r="Q184" s="2" t="s">
        <v>34</v>
      </c>
    </row>
    <row r="185" spans="1:17" x14ac:dyDescent="0.25">
      <c r="A185" s="1">
        <v>46170</v>
      </c>
      <c r="B185" s="1">
        <v>46168</v>
      </c>
      <c r="C185" s="2" t="s">
        <v>486</v>
      </c>
      <c r="D185" s="2" t="s">
        <v>396</v>
      </c>
      <c r="E185" s="2" t="s">
        <v>248</v>
      </c>
      <c r="F185" s="2" t="s">
        <v>35</v>
      </c>
      <c r="G185" s="2" t="s">
        <v>99</v>
      </c>
      <c r="H185" s="2" t="s">
        <v>487</v>
      </c>
      <c r="I185" s="2" t="s">
        <v>488</v>
      </c>
      <c r="J185" s="3">
        <v>20</v>
      </c>
      <c r="K185" s="2" t="s">
        <v>136</v>
      </c>
      <c r="L185" s="3">
        <v>20</v>
      </c>
      <c r="M185" s="11">
        <v>1412719.2</v>
      </c>
      <c r="N185" s="3">
        <v>0</v>
      </c>
      <c r="O185" s="2" t="s">
        <v>25</v>
      </c>
      <c r="P185" s="2" t="s">
        <v>26</v>
      </c>
      <c r="Q185" s="2" t="s">
        <v>34</v>
      </c>
    </row>
    <row r="186" spans="1:17" x14ac:dyDescent="0.25">
      <c r="A186" s="1">
        <v>46170</v>
      </c>
      <c r="B186" s="1">
        <v>46168</v>
      </c>
      <c r="C186" s="2" t="s">
        <v>489</v>
      </c>
      <c r="D186" s="2" t="s">
        <v>396</v>
      </c>
      <c r="E186" s="2" t="s">
        <v>181</v>
      </c>
      <c r="F186" s="2" t="s">
        <v>35</v>
      </c>
      <c r="G186" s="2" t="s">
        <v>84</v>
      </c>
      <c r="H186" s="2" t="s">
        <v>440</v>
      </c>
      <c r="I186" s="2" t="s">
        <v>441</v>
      </c>
      <c r="J186" s="3">
        <v>3</v>
      </c>
      <c r="K186" s="2" t="s">
        <v>136</v>
      </c>
      <c r="L186" s="3">
        <v>3</v>
      </c>
      <c r="M186" s="11">
        <v>330000</v>
      </c>
      <c r="N186" s="3">
        <v>0</v>
      </c>
      <c r="O186" s="2" t="s">
        <v>25</v>
      </c>
      <c r="P186" s="2" t="s">
        <v>26</v>
      </c>
      <c r="Q186" s="2" t="s">
        <v>34</v>
      </c>
    </row>
    <row r="187" spans="1:17" x14ac:dyDescent="0.25">
      <c r="A187" s="1">
        <v>46170</v>
      </c>
      <c r="B187" s="1">
        <v>46168</v>
      </c>
      <c r="C187" s="2" t="s">
        <v>490</v>
      </c>
      <c r="D187" s="2" t="s">
        <v>396</v>
      </c>
      <c r="E187" s="2" t="s">
        <v>491</v>
      </c>
      <c r="F187" s="2" t="s">
        <v>35</v>
      </c>
      <c r="G187" s="2" t="s">
        <v>99</v>
      </c>
      <c r="H187" s="2" t="s">
        <v>492</v>
      </c>
      <c r="I187" s="2" t="s">
        <v>493</v>
      </c>
      <c r="J187" s="3">
        <v>6</v>
      </c>
      <c r="K187" s="2" t="s">
        <v>136</v>
      </c>
      <c r="L187" s="3">
        <v>6</v>
      </c>
      <c r="M187" s="11">
        <v>621000</v>
      </c>
      <c r="N187" s="3">
        <v>0</v>
      </c>
      <c r="O187" s="2" t="s">
        <v>25</v>
      </c>
      <c r="P187" s="2" t="s">
        <v>26</v>
      </c>
      <c r="Q187" s="2" t="s">
        <v>34</v>
      </c>
    </row>
    <row r="188" spans="1:17" x14ac:dyDescent="0.25">
      <c r="A188" s="1">
        <v>46170</v>
      </c>
      <c r="B188" s="1">
        <v>46168</v>
      </c>
      <c r="C188" s="2" t="s">
        <v>494</v>
      </c>
      <c r="D188" s="2" t="s">
        <v>396</v>
      </c>
      <c r="E188" s="2" t="s">
        <v>202</v>
      </c>
      <c r="F188" s="2" t="s">
        <v>35</v>
      </c>
      <c r="G188" s="2" t="s">
        <v>53</v>
      </c>
      <c r="H188" s="2" t="s">
        <v>495</v>
      </c>
      <c r="I188" s="2" t="s">
        <v>496</v>
      </c>
      <c r="J188" s="3">
        <v>2</v>
      </c>
      <c r="K188" s="2" t="s">
        <v>160</v>
      </c>
      <c r="L188" s="3">
        <v>2</v>
      </c>
      <c r="M188" s="11">
        <v>404040</v>
      </c>
      <c r="N188" s="3">
        <v>0</v>
      </c>
      <c r="O188" s="2" t="s">
        <v>25</v>
      </c>
      <c r="P188" s="2" t="s">
        <v>26</v>
      </c>
      <c r="Q188" s="2" t="s">
        <v>205</v>
      </c>
    </row>
    <row r="189" spans="1:17" x14ac:dyDescent="0.25">
      <c r="A189" s="1">
        <v>46170</v>
      </c>
      <c r="B189" s="1">
        <v>46168</v>
      </c>
      <c r="C189" s="2" t="s">
        <v>494</v>
      </c>
      <c r="D189" s="2" t="s">
        <v>396</v>
      </c>
      <c r="E189" s="2" t="s">
        <v>202</v>
      </c>
      <c r="F189" s="2" t="s">
        <v>35</v>
      </c>
      <c r="G189" s="2" t="s">
        <v>53</v>
      </c>
      <c r="H189" s="2" t="s">
        <v>497</v>
      </c>
      <c r="I189" s="2" t="s">
        <v>498</v>
      </c>
      <c r="J189" s="3">
        <v>1</v>
      </c>
      <c r="K189" s="2" t="s">
        <v>160</v>
      </c>
      <c r="L189" s="3">
        <v>1</v>
      </c>
      <c r="M189" s="11">
        <v>266400</v>
      </c>
      <c r="N189" s="3">
        <v>0</v>
      </c>
      <c r="O189" s="2" t="s">
        <v>25</v>
      </c>
      <c r="P189" s="2" t="s">
        <v>26</v>
      </c>
      <c r="Q189" s="2" t="s">
        <v>205</v>
      </c>
    </row>
    <row r="190" spans="1:17" x14ac:dyDescent="0.25">
      <c r="A190" s="1">
        <v>46170</v>
      </c>
      <c r="B190" s="1">
        <v>46168</v>
      </c>
      <c r="C190" s="2" t="s">
        <v>494</v>
      </c>
      <c r="D190" s="2" t="s">
        <v>396</v>
      </c>
      <c r="E190" s="2" t="s">
        <v>202</v>
      </c>
      <c r="F190" s="2" t="s">
        <v>35</v>
      </c>
      <c r="G190" s="2" t="s">
        <v>53</v>
      </c>
      <c r="H190" s="2" t="s">
        <v>499</v>
      </c>
      <c r="I190" s="2" t="s">
        <v>500</v>
      </c>
      <c r="J190" s="3">
        <v>2</v>
      </c>
      <c r="K190" s="2" t="s">
        <v>160</v>
      </c>
      <c r="L190" s="3">
        <v>2</v>
      </c>
      <c r="M190" s="11">
        <v>299700</v>
      </c>
      <c r="N190" s="3">
        <v>0</v>
      </c>
      <c r="O190" s="2" t="s">
        <v>25</v>
      </c>
      <c r="P190" s="2" t="s">
        <v>26</v>
      </c>
      <c r="Q190" s="2" t="s">
        <v>205</v>
      </c>
    </row>
    <row r="191" spans="1:17" x14ac:dyDescent="0.25">
      <c r="A191" s="1">
        <v>46170</v>
      </c>
      <c r="B191" s="1">
        <v>46168</v>
      </c>
      <c r="C191" s="2" t="s">
        <v>494</v>
      </c>
      <c r="D191" s="2" t="s">
        <v>396</v>
      </c>
      <c r="E191" s="2" t="s">
        <v>202</v>
      </c>
      <c r="F191" s="2" t="s">
        <v>35</v>
      </c>
      <c r="G191" s="2" t="s">
        <v>53</v>
      </c>
      <c r="H191" s="2" t="s">
        <v>501</v>
      </c>
      <c r="I191" s="2" t="s">
        <v>502</v>
      </c>
      <c r="J191" s="3">
        <v>1</v>
      </c>
      <c r="K191" s="2" t="s">
        <v>87</v>
      </c>
      <c r="L191" s="3">
        <v>1</v>
      </c>
      <c r="M191" s="11">
        <v>338550</v>
      </c>
      <c r="N191" s="3">
        <v>0</v>
      </c>
      <c r="O191" s="2" t="s">
        <v>25</v>
      </c>
      <c r="P191" s="2" t="s">
        <v>26</v>
      </c>
      <c r="Q191" s="2" t="s">
        <v>205</v>
      </c>
    </row>
    <row r="192" spans="1:17" x14ac:dyDescent="0.25">
      <c r="A192" s="1">
        <v>46170</v>
      </c>
      <c r="B192" s="1">
        <v>46168</v>
      </c>
      <c r="C192" s="2" t="s">
        <v>494</v>
      </c>
      <c r="D192" s="2" t="s">
        <v>396</v>
      </c>
      <c r="E192" s="2" t="s">
        <v>202</v>
      </c>
      <c r="F192" s="2" t="s">
        <v>35</v>
      </c>
      <c r="G192" s="2" t="s">
        <v>53</v>
      </c>
      <c r="H192" s="2" t="s">
        <v>503</v>
      </c>
      <c r="I192" s="2" t="s">
        <v>504</v>
      </c>
      <c r="J192" s="3">
        <v>2</v>
      </c>
      <c r="K192" s="2" t="s">
        <v>87</v>
      </c>
      <c r="L192" s="3">
        <v>2</v>
      </c>
      <c r="M192" s="11">
        <v>499500</v>
      </c>
      <c r="N192" s="3">
        <v>0</v>
      </c>
      <c r="O192" s="2" t="s">
        <v>25</v>
      </c>
      <c r="P192" s="2" t="s">
        <v>26</v>
      </c>
      <c r="Q192" s="2" t="s">
        <v>205</v>
      </c>
    </row>
    <row r="193" spans="1:17" x14ac:dyDescent="0.25">
      <c r="A193" s="1">
        <v>46170</v>
      </c>
      <c r="B193" s="1">
        <v>46168</v>
      </c>
      <c r="C193" s="2" t="s">
        <v>505</v>
      </c>
      <c r="D193" s="2" t="s">
        <v>396</v>
      </c>
      <c r="E193" s="2" t="s">
        <v>458</v>
      </c>
      <c r="F193" s="2" t="s">
        <v>35</v>
      </c>
      <c r="G193" s="2" t="s">
        <v>58</v>
      </c>
      <c r="H193" s="2" t="s">
        <v>459</v>
      </c>
      <c r="I193" s="2" t="s">
        <v>460</v>
      </c>
      <c r="J193" s="3">
        <v>2</v>
      </c>
      <c r="K193" s="2" t="s">
        <v>136</v>
      </c>
      <c r="L193" s="3">
        <v>2</v>
      </c>
      <c r="M193" s="11">
        <v>220000</v>
      </c>
      <c r="N193" s="3">
        <v>0</v>
      </c>
      <c r="O193" s="2" t="s">
        <v>25</v>
      </c>
      <c r="P193" s="2" t="s">
        <v>26</v>
      </c>
      <c r="Q193" s="2" t="s">
        <v>34</v>
      </c>
    </row>
    <row r="194" spans="1:17" x14ac:dyDescent="0.25">
      <c r="A194" s="1">
        <v>46170</v>
      </c>
      <c r="B194" s="1">
        <v>46168</v>
      </c>
      <c r="C194" s="2" t="s">
        <v>506</v>
      </c>
      <c r="D194" s="2" t="s">
        <v>396</v>
      </c>
      <c r="E194" s="2" t="s">
        <v>216</v>
      </c>
      <c r="F194" s="2" t="s">
        <v>35</v>
      </c>
      <c r="G194" s="2" t="s">
        <v>84</v>
      </c>
      <c r="H194" s="2" t="s">
        <v>487</v>
      </c>
      <c r="I194" s="2" t="s">
        <v>488</v>
      </c>
      <c r="J194" s="3">
        <v>20</v>
      </c>
      <c r="K194" s="2" t="s">
        <v>136</v>
      </c>
      <c r="L194" s="3">
        <v>20</v>
      </c>
      <c r="M194" s="11">
        <v>1349999.98</v>
      </c>
      <c r="N194" s="3">
        <v>0</v>
      </c>
      <c r="O194" s="2" t="s">
        <v>25</v>
      </c>
      <c r="P194" s="2" t="s">
        <v>26</v>
      </c>
      <c r="Q194" s="2" t="s">
        <v>507</v>
      </c>
    </row>
    <row r="195" spans="1:17" x14ac:dyDescent="0.25">
      <c r="A195" s="1">
        <v>46170</v>
      </c>
      <c r="B195" s="1">
        <v>46168</v>
      </c>
      <c r="C195" s="2" t="s">
        <v>506</v>
      </c>
      <c r="D195" s="2" t="s">
        <v>396</v>
      </c>
      <c r="E195" s="2" t="s">
        <v>216</v>
      </c>
      <c r="F195" s="2" t="s">
        <v>35</v>
      </c>
      <c r="G195" s="2" t="s">
        <v>84</v>
      </c>
      <c r="H195" s="2" t="s">
        <v>508</v>
      </c>
      <c r="I195" s="2" t="s">
        <v>509</v>
      </c>
      <c r="J195" s="3">
        <v>20</v>
      </c>
      <c r="K195" s="2" t="s">
        <v>136</v>
      </c>
      <c r="L195" s="3">
        <v>20</v>
      </c>
      <c r="M195" s="11">
        <v>1349999.98</v>
      </c>
      <c r="N195" s="3">
        <v>0</v>
      </c>
      <c r="O195" s="2" t="s">
        <v>25</v>
      </c>
      <c r="P195" s="2" t="s">
        <v>26</v>
      </c>
      <c r="Q195" s="2" t="s">
        <v>507</v>
      </c>
    </row>
    <row r="196" spans="1:17" x14ac:dyDescent="0.25">
      <c r="A196" s="1">
        <v>46170</v>
      </c>
      <c r="B196" s="1">
        <v>46168</v>
      </c>
      <c r="C196" s="2" t="s">
        <v>506</v>
      </c>
      <c r="D196" s="2" t="s">
        <v>396</v>
      </c>
      <c r="E196" s="2" t="s">
        <v>216</v>
      </c>
      <c r="F196" s="2" t="s">
        <v>35</v>
      </c>
      <c r="G196" s="2" t="s">
        <v>84</v>
      </c>
      <c r="H196" s="2" t="s">
        <v>484</v>
      </c>
      <c r="I196" s="2" t="s">
        <v>485</v>
      </c>
      <c r="J196" s="3">
        <v>20</v>
      </c>
      <c r="K196" s="2" t="s">
        <v>136</v>
      </c>
      <c r="L196" s="3">
        <v>20</v>
      </c>
      <c r="M196" s="11">
        <v>1349999.99</v>
      </c>
      <c r="N196" s="3">
        <v>0</v>
      </c>
      <c r="O196" s="2" t="s">
        <v>25</v>
      </c>
      <c r="P196" s="2" t="s">
        <v>26</v>
      </c>
      <c r="Q196" s="2" t="s">
        <v>507</v>
      </c>
    </row>
    <row r="197" spans="1:17" x14ac:dyDescent="0.25">
      <c r="A197" s="1">
        <v>46170</v>
      </c>
      <c r="B197" s="1">
        <v>46168</v>
      </c>
      <c r="C197" s="2" t="s">
        <v>510</v>
      </c>
      <c r="D197" s="2" t="s">
        <v>396</v>
      </c>
      <c r="E197" s="2" t="s">
        <v>511</v>
      </c>
      <c r="F197" s="2" t="s">
        <v>35</v>
      </c>
      <c r="G197" s="2" t="s">
        <v>99</v>
      </c>
      <c r="H197" s="2" t="s">
        <v>487</v>
      </c>
      <c r="I197" s="2" t="s">
        <v>488</v>
      </c>
      <c r="J197" s="3">
        <v>20</v>
      </c>
      <c r="K197" s="2" t="s">
        <v>136</v>
      </c>
      <c r="L197" s="3">
        <v>20</v>
      </c>
      <c r="M197" s="11">
        <v>1412719.2</v>
      </c>
      <c r="N197" s="3">
        <v>0</v>
      </c>
      <c r="O197" s="2" t="s">
        <v>25</v>
      </c>
      <c r="P197" s="2" t="s">
        <v>26</v>
      </c>
      <c r="Q197" s="2" t="s">
        <v>34</v>
      </c>
    </row>
    <row r="198" spans="1:17" x14ac:dyDescent="0.25">
      <c r="A198" s="1">
        <v>46170</v>
      </c>
      <c r="B198" s="1">
        <v>46168</v>
      </c>
      <c r="C198" s="2" t="s">
        <v>512</v>
      </c>
      <c r="D198" s="2" t="s">
        <v>396</v>
      </c>
      <c r="E198" s="2" t="s">
        <v>243</v>
      </c>
      <c r="F198" s="2" t="s">
        <v>35</v>
      </c>
      <c r="G198" s="2" t="s">
        <v>76</v>
      </c>
      <c r="H198" s="2" t="s">
        <v>513</v>
      </c>
      <c r="I198" s="2" t="s">
        <v>514</v>
      </c>
      <c r="J198" s="3">
        <v>12</v>
      </c>
      <c r="K198" s="2" t="s">
        <v>330</v>
      </c>
      <c r="L198" s="3">
        <v>12</v>
      </c>
      <c r="M198" s="11">
        <v>971999.98</v>
      </c>
      <c r="N198" s="3">
        <v>0</v>
      </c>
      <c r="O198" s="2" t="s">
        <v>25</v>
      </c>
      <c r="P198" s="2" t="s">
        <v>26</v>
      </c>
      <c r="Q198" s="2" t="s">
        <v>246</v>
      </c>
    </row>
    <row r="199" spans="1:17" x14ac:dyDescent="0.25">
      <c r="A199" s="1">
        <v>46170</v>
      </c>
      <c r="B199" s="1">
        <v>46168</v>
      </c>
      <c r="C199" s="2" t="s">
        <v>515</v>
      </c>
      <c r="D199" s="2" t="s">
        <v>396</v>
      </c>
      <c r="E199" s="2" t="s">
        <v>516</v>
      </c>
      <c r="F199" s="2" t="s">
        <v>35</v>
      </c>
      <c r="G199" s="2" t="s">
        <v>36</v>
      </c>
      <c r="H199" s="2" t="s">
        <v>404</v>
      </c>
      <c r="I199" s="2" t="s">
        <v>405</v>
      </c>
      <c r="J199" s="3">
        <v>3</v>
      </c>
      <c r="K199" s="2" t="s">
        <v>217</v>
      </c>
      <c r="L199" s="3">
        <v>3</v>
      </c>
      <c r="M199" s="11">
        <v>1590000</v>
      </c>
      <c r="N199" s="3">
        <v>0</v>
      </c>
      <c r="O199" s="2" t="s">
        <v>25</v>
      </c>
      <c r="P199" s="2" t="s">
        <v>26</v>
      </c>
      <c r="Q199" s="2" t="s">
        <v>34</v>
      </c>
    </row>
    <row r="200" spans="1:17" x14ac:dyDescent="0.25">
      <c r="A200" s="1">
        <v>46170</v>
      </c>
      <c r="B200" s="1">
        <v>46168</v>
      </c>
      <c r="C200" s="2" t="s">
        <v>517</v>
      </c>
      <c r="D200" s="2" t="s">
        <v>396</v>
      </c>
      <c r="E200" s="2" t="s">
        <v>518</v>
      </c>
      <c r="F200" s="2" t="s">
        <v>20</v>
      </c>
      <c r="G200" s="2" t="s">
        <v>384</v>
      </c>
      <c r="H200" s="2" t="s">
        <v>519</v>
      </c>
      <c r="I200" s="2" t="s">
        <v>520</v>
      </c>
      <c r="J200" s="3">
        <v>1</v>
      </c>
      <c r="K200" s="2" t="s">
        <v>87</v>
      </c>
      <c r="L200" s="3">
        <v>1</v>
      </c>
      <c r="M200" s="11">
        <v>150000.01</v>
      </c>
      <c r="N200" s="3">
        <v>0</v>
      </c>
      <c r="O200" s="2" t="s">
        <v>25</v>
      </c>
      <c r="P200" s="2" t="s">
        <v>26</v>
      </c>
      <c r="Q200" s="2" t="s">
        <v>521</v>
      </c>
    </row>
    <row r="201" spans="1:17" x14ac:dyDescent="0.25">
      <c r="A201" s="1">
        <v>46170</v>
      </c>
      <c r="B201" s="1">
        <v>46168</v>
      </c>
      <c r="C201" s="2" t="s">
        <v>522</v>
      </c>
      <c r="D201" s="2" t="s">
        <v>396</v>
      </c>
      <c r="E201" s="2" t="s">
        <v>264</v>
      </c>
      <c r="F201" s="2" t="s">
        <v>35</v>
      </c>
      <c r="G201" s="2" t="s">
        <v>47</v>
      </c>
      <c r="H201" s="2" t="s">
        <v>480</v>
      </c>
      <c r="I201" s="2" t="s">
        <v>481</v>
      </c>
      <c r="J201" s="3">
        <v>2</v>
      </c>
      <c r="K201" s="2" t="s">
        <v>87</v>
      </c>
      <c r="L201" s="3">
        <v>2</v>
      </c>
      <c r="M201" s="11">
        <v>888000</v>
      </c>
      <c r="N201" s="3">
        <v>0</v>
      </c>
      <c r="O201" s="2" t="s">
        <v>25</v>
      </c>
      <c r="P201" s="2" t="s">
        <v>26</v>
      </c>
      <c r="Q201" s="2" t="s">
        <v>523</v>
      </c>
    </row>
    <row r="202" spans="1:17" x14ac:dyDescent="0.25">
      <c r="A202" s="1">
        <v>46170</v>
      </c>
      <c r="B202" s="1">
        <v>46168</v>
      </c>
      <c r="C202" s="2" t="s">
        <v>524</v>
      </c>
      <c r="D202" s="2" t="s">
        <v>396</v>
      </c>
      <c r="E202" s="2" t="s">
        <v>264</v>
      </c>
      <c r="F202" s="2" t="s">
        <v>35</v>
      </c>
      <c r="G202" s="2" t="s">
        <v>47</v>
      </c>
      <c r="H202" s="2" t="s">
        <v>480</v>
      </c>
      <c r="I202" s="2" t="s">
        <v>481</v>
      </c>
      <c r="J202" s="3">
        <v>1</v>
      </c>
      <c r="K202" s="2" t="s">
        <v>87</v>
      </c>
      <c r="L202" s="3">
        <v>1</v>
      </c>
      <c r="M202" s="11">
        <v>444000</v>
      </c>
      <c r="N202" s="3">
        <v>0</v>
      </c>
      <c r="O202" s="2" t="s">
        <v>25</v>
      </c>
      <c r="P202" s="2" t="s">
        <v>26</v>
      </c>
      <c r="Q202" s="2" t="s">
        <v>525</v>
      </c>
    </row>
    <row r="203" spans="1:17" x14ac:dyDescent="0.25">
      <c r="A203" s="1">
        <v>46170</v>
      </c>
      <c r="B203" s="1">
        <v>46168</v>
      </c>
      <c r="C203" s="2" t="s">
        <v>526</v>
      </c>
      <c r="D203" s="2" t="s">
        <v>396</v>
      </c>
      <c r="E203" s="2" t="s">
        <v>379</v>
      </c>
      <c r="F203" s="2" t="s">
        <v>35</v>
      </c>
      <c r="G203" s="2" t="s">
        <v>62</v>
      </c>
      <c r="H203" s="2" t="s">
        <v>398</v>
      </c>
      <c r="I203" s="2" t="s">
        <v>399</v>
      </c>
      <c r="J203" s="3">
        <v>6.9</v>
      </c>
      <c r="K203" s="2" t="s">
        <v>33</v>
      </c>
      <c r="L203" s="3">
        <v>6.5</v>
      </c>
      <c r="M203" s="11">
        <v>750749.98</v>
      </c>
      <c r="N203" s="3">
        <v>-0.4</v>
      </c>
      <c r="O203" s="2" t="s">
        <v>25</v>
      </c>
      <c r="P203" s="2" t="s">
        <v>26</v>
      </c>
      <c r="Q203" s="2" t="s">
        <v>527</v>
      </c>
    </row>
    <row r="204" spans="1:17" x14ac:dyDescent="0.25">
      <c r="A204" s="1">
        <v>46170</v>
      </c>
      <c r="B204" s="1">
        <v>46168</v>
      </c>
      <c r="C204" s="2" t="s">
        <v>528</v>
      </c>
      <c r="D204" s="2" t="s">
        <v>396</v>
      </c>
      <c r="E204" s="2" t="s">
        <v>529</v>
      </c>
      <c r="F204" s="2" t="s">
        <v>20</v>
      </c>
      <c r="G204" s="2" t="s">
        <v>62</v>
      </c>
      <c r="H204" s="2" t="s">
        <v>513</v>
      </c>
      <c r="I204" s="2" t="s">
        <v>514</v>
      </c>
      <c r="J204" s="3">
        <v>1</v>
      </c>
      <c r="K204" s="2" t="s">
        <v>330</v>
      </c>
      <c r="L204" s="3">
        <v>1</v>
      </c>
      <c r="M204" s="11">
        <v>82000</v>
      </c>
      <c r="N204" s="3">
        <v>0</v>
      </c>
      <c r="O204" s="2" t="s">
        <v>25</v>
      </c>
      <c r="P204" s="2" t="s">
        <v>26</v>
      </c>
      <c r="Q204" s="2" t="s">
        <v>530</v>
      </c>
    </row>
    <row r="205" spans="1:17" x14ac:dyDescent="0.25">
      <c r="A205" s="1">
        <v>46170</v>
      </c>
      <c r="B205" s="1">
        <v>46168</v>
      </c>
      <c r="C205" s="2" t="s">
        <v>531</v>
      </c>
      <c r="D205" s="2" t="s">
        <v>396</v>
      </c>
      <c r="E205" s="2" t="s">
        <v>529</v>
      </c>
      <c r="F205" s="2" t="s">
        <v>20</v>
      </c>
      <c r="G205" s="2" t="s">
        <v>62</v>
      </c>
      <c r="H205" s="2" t="s">
        <v>398</v>
      </c>
      <c r="I205" s="2" t="s">
        <v>399</v>
      </c>
      <c r="J205" s="3">
        <v>2.2999999999999998</v>
      </c>
      <c r="K205" s="2" t="s">
        <v>33</v>
      </c>
      <c r="L205" s="3">
        <v>2.16</v>
      </c>
      <c r="M205" s="11">
        <v>207360.01</v>
      </c>
      <c r="N205" s="3">
        <v>-0.14000000000000001</v>
      </c>
      <c r="O205" s="2" t="s">
        <v>25</v>
      </c>
      <c r="P205" s="2" t="s">
        <v>26</v>
      </c>
      <c r="Q205" s="2" t="s">
        <v>530</v>
      </c>
    </row>
    <row r="206" spans="1:17" x14ac:dyDescent="0.25">
      <c r="A206" s="1">
        <v>46170</v>
      </c>
      <c r="B206" s="1">
        <v>46168</v>
      </c>
      <c r="C206" s="2" t="s">
        <v>532</v>
      </c>
      <c r="D206" s="2" t="s">
        <v>396</v>
      </c>
      <c r="E206" s="2" t="s">
        <v>281</v>
      </c>
      <c r="F206" s="2" t="s">
        <v>20</v>
      </c>
      <c r="G206" s="2" t="s">
        <v>84</v>
      </c>
      <c r="H206" s="2" t="s">
        <v>444</v>
      </c>
      <c r="I206" s="2" t="s">
        <v>445</v>
      </c>
      <c r="J206" s="3">
        <v>20</v>
      </c>
      <c r="K206" s="2" t="s">
        <v>33</v>
      </c>
      <c r="L206" s="3">
        <v>20</v>
      </c>
      <c r="M206" s="11">
        <v>1900000</v>
      </c>
      <c r="N206" s="3">
        <v>0</v>
      </c>
      <c r="O206" s="2" t="s">
        <v>25</v>
      </c>
      <c r="P206" s="2" t="s">
        <v>26</v>
      </c>
      <c r="Q206" s="2" t="s">
        <v>34</v>
      </c>
    </row>
    <row r="207" spans="1:17" x14ac:dyDescent="0.25">
      <c r="A207" s="1">
        <v>46170</v>
      </c>
      <c r="B207" s="1">
        <v>46168</v>
      </c>
      <c r="C207" s="2" t="s">
        <v>533</v>
      </c>
      <c r="D207" s="2" t="s">
        <v>396</v>
      </c>
      <c r="E207" s="2" t="s">
        <v>298</v>
      </c>
      <c r="F207" s="2" t="s">
        <v>35</v>
      </c>
      <c r="G207" s="2" t="s">
        <v>81</v>
      </c>
      <c r="H207" s="2" t="s">
        <v>421</v>
      </c>
      <c r="I207" s="2" t="s">
        <v>422</v>
      </c>
      <c r="J207" s="3">
        <v>12</v>
      </c>
      <c r="K207" s="2" t="s">
        <v>388</v>
      </c>
      <c r="L207" s="3">
        <v>12</v>
      </c>
      <c r="M207" s="11">
        <v>772560</v>
      </c>
      <c r="N207" s="3">
        <v>0</v>
      </c>
      <c r="O207" s="2" t="s">
        <v>25</v>
      </c>
      <c r="P207" s="2" t="s">
        <v>26</v>
      </c>
      <c r="Q207" s="2" t="s">
        <v>534</v>
      </c>
    </row>
    <row r="208" spans="1:17" x14ac:dyDescent="0.25">
      <c r="A208" s="1">
        <v>46170</v>
      </c>
      <c r="B208" s="1">
        <v>46168</v>
      </c>
      <c r="C208" s="2" t="s">
        <v>535</v>
      </c>
      <c r="D208" s="2" t="s">
        <v>396</v>
      </c>
      <c r="E208" s="2" t="s">
        <v>536</v>
      </c>
      <c r="F208" s="2" t="s">
        <v>35</v>
      </c>
      <c r="G208" s="2" t="s">
        <v>47</v>
      </c>
      <c r="H208" s="2" t="s">
        <v>537</v>
      </c>
      <c r="I208" s="2" t="s">
        <v>538</v>
      </c>
      <c r="J208" s="3">
        <v>1</v>
      </c>
      <c r="K208" s="2" t="s">
        <v>217</v>
      </c>
      <c r="L208" s="3">
        <v>1</v>
      </c>
      <c r="M208" s="11">
        <v>330000</v>
      </c>
      <c r="N208" s="3">
        <v>0</v>
      </c>
      <c r="O208" s="2" t="s">
        <v>25</v>
      </c>
      <c r="P208" s="2" t="s">
        <v>26</v>
      </c>
      <c r="Q208" s="2" t="s">
        <v>34</v>
      </c>
    </row>
    <row r="209" spans="1:17" x14ac:dyDescent="0.25">
      <c r="A209" s="1">
        <v>46170</v>
      </c>
      <c r="B209" s="1">
        <v>46168</v>
      </c>
      <c r="C209" s="2" t="s">
        <v>539</v>
      </c>
      <c r="D209" s="2" t="s">
        <v>396</v>
      </c>
      <c r="E209" s="2" t="s">
        <v>540</v>
      </c>
      <c r="F209" s="2" t="s">
        <v>20</v>
      </c>
      <c r="G209" s="2" t="s">
        <v>30</v>
      </c>
      <c r="H209" s="2" t="s">
        <v>537</v>
      </c>
      <c r="I209" s="2" t="s">
        <v>538</v>
      </c>
      <c r="J209" s="3">
        <v>2</v>
      </c>
      <c r="K209" s="2" t="s">
        <v>217</v>
      </c>
      <c r="L209" s="3">
        <v>2</v>
      </c>
      <c r="M209" s="11">
        <v>500000.01</v>
      </c>
      <c r="N209" s="3">
        <v>0</v>
      </c>
      <c r="O209" s="2" t="s">
        <v>25</v>
      </c>
      <c r="P209" s="2" t="s">
        <v>26</v>
      </c>
      <c r="Q209" s="2" t="s">
        <v>34</v>
      </c>
    </row>
    <row r="210" spans="1:17" x14ac:dyDescent="0.25">
      <c r="A210" s="1">
        <v>46170</v>
      </c>
      <c r="B210" s="1">
        <v>46168</v>
      </c>
      <c r="C210" s="2" t="s">
        <v>541</v>
      </c>
      <c r="D210" s="2" t="s">
        <v>396</v>
      </c>
      <c r="E210" s="2" t="s">
        <v>309</v>
      </c>
      <c r="F210" s="2" t="s">
        <v>35</v>
      </c>
      <c r="G210" s="2" t="s">
        <v>36</v>
      </c>
      <c r="H210" s="2" t="s">
        <v>398</v>
      </c>
      <c r="I210" s="2" t="s">
        <v>399</v>
      </c>
      <c r="J210" s="3">
        <v>8</v>
      </c>
      <c r="K210" s="2" t="s">
        <v>33</v>
      </c>
      <c r="L210" s="3">
        <v>8.59</v>
      </c>
      <c r="M210" s="11">
        <v>859000</v>
      </c>
      <c r="N210" s="3">
        <v>0.59</v>
      </c>
      <c r="O210" s="2" t="s">
        <v>25</v>
      </c>
      <c r="P210" s="2" t="s">
        <v>26</v>
      </c>
      <c r="Q210" s="2" t="s">
        <v>34</v>
      </c>
    </row>
    <row r="211" spans="1:17" x14ac:dyDescent="0.25">
      <c r="A211" s="1">
        <v>46170</v>
      </c>
      <c r="B211" s="1">
        <v>46168</v>
      </c>
      <c r="C211" s="2" t="s">
        <v>542</v>
      </c>
      <c r="D211" s="2" t="s">
        <v>396</v>
      </c>
      <c r="E211" s="2" t="s">
        <v>243</v>
      </c>
      <c r="F211" s="2" t="s">
        <v>35</v>
      </c>
      <c r="G211" s="2" t="s">
        <v>76</v>
      </c>
      <c r="H211" s="2" t="s">
        <v>444</v>
      </c>
      <c r="I211" s="2" t="s">
        <v>445</v>
      </c>
      <c r="J211" s="3">
        <v>10</v>
      </c>
      <c r="K211" s="2" t="s">
        <v>33</v>
      </c>
      <c r="L211" s="3">
        <v>10</v>
      </c>
      <c r="M211" s="11">
        <v>950000</v>
      </c>
      <c r="N211" s="3">
        <v>0</v>
      </c>
      <c r="O211" s="2" t="s">
        <v>25</v>
      </c>
      <c r="P211" s="2" t="s">
        <v>26</v>
      </c>
      <c r="Q211" s="2" t="s">
        <v>312</v>
      </c>
    </row>
    <row r="212" spans="1:17" x14ac:dyDescent="0.25">
      <c r="A212" s="1">
        <v>46170</v>
      </c>
      <c r="B212" s="1">
        <v>46168</v>
      </c>
      <c r="C212" s="2" t="s">
        <v>543</v>
      </c>
      <c r="D212" s="2" t="s">
        <v>396</v>
      </c>
      <c r="E212" s="2" t="s">
        <v>544</v>
      </c>
      <c r="F212" s="2" t="s">
        <v>35</v>
      </c>
      <c r="G212" s="2" t="s">
        <v>76</v>
      </c>
      <c r="H212" s="2" t="s">
        <v>545</v>
      </c>
      <c r="I212" s="2" t="s">
        <v>546</v>
      </c>
      <c r="J212" s="3">
        <v>1</v>
      </c>
      <c r="K212" s="2" t="s">
        <v>160</v>
      </c>
      <c r="L212" s="3">
        <v>1</v>
      </c>
      <c r="M212" s="11">
        <v>156510</v>
      </c>
      <c r="N212" s="3">
        <v>0</v>
      </c>
      <c r="O212" s="2" t="s">
        <v>25</v>
      </c>
      <c r="P212" s="2" t="s">
        <v>26</v>
      </c>
      <c r="Q212" s="2" t="s">
        <v>34</v>
      </c>
    </row>
    <row r="213" spans="1:17" x14ac:dyDescent="0.25">
      <c r="A213" s="1">
        <v>46170</v>
      </c>
      <c r="B213" s="1">
        <v>46168</v>
      </c>
      <c r="C213" s="2" t="s">
        <v>547</v>
      </c>
      <c r="D213" s="2" t="s">
        <v>396</v>
      </c>
      <c r="E213" s="2" t="s">
        <v>548</v>
      </c>
      <c r="F213" s="2" t="s">
        <v>35</v>
      </c>
      <c r="G213" s="2" t="s">
        <v>81</v>
      </c>
      <c r="H213" s="2" t="s">
        <v>398</v>
      </c>
      <c r="I213" s="2" t="s">
        <v>399</v>
      </c>
      <c r="J213" s="3">
        <v>5</v>
      </c>
      <c r="K213" s="2" t="s">
        <v>33</v>
      </c>
      <c r="L213" s="3">
        <v>4.28</v>
      </c>
      <c r="M213" s="11">
        <v>428000.01</v>
      </c>
      <c r="N213" s="3">
        <v>-0.72</v>
      </c>
      <c r="O213" s="2" t="s">
        <v>25</v>
      </c>
      <c r="P213" s="2" t="s">
        <v>26</v>
      </c>
      <c r="Q213" s="2" t="s">
        <v>34</v>
      </c>
    </row>
    <row r="214" spans="1:17" x14ac:dyDescent="0.25">
      <c r="A214" s="1">
        <v>46170</v>
      </c>
      <c r="B214" s="1">
        <v>46168</v>
      </c>
      <c r="C214" s="2" t="s">
        <v>549</v>
      </c>
      <c r="D214" s="2" t="s">
        <v>396</v>
      </c>
      <c r="E214" s="2" t="s">
        <v>550</v>
      </c>
      <c r="F214" s="2" t="s">
        <v>35</v>
      </c>
      <c r="G214" s="2" t="s">
        <v>92</v>
      </c>
      <c r="H214" s="2" t="s">
        <v>404</v>
      </c>
      <c r="I214" s="2" t="s">
        <v>405</v>
      </c>
      <c r="J214" s="3">
        <v>1</v>
      </c>
      <c r="K214" s="2" t="s">
        <v>217</v>
      </c>
      <c r="L214" s="3">
        <v>1</v>
      </c>
      <c r="M214" s="11">
        <v>500000</v>
      </c>
      <c r="N214" s="3">
        <v>0</v>
      </c>
      <c r="O214" s="2" t="s">
        <v>25</v>
      </c>
      <c r="P214" s="2" t="s">
        <v>26</v>
      </c>
      <c r="Q214" s="2" t="s">
        <v>34</v>
      </c>
    </row>
    <row r="215" spans="1:17" x14ac:dyDescent="0.25">
      <c r="A215" s="1">
        <v>46170</v>
      </c>
      <c r="B215" s="1">
        <v>46168</v>
      </c>
      <c r="C215" s="2" t="s">
        <v>549</v>
      </c>
      <c r="D215" s="2" t="s">
        <v>396</v>
      </c>
      <c r="E215" s="2" t="s">
        <v>550</v>
      </c>
      <c r="F215" s="2" t="s">
        <v>35</v>
      </c>
      <c r="G215" s="2" t="s">
        <v>92</v>
      </c>
      <c r="H215" s="2" t="s">
        <v>551</v>
      </c>
      <c r="I215" s="2" t="s">
        <v>552</v>
      </c>
      <c r="J215" s="3">
        <v>10</v>
      </c>
      <c r="K215" s="2" t="s">
        <v>87</v>
      </c>
      <c r="L215" s="3">
        <v>10</v>
      </c>
      <c r="M215" s="11">
        <v>600000</v>
      </c>
      <c r="N215" s="3">
        <v>0</v>
      </c>
      <c r="O215" s="2" t="s">
        <v>25</v>
      </c>
      <c r="P215" s="2" t="s">
        <v>26</v>
      </c>
      <c r="Q215" s="2" t="s">
        <v>34</v>
      </c>
    </row>
    <row r="216" spans="1:17" x14ac:dyDescent="0.25">
      <c r="A216" s="1">
        <v>46170</v>
      </c>
      <c r="B216" s="1">
        <v>46168</v>
      </c>
      <c r="C216" s="2" t="s">
        <v>553</v>
      </c>
      <c r="D216" s="2" t="s">
        <v>396</v>
      </c>
      <c r="E216" s="2" t="s">
        <v>554</v>
      </c>
      <c r="F216" s="2" t="s">
        <v>20</v>
      </c>
      <c r="G216" s="2" t="s">
        <v>81</v>
      </c>
      <c r="H216" s="2" t="s">
        <v>451</v>
      </c>
      <c r="I216" s="2" t="s">
        <v>452</v>
      </c>
      <c r="J216" s="3">
        <v>1</v>
      </c>
      <c r="K216" s="2" t="s">
        <v>160</v>
      </c>
      <c r="L216" s="3">
        <v>1</v>
      </c>
      <c r="M216" s="11">
        <v>168510</v>
      </c>
      <c r="N216" s="3">
        <v>0</v>
      </c>
      <c r="O216" s="2" t="s">
        <v>25</v>
      </c>
      <c r="P216" s="2" t="s">
        <v>26</v>
      </c>
      <c r="Q216" s="2" t="s">
        <v>555</v>
      </c>
    </row>
    <row r="217" spans="1:17" x14ac:dyDescent="0.25">
      <c r="A217" s="1">
        <v>46170</v>
      </c>
      <c r="B217" s="1">
        <v>46168</v>
      </c>
      <c r="C217" s="2" t="s">
        <v>553</v>
      </c>
      <c r="D217" s="2" t="s">
        <v>396</v>
      </c>
      <c r="E217" s="2" t="s">
        <v>554</v>
      </c>
      <c r="F217" s="2" t="s">
        <v>20</v>
      </c>
      <c r="G217" s="2" t="s">
        <v>81</v>
      </c>
      <c r="H217" s="2" t="s">
        <v>453</v>
      </c>
      <c r="I217" s="2" t="s">
        <v>454</v>
      </c>
      <c r="J217" s="3">
        <v>1</v>
      </c>
      <c r="K217" s="2" t="s">
        <v>160</v>
      </c>
      <c r="L217" s="3">
        <v>1</v>
      </c>
      <c r="M217" s="11">
        <v>164835</v>
      </c>
      <c r="N217" s="3">
        <v>0</v>
      </c>
      <c r="O217" s="2" t="s">
        <v>25</v>
      </c>
      <c r="P217" s="2" t="s">
        <v>26</v>
      </c>
      <c r="Q217" s="2" t="s">
        <v>555</v>
      </c>
    </row>
    <row r="218" spans="1:17" x14ac:dyDescent="0.25">
      <c r="A218" s="1">
        <v>46170</v>
      </c>
      <c r="B218" s="1">
        <v>46168</v>
      </c>
      <c r="C218" s="2" t="s">
        <v>553</v>
      </c>
      <c r="D218" s="2" t="s">
        <v>396</v>
      </c>
      <c r="E218" s="2" t="s">
        <v>554</v>
      </c>
      <c r="F218" s="2" t="s">
        <v>20</v>
      </c>
      <c r="G218" s="2" t="s">
        <v>81</v>
      </c>
      <c r="H218" s="2" t="s">
        <v>427</v>
      </c>
      <c r="I218" s="2" t="s">
        <v>428</v>
      </c>
      <c r="J218" s="3">
        <v>1</v>
      </c>
      <c r="K218" s="2" t="s">
        <v>136</v>
      </c>
      <c r="L218" s="3">
        <v>1</v>
      </c>
      <c r="M218" s="11">
        <v>110000</v>
      </c>
      <c r="N218" s="3">
        <v>0</v>
      </c>
      <c r="O218" s="2" t="s">
        <v>25</v>
      </c>
      <c r="P218" s="2" t="s">
        <v>26</v>
      </c>
      <c r="Q218" s="2" t="s">
        <v>555</v>
      </c>
    </row>
    <row r="219" spans="1:17" x14ac:dyDescent="0.25">
      <c r="A219" s="1">
        <v>46170</v>
      </c>
      <c r="B219" s="1">
        <v>46168</v>
      </c>
      <c r="C219" s="2" t="s">
        <v>553</v>
      </c>
      <c r="D219" s="2" t="s">
        <v>396</v>
      </c>
      <c r="E219" s="2" t="s">
        <v>554</v>
      </c>
      <c r="F219" s="2" t="s">
        <v>20</v>
      </c>
      <c r="G219" s="2" t="s">
        <v>81</v>
      </c>
      <c r="H219" s="2" t="s">
        <v>430</v>
      </c>
      <c r="I219" s="2" t="s">
        <v>431</v>
      </c>
      <c r="J219" s="3">
        <v>1</v>
      </c>
      <c r="K219" s="2" t="s">
        <v>136</v>
      </c>
      <c r="L219" s="3">
        <v>1</v>
      </c>
      <c r="M219" s="11">
        <v>110000</v>
      </c>
      <c r="N219" s="3">
        <v>0</v>
      </c>
      <c r="O219" s="2" t="s">
        <v>25</v>
      </c>
      <c r="P219" s="2" t="s">
        <v>26</v>
      </c>
      <c r="Q219" s="2" t="s">
        <v>555</v>
      </c>
    </row>
    <row r="220" spans="1:17" x14ac:dyDescent="0.25">
      <c r="A220" s="1">
        <v>46170</v>
      </c>
      <c r="B220" s="1">
        <v>46168</v>
      </c>
      <c r="C220" s="2" t="s">
        <v>553</v>
      </c>
      <c r="D220" s="2" t="s">
        <v>396</v>
      </c>
      <c r="E220" s="2" t="s">
        <v>554</v>
      </c>
      <c r="F220" s="2" t="s">
        <v>20</v>
      </c>
      <c r="G220" s="2" t="s">
        <v>81</v>
      </c>
      <c r="H220" s="2" t="s">
        <v>432</v>
      </c>
      <c r="I220" s="2" t="s">
        <v>433</v>
      </c>
      <c r="J220" s="3">
        <v>1</v>
      </c>
      <c r="K220" s="2" t="s">
        <v>136</v>
      </c>
      <c r="L220" s="3">
        <v>1</v>
      </c>
      <c r="M220" s="11">
        <v>110000</v>
      </c>
      <c r="N220" s="3">
        <v>0</v>
      </c>
      <c r="O220" s="2" t="s">
        <v>25</v>
      </c>
      <c r="P220" s="2" t="s">
        <v>26</v>
      </c>
      <c r="Q220" s="2" t="s">
        <v>555</v>
      </c>
    </row>
    <row r="221" spans="1:17" x14ac:dyDescent="0.25">
      <c r="A221" s="1">
        <v>46170</v>
      </c>
      <c r="B221" s="1">
        <v>46168</v>
      </c>
      <c r="C221" s="2" t="s">
        <v>556</v>
      </c>
      <c r="D221" s="2" t="s">
        <v>396</v>
      </c>
      <c r="E221" s="2" t="s">
        <v>557</v>
      </c>
      <c r="F221" s="2" t="s">
        <v>35</v>
      </c>
      <c r="G221" s="2" t="s">
        <v>62</v>
      </c>
      <c r="H221" s="2" t="s">
        <v>558</v>
      </c>
      <c r="I221" s="2" t="s">
        <v>559</v>
      </c>
      <c r="J221" s="3">
        <v>2</v>
      </c>
      <c r="K221" s="2" t="s">
        <v>437</v>
      </c>
      <c r="L221" s="3">
        <v>2</v>
      </c>
      <c r="M221" s="11">
        <v>209999.99</v>
      </c>
      <c r="N221" s="3">
        <v>0</v>
      </c>
      <c r="O221" s="2" t="s">
        <v>25</v>
      </c>
      <c r="P221" s="2" t="s">
        <v>26</v>
      </c>
      <c r="Q221" s="2" t="s">
        <v>560</v>
      </c>
    </row>
    <row r="222" spans="1:17" x14ac:dyDescent="0.25">
      <c r="A222" s="1">
        <v>46170</v>
      </c>
      <c r="B222" s="1">
        <v>46168</v>
      </c>
      <c r="C222" s="2" t="s">
        <v>556</v>
      </c>
      <c r="D222" s="2" t="s">
        <v>396</v>
      </c>
      <c r="E222" s="2" t="s">
        <v>557</v>
      </c>
      <c r="F222" s="2" t="s">
        <v>35</v>
      </c>
      <c r="G222" s="2" t="s">
        <v>62</v>
      </c>
      <c r="H222" s="2" t="s">
        <v>561</v>
      </c>
      <c r="I222" s="2" t="s">
        <v>562</v>
      </c>
      <c r="J222" s="3">
        <v>1</v>
      </c>
      <c r="K222" s="2" t="s">
        <v>437</v>
      </c>
      <c r="L222" s="3">
        <v>1</v>
      </c>
      <c r="M222" s="11">
        <v>92500</v>
      </c>
      <c r="N222" s="3">
        <v>0</v>
      </c>
      <c r="O222" s="2" t="s">
        <v>25</v>
      </c>
      <c r="P222" s="2" t="s">
        <v>26</v>
      </c>
      <c r="Q222" s="2" t="s">
        <v>560</v>
      </c>
    </row>
    <row r="223" spans="1:17" x14ac:dyDescent="0.25">
      <c r="A223" s="1">
        <v>46170</v>
      </c>
      <c r="B223" s="1">
        <v>46168</v>
      </c>
      <c r="C223" s="2" t="s">
        <v>563</v>
      </c>
      <c r="D223" s="2" t="s">
        <v>396</v>
      </c>
      <c r="E223" s="2" t="s">
        <v>326</v>
      </c>
      <c r="F223" s="2" t="s">
        <v>35</v>
      </c>
      <c r="G223" s="2" t="s">
        <v>36</v>
      </c>
      <c r="H223" s="2" t="s">
        <v>513</v>
      </c>
      <c r="I223" s="2" t="s">
        <v>514</v>
      </c>
      <c r="J223" s="3">
        <v>1</v>
      </c>
      <c r="K223" s="2" t="s">
        <v>330</v>
      </c>
      <c r="L223" s="3">
        <v>1</v>
      </c>
      <c r="M223" s="11">
        <v>73000</v>
      </c>
      <c r="N223" s="3">
        <v>0</v>
      </c>
      <c r="O223" s="2" t="s">
        <v>25</v>
      </c>
      <c r="P223" s="2" t="s">
        <v>26</v>
      </c>
      <c r="Q223" s="2" t="s">
        <v>34</v>
      </c>
    </row>
    <row r="224" spans="1:17" x14ac:dyDescent="0.25">
      <c r="A224" s="1">
        <v>46170</v>
      </c>
      <c r="B224" s="1">
        <v>46168</v>
      </c>
      <c r="C224" s="2" t="s">
        <v>564</v>
      </c>
      <c r="D224" s="2" t="s">
        <v>396</v>
      </c>
      <c r="E224" s="2" t="s">
        <v>326</v>
      </c>
      <c r="F224" s="2" t="s">
        <v>35</v>
      </c>
      <c r="G224" s="2" t="s">
        <v>36</v>
      </c>
      <c r="H224" s="2" t="s">
        <v>468</v>
      </c>
      <c r="I224" s="2" t="s">
        <v>469</v>
      </c>
      <c r="J224" s="3">
        <v>7</v>
      </c>
      <c r="K224" s="2" t="s">
        <v>33</v>
      </c>
      <c r="L224" s="3">
        <v>5.86</v>
      </c>
      <c r="M224" s="11">
        <v>673900</v>
      </c>
      <c r="N224" s="3">
        <v>-1.1399999999999999</v>
      </c>
      <c r="O224" s="2" t="s">
        <v>25</v>
      </c>
      <c r="P224" s="2" t="s">
        <v>26</v>
      </c>
      <c r="Q224" s="2" t="s">
        <v>34</v>
      </c>
    </row>
    <row r="225" spans="1:17" x14ac:dyDescent="0.25">
      <c r="A225" s="1">
        <v>46170</v>
      </c>
      <c r="B225" s="1">
        <v>46168</v>
      </c>
      <c r="C225" s="2" t="s">
        <v>565</v>
      </c>
      <c r="D225" s="2" t="s">
        <v>396</v>
      </c>
      <c r="E225" s="2" t="s">
        <v>326</v>
      </c>
      <c r="F225" s="2" t="s">
        <v>35</v>
      </c>
      <c r="G225" s="2" t="s">
        <v>36</v>
      </c>
      <c r="H225" s="2" t="s">
        <v>513</v>
      </c>
      <c r="I225" s="2" t="s">
        <v>514</v>
      </c>
      <c r="J225" s="3">
        <v>1</v>
      </c>
      <c r="K225" s="2" t="s">
        <v>330</v>
      </c>
      <c r="L225" s="3">
        <v>1</v>
      </c>
      <c r="M225" s="11">
        <v>73000</v>
      </c>
      <c r="N225" s="3">
        <v>0</v>
      </c>
      <c r="O225" s="2" t="s">
        <v>25</v>
      </c>
      <c r="P225" s="2" t="s">
        <v>26</v>
      </c>
      <c r="Q225" s="2" t="s">
        <v>34</v>
      </c>
    </row>
    <row r="226" spans="1:17" x14ac:dyDescent="0.25">
      <c r="A226" s="1">
        <v>46170</v>
      </c>
      <c r="B226" s="1">
        <v>46168</v>
      </c>
      <c r="C226" s="2" t="s">
        <v>566</v>
      </c>
      <c r="D226" s="2" t="s">
        <v>396</v>
      </c>
      <c r="E226" s="2" t="s">
        <v>326</v>
      </c>
      <c r="F226" s="2" t="s">
        <v>35</v>
      </c>
      <c r="G226" s="2" t="s">
        <v>36</v>
      </c>
      <c r="H226" s="2" t="s">
        <v>513</v>
      </c>
      <c r="I226" s="2" t="s">
        <v>514</v>
      </c>
      <c r="J226" s="3">
        <v>2</v>
      </c>
      <c r="K226" s="2" t="s">
        <v>330</v>
      </c>
      <c r="L226" s="3">
        <v>2</v>
      </c>
      <c r="M226" s="11">
        <v>146000</v>
      </c>
      <c r="N226" s="3">
        <v>0</v>
      </c>
      <c r="O226" s="2" t="s">
        <v>25</v>
      </c>
      <c r="P226" s="2" t="s">
        <v>26</v>
      </c>
      <c r="Q226" s="2" t="s">
        <v>34</v>
      </c>
    </row>
    <row r="227" spans="1:17" x14ac:dyDescent="0.25">
      <c r="A227" s="1">
        <v>46170</v>
      </c>
      <c r="B227" s="1">
        <v>46168</v>
      </c>
      <c r="C227" s="2" t="s">
        <v>567</v>
      </c>
      <c r="D227" s="2" t="s">
        <v>396</v>
      </c>
      <c r="E227" s="2" t="s">
        <v>568</v>
      </c>
      <c r="F227" s="2" t="s">
        <v>20</v>
      </c>
      <c r="G227" s="2" t="s">
        <v>81</v>
      </c>
      <c r="H227" s="2" t="s">
        <v>453</v>
      </c>
      <c r="I227" s="2" t="s">
        <v>454</v>
      </c>
      <c r="J227" s="3">
        <v>2</v>
      </c>
      <c r="K227" s="2" t="s">
        <v>160</v>
      </c>
      <c r="L227" s="3">
        <v>2</v>
      </c>
      <c r="M227" s="11">
        <v>329670</v>
      </c>
      <c r="N227" s="3">
        <v>0</v>
      </c>
      <c r="O227" s="2" t="s">
        <v>25</v>
      </c>
      <c r="P227" s="2" t="s">
        <v>26</v>
      </c>
      <c r="Q227" s="2" t="s">
        <v>569</v>
      </c>
    </row>
    <row r="228" spans="1:17" x14ac:dyDescent="0.25">
      <c r="A228" s="1">
        <v>46170</v>
      </c>
      <c r="B228" s="1">
        <v>46168</v>
      </c>
      <c r="C228" s="2" t="s">
        <v>567</v>
      </c>
      <c r="D228" s="2" t="s">
        <v>396</v>
      </c>
      <c r="E228" s="2" t="s">
        <v>568</v>
      </c>
      <c r="F228" s="2" t="s">
        <v>20</v>
      </c>
      <c r="G228" s="2" t="s">
        <v>81</v>
      </c>
      <c r="H228" s="2" t="s">
        <v>456</v>
      </c>
      <c r="I228" s="2" t="s">
        <v>457</v>
      </c>
      <c r="J228" s="3">
        <v>2</v>
      </c>
      <c r="K228" s="2" t="s">
        <v>160</v>
      </c>
      <c r="L228" s="3">
        <v>2</v>
      </c>
      <c r="M228" s="11">
        <v>313020</v>
      </c>
      <c r="N228" s="3">
        <v>0</v>
      </c>
      <c r="O228" s="2" t="s">
        <v>25</v>
      </c>
      <c r="P228" s="2" t="s">
        <v>26</v>
      </c>
      <c r="Q228" s="2" t="s">
        <v>569</v>
      </c>
    </row>
    <row r="229" spans="1:17" x14ac:dyDescent="0.25">
      <c r="A229" s="1">
        <v>46170</v>
      </c>
      <c r="B229" s="1">
        <v>46168</v>
      </c>
      <c r="C229" s="2" t="s">
        <v>567</v>
      </c>
      <c r="D229" s="2" t="s">
        <v>396</v>
      </c>
      <c r="E229" s="2" t="s">
        <v>568</v>
      </c>
      <c r="F229" s="2" t="s">
        <v>20</v>
      </c>
      <c r="G229" s="2" t="s">
        <v>81</v>
      </c>
      <c r="H229" s="2" t="s">
        <v>570</v>
      </c>
      <c r="I229" s="2" t="s">
        <v>571</v>
      </c>
      <c r="J229" s="3">
        <v>2</v>
      </c>
      <c r="K229" s="2" t="s">
        <v>87</v>
      </c>
      <c r="L229" s="3">
        <v>2</v>
      </c>
      <c r="M229" s="11">
        <v>412000</v>
      </c>
      <c r="N229" s="3">
        <v>0</v>
      </c>
      <c r="O229" s="2" t="s">
        <v>25</v>
      </c>
      <c r="P229" s="2" t="s">
        <v>26</v>
      </c>
      <c r="Q229" s="2" t="s">
        <v>569</v>
      </c>
    </row>
    <row r="230" spans="1:17" x14ac:dyDescent="0.25">
      <c r="A230" s="1">
        <v>46170</v>
      </c>
      <c r="B230" s="1">
        <v>46168</v>
      </c>
      <c r="C230" s="2" t="s">
        <v>572</v>
      </c>
      <c r="D230" s="2" t="s">
        <v>396</v>
      </c>
      <c r="E230" s="2" t="s">
        <v>326</v>
      </c>
      <c r="F230" s="2" t="s">
        <v>35</v>
      </c>
      <c r="G230" s="2" t="s">
        <v>36</v>
      </c>
      <c r="H230" s="2" t="s">
        <v>573</v>
      </c>
      <c r="I230" s="2" t="s">
        <v>574</v>
      </c>
      <c r="J230" s="3">
        <v>4.5</v>
      </c>
      <c r="K230" s="2" t="s">
        <v>33</v>
      </c>
      <c r="L230" s="3">
        <v>4.5</v>
      </c>
      <c r="M230" s="11">
        <v>508499.99</v>
      </c>
      <c r="N230" s="3">
        <v>0</v>
      </c>
      <c r="O230" s="2" t="s">
        <v>25</v>
      </c>
      <c r="P230" s="2" t="s">
        <v>26</v>
      </c>
      <c r="Q230" s="2" t="s">
        <v>34</v>
      </c>
    </row>
    <row r="231" spans="1:17" x14ac:dyDescent="0.25">
      <c r="A231" s="1">
        <v>46170</v>
      </c>
      <c r="B231" s="1">
        <v>46168</v>
      </c>
      <c r="C231" s="2" t="s">
        <v>572</v>
      </c>
      <c r="D231" s="2" t="s">
        <v>396</v>
      </c>
      <c r="E231" s="2" t="s">
        <v>326</v>
      </c>
      <c r="F231" s="2" t="s">
        <v>35</v>
      </c>
      <c r="G231" s="2" t="s">
        <v>36</v>
      </c>
      <c r="H231" s="2" t="s">
        <v>480</v>
      </c>
      <c r="I231" s="2" t="s">
        <v>481</v>
      </c>
      <c r="J231" s="3">
        <v>1</v>
      </c>
      <c r="K231" s="2" t="s">
        <v>87</v>
      </c>
      <c r="L231" s="3">
        <v>1</v>
      </c>
      <c r="M231" s="11">
        <v>435000</v>
      </c>
      <c r="N231" s="3">
        <v>0</v>
      </c>
      <c r="O231" s="2" t="s">
        <v>25</v>
      </c>
      <c r="P231" s="2" t="s">
        <v>26</v>
      </c>
      <c r="Q231" s="2" t="s">
        <v>34</v>
      </c>
    </row>
    <row r="232" spans="1:17" x14ac:dyDescent="0.25">
      <c r="A232" s="1">
        <v>46170</v>
      </c>
      <c r="B232" s="1">
        <v>46168</v>
      </c>
      <c r="C232" s="2" t="s">
        <v>575</v>
      </c>
      <c r="D232" s="2" t="s">
        <v>396</v>
      </c>
      <c r="E232" s="2" t="s">
        <v>326</v>
      </c>
      <c r="F232" s="2" t="s">
        <v>35</v>
      </c>
      <c r="G232" s="2" t="s">
        <v>36</v>
      </c>
      <c r="H232" s="2" t="s">
        <v>513</v>
      </c>
      <c r="I232" s="2" t="s">
        <v>514</v>
      </c>
      <c r="J232" s="3">
        <v>1</v>
      </c>
      <c r="K232" s="2" t="s">
        <v>330</v>
      </c>
      <c r="L232" s="3">
        <v>1</v>
      </c>
      <c r="M232" s="11">
        <v>73000</v>
      </c>
      <c r="N232" s="3">
        <v>0</v>
      </c>
      <c r="O232" s="2" t="s">
        <v>25</v>
      </c>
      <c r="P232" s="2" t="s">
        <v>26</v>
      </c>
      <c r="Q232" s="2" t="s">
        <v>34</v>
      </c>
    </row>
    <row r="233" spans="1:17" x14ac:dyDescent="0.25">
      <c r="A233" s="1">
        <v>46170</v>
      </c>
      <c r="B233" s="1">
        <v>46168</v>
      </c>
      <c r="C233" s="2" t="s">
        <v>576</v>
      </c>
      <c r="D233" s="2" t="s">
        <v>396</v>
      </c>
      <c r="E233" s="2" t="s">
        <v>326</v>
      </c>
      <c r="F233" s="2" t="s">
        <v>35</v>
      </c>
      <c r="G233" s="2" t="s">
        <v>36</v>
      </c>
      <c r="H233" s="2" t="s">
        <v>513</v>
      </c>
      <c r="I233" s="2" t="s">
        <v>514</v>
      </c>
      <c r="J233" s="3">
        <v>2</v>
      </c>
      <c r="K233" s="2" t="s">
        <v>330</v>
      </c>
      <c r="L233" s="3">
        <v>2</v>
      </c>
      <c r="M233" s="11">
        <v>146000</v>
      </c>
      <c r="N233" s="3">
        <v>0</v>
      </c>
      <c r="O233" s="2" t="s">
        <v>25</v>
      </c>
      <c r="P233" s="2" t="s">
        <v>26</v>
      </c>
      <c r="Q233" s="2" t="s">
        <v>34</v>
      </c>
    </row>
    <row r="234" spans="1:17" x14ac:dyDescent="0.25">
      <c r="A234" s="1">
        <v>46170</v>
      </c>
      <c r="B234" s="1">
        <v>46168</v>
      </c>
      <c r="C234" s="2" t="s">
        <v>577</v>
      </c>
      <c r="D234" s="2" t="s">
        <v>396</v>
      </c>
      <c r="E234" s="2" t="s">
        <v>326</v>
      </c>
      <c r="F234" s="2" t="s">
        <v>35</v>
      </c>
      <c r="G234" s="2" t="s">
        <v>36</v>
      </c>
      <c r="H234" s="2" t="s">
        <v>573</v>
      </c>
      <c r="I234" s="2" t="s">
        <v>574</v>
      </c>
      <c r="J234" s="3">
        <v>4.5</v>
      </c>
      <c r="K234" s="2" t="s">
        <v>33</v>
      </c>
      <c r="L234" s="3">
        <v>4.5</v>
      </c>
      <c r="M234" s="11">
        <v>508499.99</v>
      </c>
      <c r="N234" s="3">
        <v>0</v>
      </c>
      <c r="O234" s="2" t="s">
        <v>25</v>
      </c>
      <c r="P234" s="2" t="s">
        <v>26</v>
      </c>
      <c r="Q234" s="2" t="s">
        <v>34</v>
      </c>
    </row>
    <row r="235" spans="1:17" x14ac:dyDescent="0.25">
      <c r="A235" s="1">
        <v>46170</v>
      </c>
      <c r="B235" s="1">
        <v>46168</v>
      </c>
      <c r="C235" s="2" t="s">
        <v>578</v>
      </c>
      <c r="D235" s="2" t="s">
        <v>396</v>
      </c>
      <c r="E235" s="2" t="s">
        <v>579</v>
      </c>
      <c r="F235" s="2" t="s">
        <v>35</v>
      </c>
      <c r="G235" s="2" t="s">
        <v>161</v>
      </c>
      <c r="H235" s="2" t="s">
        <v>580</v>
      </c>
      <c r="I235" s="2" t="s">
        <v>581</v>
      </c>
      <c r="J235" s="3">
        <v>3</v>
      </c>
      <c r="K235" s="2" t="s">
        <v>437</v>
      </c>
      <c r="L235" s="3">
        <v>3</v>
      </c>
      <c r="M235" s="11">
        <v>240000</v>
      </c>
      <c r="N235" s="3">
        <v>0</v>
      </c>
      <c r="O235" s="2" t="s">
        <v>25</v>
      </c>
      <c r="P235" s="2" t="s">
        <v>26</v>
      </c>
      <c r="Q235" s="2" t="s">
        <v>34</v>
      </c>
    </row>
    <row r="236" spans="1:17" x14ac:dyDescent="0.25">
      <c r="A236" s="1">
        <v>46170</v>
      </c>
      <c r="B236" s="1">
        <v>46168</v>
      </c>
      <c r="C236" s="2" t="s">
        <v>578</v>
      </c>
      <c r="D236" s="2" t="s">
        <v>396</v>
      </c>
      <c r="E236" s="2" t="s">
        <v>579</v>
      </c>
      <c r="F236" s="2" t="s">
        <v>35</v>
      </c>
      <c r="G236" s="2" t="s">
        <v>161</v>
      </c>
      <c r="H236" s="2" t="s">
        <v>582</v>
      </c>
      <c r="I236" s="2" t="s">
        <v>583</v>
      </c>
      <c r="J236" s="3">
        <v>3</v>
      </c>
      <c r="K236" s="2" t="s">
        <v>437</v>
      </c>
      <c r="L236" s="3">
        <v>3</v>
      </c>
      <c r="M236" s="11">
        <v>210000</v>
      </c>
      <c r="N236" s="3">
        <v>0</v>
      </c>
      <c r="O236" s="2" t="s">
        <v>25</v>
      </c>
      <c r="P236" s="2" t="s">
        <v>26</v>
      </c>
      <c r="Q236" s="2" t="s">
        <v>34</v>
      </c>
    </row>
    <row r="237" spans="1:17" x14ac:dyDescent="0.25">
      <c r="A237" s="1">
        <v>46170</v>
      </c>
      <c r="B237" s="1">
        <v>46168</v>
      </c>
      <c r="C237" s="2" t="s">
        <v>578</v>
      </c>
      <c r="D237" s="2" t="s">
        <v>396</v>
      </c>
      <c r="E237" s="2" t="s">
        <v>579</v>
      </c>
      <c r="F237" s="2" t="s">
        <v>35</v>
      </c>
      <c r="G237" s="2" t="s">
        <v>161</v>
      </c>
      <c r="H237" s="2" t="s">
        <v>558</v>
      </c>
      <c r="I237" s="2" t="s">
        <v>559</v>
      </c>
      <c r="J237" s="3">
        <v>3</v>
      </c>
      <c r="K237" s="2" t="s">
        <v>437</v>
      </c>
      <c r="L237" s="3">
        <v>3</v>
      </c>
      <c r="M237" s="11">
        <v>210000</v>
      </c>
      <c r="N237" s="3">
        <v>0</v>
      </c>
      <c r="O237" s="2" t="s">
        <v>25</v>
      </c>
      <c r="P237" s="2" t="s">
        <v>26</v>
      </c>
      <c r="Q237" s="2" t="s">
        <v>34</v>
      </c>
    </row>
    <row r="238" spans="1:17" x14ac:dyDescent="0.25">
      <c r="A238" s="1">
        <v>46170</v>
      </c>
      <c r="B238" s="1">
        <v>46168</v>
      </c>
      <c r="C238" s="2" t="s">
        <v>578</v>
      </c>
      <c r="D238" s="2" t="s">
        <v>396</v>
      </c>
      <c r="E238" s="2" t="s">
        <v>579</v>
      </c>
      <c r="F238" s="2" t="s">
        <v>35</v>
      </c>
      <c r="G238" s="2" t="s">
        <v>161</v>
      </c>
      <c r="H238" s="2" t="s">
        <v>561</v>
      </c>
      <c r="I238" s="2" t="s">
        <v>562</v>
      </c>
      <c r="J238" s="3">
        <v>3</v>
      </c>
      <c r="K238" s="2" t="s">
        <v>437</v>
      </c>
      <c r="L238" s="3">
        <v>3</v>
      </c>
      <c r="M238" s="11">
        <v>210000</v>
      </c>
      <c r="N238" s="3">
        <v>0</v>
      </c>
      <c r="O238" s="2" t="s">
        <v>25</v>
      </c>
      <c r="P238" s="2" t="s">
        <v>26</v>
      </c>
      <c r="Q238" s="2" t="s">
        <v>34</v>
      </c>
    </row>
    <row r="239" spans="1:17" x14ac:dyDescent="0.25">
      <c r="A239" s="1">
        <v>46170</v>
      </c>
      <c r="B239" s="1">
        <v>46168</v>
      </c>
      <c r="C239" s="2" t="s">
        <v>578</v>
      </c>
      <c r="D239" s="2" t="s">
        <v>396</v>
      </c>
      <c r="E239" s="2" t="s">
        <v>579</v>
      </c>
      <c r="F239" s="2" t="s">
        <v>35</v>
      </c>
      <c r="G239" s="2" t="s">
        <v>161</v>
      </c>
      <c r="H239" s="2" t="s">
        <v>584</v>
      </c>
      <c r="I239" s="2" t="s">
        <v>585</v>
      </c>
      <c r="J239" s="3">
        <v>1</v>
      </c>
      <c r="K239" s="2" t="s">
        <v>87</v>
      </c>
      <c r="L239" s="3">
        <v>1</v>
      </c>
      <c r="M239" s="11">
        <v>89665.01</v>
      </c>
      <c r="N239" s="3">
        <v>0</v>
      </c>
      <c r="O239" s="2" t="s">
        <v>25</v>
      </c>
      <c r="P239" s="2" t="s">
        <v>26</v>
      </c>
      <c r="Q239" s="2" t="s">
        <v>34</v>
      </c>
    </row>
    <row r="240" spans="1:17" x14ac:dyDescent="0.25">
      <c r="A240" s="1">
        <v>46170</v>
      </c>
      <c r="B240" s="1">
        <v>46168</v>
      </c>
      <c r="C240" s="2" t="s">
        <v>586</v>
      </c>
      <c r="D240" s="2" t="s">
        <v>396</v>
      </c>
      <c r="E240" s="2" t="s">
        <v>326</v>
      </c>
      <c r="F240" s="2" t="s">
        <v>35</v>
      </c>
      <c r="G240" s="2" t="s">
        <v>36</v>
      </c>
      <c r="H240" s="2" t="s">
        <v>468</v>
      </c>
      <c r="I240" s="2" t="s">
        <v>469</v>
      </c>
      <c r="J240" s="3">
        <v>13</v>
      </c>
      <c r="K240" s="2" t="s">
        <v>33</v>
      </c>
      <c r="L240" s="3">
        <v>11.09</v>
      </c>
      <c r="M240" s="11">
        <v>1275350</v>
      </c>
      <c r="N240" s="3">
        <v>-1.91</v>
      </c>
      <c r="O240" s="2" t="s">
        <v>25</v>
      </c>
      <c r="P240" s="2" t="s">
        <v>26</v>
      </c>
      <c r="Q240" s="2" t="s">
        <v>34</v>
      </c>
    </row>
    <row r="241" spans="1:17" x14ac:dyDescent="0.25">
      <c r="A241" s="1">
        <v>46170</v>
      </c>
      <c r="B241" s="1">
        <v>46168</v>
      </c>
      <c r="C241" s="2" t="s">
        <v>587</v>
      </c>
      <c r="D241" s="2" t="s">
        <v>396</v>
      </c>
      <c r="E241" s="2" t="s">
        <v>239</v>
      </c>
      <c r="F241" s="2" t="s">
        <v>35</v>
      </c>
      <c r="G241" s="2" t="s">
        <v>62</v>
      </c>
      <c r="H241" s="2" t="s">
        <v>588</v>
      </c>
      <c r="I241" s="2" t="s">
        <v>589</v>
      </c>
      <c r="J241" s="3">
        <v>4</v>
      </c>
      <c r="K241" s="2" t="s">
        <v>136</v>
      </c>
      <c r="L241" s="3">
        <v>4</v>
      </c>
      <c r="M241" s="11">
        <v>359496</v>
      </c>
      <c r="N241" s="3">
        <v>0</v>
      </c>
      <c r="O241" s="2" t="s">
        <v>25</v>
      </c>
      <c r="P241" s="2" t="s">
        <v>26</v>
      </c>
      <c r="Q241" s="2" t="s">
        <v>34</v>
      </c>
    </row>
    <row r="242" spans="1:17" x14ac:dyDescent="0.25">
      <c r="A242" s="1">
        <v>46170</v>
      </c>
      <c r="B242" s="1">
        <v>46168</v>
      </c>
      <c r="C242" s="2" t="s">
        <v>587</v>
      </c>
      <c r="D242" s="2" t="s">
        <v>396</v>
      </c>
      <c r="E242" s="2" t="s">
        <v>239</v>
      </c>
      <c r="F242" s="2" t="s">
        <v>35</v>
      </c>
      <c r="G242" s="2" t="s">
        <v>62</v>
      </c>
      <c r="H242" s="2" t="s">
        <v>590</v>
      </c>
      <c r="I242" s="2" t="s">
        <v>591</v>
      </c>
      <c r="J242" s="3">
        <v>12</v>
      </c>
      <c r="K242" s="2" t="s">
        <v>136</v>
      </c>
      <c r="L242" s="3">
        <v>12</v>
      </c>
      <c r="M242" s="11">
        <v>1078487.99</v>
      </c>
      <c r="N242" s="3">
        <v>0</v>
      </c>
      <c r="O242" s="2" t="s">
        <v>25</v>
      </c>
      <c r="P242" s="2" t="s">
        <v>26</v>
      </c>
      <c r="Q242" s="2" t="s">
        <v>34</v>
      </c>
    </row>
    <row r="243" spans="1:17" x14ac:dyDescent="0.25">
      <c r="A243" s="1">
        <v>46170</v>
      </c>
      <c r="B243" s="1">
        <v>46168</v>
      </c>
      <c r="C243" s="2" t="s">
        <v>592</v>
      </c>
      <c r="D243" s="2" t="s">
        <v>396</v>
      </c>
      <c r="E243" s="2" t="s">
        <v>19</v>
      </c>
      <c r="F243" s="2" t="s">
        <v>20</v>
      </c>
      <c r="G243" s="2" t="s">
        <v>21</v>
      </c>
      <c r="H243" s="2" t="s">
        <v>570</v>
      </c>
      <c r="I243" s="2" t="s">
        <v>571</v>
      </c>
      <c r="J243" s="3">
        <v>1</v>
      </c>
      <c r="K243" s="2" t="s">
        <v>87</v>
      </c>
      <c r="L243" s="3">
        <v>1</v>
      </c>
      <c r="M243" s="11">
        <v>206000</v>
      </c>
      <c r="N243" s="3">
        <v>0</v>
      </c>
      <c r="O243" s="2" t="s">
        <v>25</v>
      </c>
      <c r="P243" s="2" t="s">
        <v>26</v>
      </c>
      <c r="Q243" s="2" t="s">
        <v>34</v>
      </c>
    </row>
    <row r="244" spans="1:17" x14ac:dyDescent="0.25">
      <c r="A244" s="1">
        <v>46170</v>
      </c>
      <c r="B244" s="1">
        <v>46168</v>
      </c>
      <c r="C244" s="2" t="s">
        <v>593</v>
      </c>
      <c r="D244" s="2" t="s">
        <v>396</v>
      </c>
      <c r="E244" s="2" t="s">
        <v>594</v>
      </c>
      <c r="F244" s="2" t="s">
        <v>35</v>
      </c>
      <c r="G244" s="2" t="s">
        <v>81</v>
      </c>
      <c r="H244" s="2" t="s">
        <v>410</v>
      </c>
      <c r="I244" s="2" t="s">
        <v>411</v>
      </c>
      <c r="J244" s="3">
        <v>2</v>
      </c>
      <c r="K244" s="2" t="s">
        <v>217</v>
      </c>
      <c r="L244" s="3">
        <v>2</v>
      </c>
      <c r="M244" s="11">
        <v>640000</v>
      </c>
      <c r="N244" s="3">
        <v>0</v>
      </c>
      <c r="O244" s="2" t="s">
        <v>25</v>
      </c>
      <c r="P244" s="2" t="s">
        <v>26</v>
      </c>
      <c r="Q244" s="2" t="s">
        <v>34</v>
      </c>
    </row>
    <row r="245" spans="1:17" x14ac:dyDescent="0.25">
      <c r="A245" s="1">
        <v>46170</v>
      </c>
      <c r="B245" s="1">
        <v>46168</v>
      </c>
      <c r="C245" s="2" t="s">
        <v>595</v>
      </c>
      <c r="D245" s="2" t="s">
        <v>396</v>
      </c>
      <c r="E245" s="2" t="s">
        <v>243</v>
      </c>
      <c r="F245" s="2" t="s">
        <v>35</v>
      </c>
      <c r="G245" s="2" t="s">
        <v>76</v>
      </c>
      <c r="H245" s="2" t="s">
        <v>513</v>
      </c>
      <c r="I245" s="2" t="s">
        <v>514</v>
      </c>
      <c r="J245" s="3">
        <v>12</v>
      </c>
      <c r="K245" s="2" t="s">
        <v>330</v>
      </c>
      <c r="L245" s="3">
        <v>12</v>
      </c>
      <c r="M245" s="11">
        <v>971999.98</v>
      </c>
      <c r="N245" s="3">
        <v>0</v>
      </c>
      <c r="O245" s="2" t="s">
        <v>25</v>
      </c>
      <c r="P245" s="2" t="s">
        <v>26</v>
      </c>
      <c r="Q245" s="2" t="s">
        <v>596</v>
      </c>
    </row>
    <row r="246" spans="1:17" x14ac:dyDescent="0.25">
      <c r="A246" s="1">
        <v>46170</v>
      </c>
      <c r="B246" s="1">
        <v>46168</v>
      </c>
      <c r="C246" s="2" t="s">
        <v>597</v>
      </c>
      <c r="D246" s="2" t="s">
        <v>396</v>
      </c>
      <c r="E246" s="2" t="s">
        <v>598</v>
      </c>
      <c r="F246" s="2" t="s">
        <v>20</v>
      </c>
      <c r="G246" s="2" t="s">
        <v>58</v>
      </c>
      <c r="H246" s="2" t="s">
        <v>599</v>
      </c>
      <c r="I246" s="2" t="s">
        <v>600</v>
      </c>
      <c r="J246" s="3">
        <v>2.5</v>
      </c>
      <c r="K246" s="2" t="s">
        <v>33</v>
      </c>
      <c r="L246" s="3">
        <v>4.9000000000000004</v>
      </c>
      <c r="M246" s="11">
        <v>588000</v>
      </c>
      <c r="N246" s="3">
        <v>2.4</v>
      </c>
      <c r="O246" s="2" t="s">
        <v>25</v>
      </c>
      <c r="P246" s="2" t="s">
        <v>26</v>
      </c>
      <c r="Q246" s="2" t="s">
        <v>601</v>
      </c>
    </row>
    <row r="247" spans="1:17" x14ac:dyDescent="0.25">
      <c r="A247" s="1">
        <v>46170</v>
      </c>
      <c r="B247" s="1">
        <v>46168</v>
      </c>
      <c r="C247" s="2" t="s">
        <v>602</v>
      </c>
      <c r="D247" s="2" t="s">
        <v>396</v>
      </c>
      <c r="E247" s="2" t="s">
        <v>603</v>
      </c>
      <c r="F247" s="2" t="s">
        <v>35</v>
      </c>
      <c r="G247" s="2" t="s">
        <v>92</v>
      </c>
      <c r="H247" s="2" t="s">
        <v>495</v>
      </c>
      <c r="I247" s="2" t="s">
        <v>496</v>
      </c>
      <c r="J247" s="3">
        <v>2</v>
      </c>
      <c r="K247" s="2" t="s">
        <v>160</v>
      </c>
      <c r="L247" s="3">
        <v>2</v>
      </c>
      <c r="M247" s="11">
        <v>410700</v>
      </c>
      <c r="N247" s="3">
        <v>0</v>
      </c>
      <c r="O247" s="2" t="s">
        <v>25</v>
      </c>
      <c r="P247" s="2" t="s">
        <v>26</v>
      </c>
      <c r="Q247" s="2" t="s">
        <v>34</v>
      </c>
    </row>
    <row r="248" spans="1:17" x14ac:dyDescent="0.25">
      <c r="A248" s="1">
        <v>46170</v>
      </c>
      <c r="B248" s="1">
        <v>46168</v>
      </c>
      <c r="C248" s="2" t="s">
        <v>602</v>
      </c>
      <c r="D248" s="2" t="s">
        <v>396</v>
      </c>
      <c r="E248" s="2" t="s">
        <v>603</v>
      </c>
      <c r="F248" s="2" t="s">
        <v>35</v>
      </c>
      <c r="G248" s="2" t="s">
        <v>92</v>
      </c>
      <c r="H248" s="2" t="s">
        <v>503</v>
      </c>
      <c r="I248" s="2" t="s">
        <v>504</v>
      </c>
      <c r="J248" s="3">
        <v>2</v>
      </c>
      <c r="K248" s="2" t="s">
        <v>87</v>
      </c>
      <c r="L248" s="3">
        <v>2</v>
      </c>
      <c r="M248" s="11">
        <v>532800</v>
      </c>
      <c r="N248" s="3">
        <v>0</v>
      </c>
      <c r="O248" s="2" t="s">
        <v>25</v>
      </c>
      <c r="P248" s="2" t="s">
        <v>26</v>
      </c>
      <c r="Q248" s="2" t="s">
        <v>34</v>
      </c>
    </row>
    <row r="249" spans="1:17" x14ac:dyDescent="0.25">
      <c r="A249" s="1">
        <v>46170</v>
      </c>
      <c r="B249" s="1">
        <v>46168</v>
      </c>
      <c r="C249" s="2" t="s">
        <v>604</v>
      </c>
      <c r="D249" s="2" t="s">
        <v>396</v>
      </c>
      <c r="E249" s="2" t="s">
        <v>605</v>
      </c>
      <c r="F249" s="2" t="s">
        <v>35</v>
      </c>
      <c r="G249" s="2" t="s">
        <v>92</v>
      </c>
      <c r="H249" s="2" t="s">
        <v>404</v>
      </c>
      <c r="I249" s="2" t="s">
        <v>405</v>
      </c>
      <c r="J249" s="3">
        <v>1</v>
      </c>
      <c r="K249" s="2" t="s">
        <v>217</v>
      </c>
      <c r="L249" s="3">
        <v>1</v>
      </c>
      <c r="M249" s="11">
        <v>480000</v>
      </c>
      <c r="N249" s="3">
        <v>0</v>
      </c>
      <c r="O249" s="2" t="s">
        <v>25</v>
      </c>
      <c r="P249" s="2" t="s">
        <v>26</v>
      </c>
      <c r="Q249" s="2" t="s">
        <v>34</v>
      </c>
    </row>
    <row r="250" spans="1:17" x14ac:dyDescent="0.25">
      <c r="A250" s="1">
        <v>46170</v>
      </c>
      <c r="B250" s="1">
        <v>46168</v>
      </c>
      <c r="C250" s="2" t="s">
        <v>604</v>
      </c>
      <c r="D250" s="2" t="s">
        <v>396</v>
      </c>
      <c r="E250" s="2" t="s">
        <v>605</v>
      </c>
      <c r="F250" s="2" t="s">
        <v>35</v>
      </c>
      <c r="G250" s="2" t="s">
        <v>92</v>
      </c>
      <c r="H250" s="2" t="s">
        <v>519</v>
      </c>
      <c r="I250" s="2" t="s">
        <v>520</v>
      </c>
      <c r="J250" s="3">
        <v>2</v>
      </c>
      <c r="K250" s="2" t="s">
        <v>87</v>
      </c>
      <c r="L250" s="3">
        <v>2</v>
      </c>
      <c r="M250" s="11">
        <v>240000</v>
      </c>
      <c r="N250" s="3">
        <v>0</v>
      </c>
      <c r="O250" s="2" t="s">
        <v>25</v>
      </c>
      <c r="P250" s="2" t="s">
        <v>26</v>
      </c>
      <c r="Q250" s="2" t="s">
        <v>34</v>
      </c>
    </row>
    <row r="251" spans="1:17" x14ac:dyDescent="0.25">
      <c r="A251" s="1">
        <v>46170</v>
      </c>
      <c r="B251" s="1">
        <v>46168</v>
      </c>
      <c r="C251" s="2" t="s">
        <v>606</v>
      </c>
      <c r="D251" s="2" t="s">
        <v>396</v>
      </c>
      <c r="E251" s="2" t="s">
        <v>364</v>
      </c>
      <c r="F251" s="2" t="s">
        <v>35</v>
      </c>
      <c r="G251" s="2" t="s">
        <v>92</v>
      </c>
      <c r="H251" s="2" t="s">
        <v>573</v>
      </c>
      <c r="I251" s="2" t="s">
        <v>574</v>
      </c>
      <c r="J251" s="3">
        <v>3</v>
      </c>
      <c r="K251" s="2" t="s">
        <v>33</v>
      </c>
      <c r="L251" s="3">
        <v>3</v>
      </c>
      <c r="M251" s="11">
        <v>330000</v>
      </c>
      <c r="N251" s="3">
        <v>0</v>
      </c>
      <c r="O251" s="2" t="s">
        <v>25</v>
      </c>
      <c r="P251" s="2" t="s">
        <v>26</v>
      </c>
      <c r="Q251" s="2" t="s">
        <v>34</v>
      </c>
    </row>
    <row r="252" spans="1:17" x14ac:dyDescent="0.25">
      <c r="A252" s="1">
        <v>46170</v>
      </c>
      <c r="B252" s="1">
        <v>46168</v>
      </c>
      <c r="C252" s="2" t="s">
        <v>607</v>
      </c>
      <c r="D252" s="2" t="s">
        <v>396</v>
      </c>
      <c r="E252" s="2" t="s">
        <v>364</v>
      </c>
      <c r="F252" s="2" t="s">
        <v>35</v>
      </c>
      <c r="G252" s="2" t="s">
        <v>92</v>
      </c>
      <c r="H252" s="2" t="s">
        <v>573</v>
      </c>
      <c r="I252" s="2" t="s">
        <v>574</v>
      </c>
      <c r="J252" s="3">
        <v>12</v>
      </c>
      <c r="K252" s="2" t="s">
        <v>33</v>
      </c>
      <c r="L252" s="3">
        <v>12</v>
      </c>
      <c r="M252" s="11">
        <v>1320000.01</v>
      </c>
      <c r="N252" s="3">
        <v>0</v>
      </c>
      <c r="O252" s="2" t="s">
        <v>25</v>
      </c>
      <c r="P252" s="2" t="s">
        <v>26</v>
      </c>
      <c r="Q252" s="2" t="s">
        <v>34</v>
      </c>
    </row>
    <row r="253" spans="1:17" x14ac:dyDescent="0.25">
      <c r="A253" s="1">
        <v>46170</v>
      </c>
      <c r="B253" s="1">
        <v>46168</v>
      </c>
      <c r="C253" s="2" t="s">
        <v>608</v>
      </c>
      <c r="D253" s="2" t="s">
        <v>396</v>
      </c>
      <c r="E253" s="2" t="s">
        <v>609</v>
      </c>
      <c r="F253" s="2" t="s">
        <v>35</v>
      </c>
      <c r="G253" s="2" t="s">
        <v>36</v>
      </c>
      <c r="H253" s="2" t="s">
        <v>610</v>
      </c>
      <c r="I253" s="2" t="s">
        <v>611</v>
      </c>
      <c r="J253" s="3">
        <v>6</v>
      </c>
      <c r="K253" s="2" t="s">
        <v>87</v>
      </c>
      <c r="L253" s="3">
        <v>6</v>
      </c>
      <c r="M253" s="11">
        <v>629999.99</v>
      </c>
      <c r="N253" s="3">
        <v>0</v>
      </c>
      <c r="O253" s="2" t="s">
        <v>25</v>
      </c>
      <c r="P253" s="2" t="s">
        <v>26</v>
      </c>
      <c r="Q253" s="2" t="s">
        <v>34</v>
      </c>
    </row>
    <row r="254" spans="1:17" x14ac:dyDescent="0.25">
      <c r="A254" s="1">
        <v>46170</v>
      </c>
      <c r="B254" s="1">
        <v>46168</v>
      </c>
      <c r="C254" s="2" t="s">
        <v>612</v>
      </c>
      <c r="D254" s="2" t="s">
        <v>396</v>
      </c>
      <c r="E254" s="2" t="s">
        <v>609</v>
      </c>
      <c r="F254" s="2" t="s">
        <v>35</v>
      </c>
      <c r="G254" s="2" t="s">
        <v>36</v>
      </c>
      <c r="H254" s="2" t="s">
        <v>610</v>
      </c>
      <c r="I254" s="2" t="s">
        <v>611</v>
      </c>
      <c r="J254" s="3">
        <v>1</v>
      </c>
      <c r="K254" s="2" t="s">
        <v>87</v>
      </c>
      <c r="L254" s="3">
        <v>1</v>
      </c>
      <c r="M254" s="11">
        <v>104999.99</v>
      </c>
      <c r="N254" s="3">
        <v>0</v>
      </c>
      <c r="O254" s="2" t="s">
        <v>25</v>
      </c>
      <c r="P254" s="2" t="s">
        <v>26</v>
      </c>
      <c r="Q254" s="2" t="s">
        <v>34</v>
      </c>
    </row>
    <row r="255" spans="1:17" x14ac:dyDescent="0.25">
      <c r="A255" s="1">
        <v>46170</v>
      </c>
      <c r="B255" s="1">
        <v>46168</v>
      </c>
      <c r="C255" s="2" t="s">
        <v>613</v>
      </c>
      <c r="D255" s="2" t="s">
        <v>396</v>
      </c>
      <c r="E255" s="2" t="s">
        <v>609</v>
      </c>
      <c r="F255" s="2" t="s">
        <v>35</v>
      </c>
      <c r="G255" s="2" t="s">
        <v>36</v>
      </c>
      <c r="H255" s="2" t="s">
        <v>614</v>
      </c>
      <c r="I255" s="2" t="s">
        <v>615</v>
      </c>
      <c r="J255" s="3">
        <v>25</v>
      </c>
      <c r="K255" s="2" t="s">
        <v>33</v>
      </c>
      <c r="L255" s="3">
        <v>25</v>
      </c>
      <c r="M255" s="11">
        <v>2500000</v>
      </c>
      <c r="N255" s="3">
        <v>0</v>
      </c>
      <c r="O255" s="2" t="s">
        <v>25</v>
      </c>
      <c r="P255" s="2" t="s">
        <v>26</v>
      </c>
      <c r="Q255" s="2" t="s">
        <v>34</v>
      </c>
    </row>
    <row r="256" spans="1:17" x14ac:dyDescent="0.25">
      <c r="A256" s="1">
        <v>46170</v>
      </c>
      <c r="B256" s="1">
        <v>46168</v>
      </c>
      <c r="C256" s="2" t="s">
        <v>616</v>
      </c>
      <c r="D256" s="2" t="s">
        <v>396</v>
      </c>
      <c r="E256" s="2" t="s">
        <v>181</v>
      </c>
      <c r="F256" s="2" t="s">
        <v>35</v>
      </c>
      <c r="G256" s="2" t="s">
        <v>84</v>
      </c>
      <c r="H256" s="2" t="s">
        <v>423</v>
      </c>
      <c r="I256" s="2" t="s">
        <v>424</v>
      </c>
      <c r="J256" s="3">
        <v>12</v>
      </c>
      <c r="K256" s="2" t="s">
        <v>388</v>
      </c>
      <c r="L256" s="3">
        <v>12</v>
      </c>
      <c r="M256" s="11">
        <v>744000</v>
      </c>
      <c r="N256" s="3">
        <v>0</v>
      </c>
      <c r="O256" s="2" t="s">
        <v>25</v>
      </c>
      <c r="P256" s="2" t="s">
        <v>26</v>
      </c>
      <c r="Q256" s="2" t="s">
        <v>34</v>
      </c>
    </row>
    <row r="257" spans="1:17" x14ac:dyDescent="0.25">
      <c r="A257" s="1">
        <v>46170</v>
      </c>
      <c r="B257" s="1">
        <v>46168</v>
      </c>
      <c r="C257" s="2" t="s">
        <v>617</v>
      </c>
      <c r="D257" s="2" t="s">
        <v>396</v>
      </c>
      <c r="E257" s="2" t="s">
        <v>377</v>
      </c>
      <c r="F257" s="2" t="s">
        <v>20</v>
      </c>
      <c r="G257" s="2" t="s">
        <v>62</v>
      </c>
      <c r="H257" s="2" t="s">
        <v>618</v>
      </c>
      <c r="I257" s="2" t="s">
        <v>619</v>
      </c>
      <c r="J257" s="3">
        <v>1</v>
      </c>
      <c r="K257" s="2" t="s">
        <v>620</v>
      </c>
      <c r="L257" s="3">
        <v>1</v>
      </c>
      <c r="M257" s="11">
        <v>900000.01</v>
      </c>
      <c r="N257" s="3">
        <v>0</v>
      </c>
      <c r="O257" s="2" t="s">
        <v>25</v>
      </c>
      <c r="P257" s="2" t="s">
        <v>26</v>
      </c>
      <c r="Q257" s="2" t="s">
        <v>34</v>
      </c>
    </row>
    <row r="258" spans="1:17" x14ac:dyDescent="0.25">
      <c r="A258" s="1">
        <v>46170</v>
      </c>
      <c r="B258" s="1">
        <v>46168</v>
      </c>
      <c r="C258" s="2" t="s">
        <v>621</v>
      </c>
      <c r="D258" s="2" t="s">
        <v>396</v>
      </c>
      <c r="E258" s="2" t="s">
        <v>379</v>
      </c>
      <c r="F258" s="2" t="s">
        <v>35</v>
      </c>
      <c r="G258" s="2" t="s">
        <v>62</v>
      </c>
      <c r="H258" s="2" t="s">
        <v>513</v>
      </c>
      <c r="I258" s="2" t="s">
        <v>514</v>
      </c>
      <c r="J258" s="3">
        <v>3</v>
      </c>
      <c r="K258" s="2" t="s">
        <v>330</v>
      </c>
      <c r="L258" s="3">
        <v>3</v>
      </c>
      <c r="M258" s="11">
        <v>275999.99</v>
      </c>
      <c r="N258" s="3">
        <v>0</v>
      </c>
      <c r="O258" s="2" t="s">
        <v>25</v>
      </c>
      <c r="P258" s="2" t="s">
        <v>26</v>
      </c>
      <c r="Q258" s="2" t="s">
        <v>34</v>
      </c>
    </row>
    <row r="259" spans="1:17" x14ac:dyDescent="0.25">
      <c r="A259" s="1">
        <v>46170</v>
      </c>
      <c r="B259" s="1">
        <v>46168</v>
      </c>
      <c r="C259" s="2" t="s">
        <v>622</v>
      </c>
      <c r="D259" s="2" t="s">
        <v>396</v>
      </c>
      <c r="E259" s="2" t="s">
        <v>623</v>
      </c>
      <c r="F259" s="2" t="s">
        <v>35</v>
      </c>
      <c r="G259" s="2" t="s">
        <v>384</v>
      </c>
      <c r="H259" s="2" t="s">
        <v>423</v>
      </c>
      <c r="I259" s="2" t="s">
        <v>424</v>
      </c>
      <c r="J259" s="3">
        <v>6</v>
      </c>
      <c r="K259" s="2" t="s">
        <v>388</v>
      </c>
      <c r="L259" s="3">
        <v>6</v>
      </c>
      <c r="M259" s="11">
        <v>326340</v>
      </c>
      <c r="N259" s="3">
        <v>0</v>
      </c>
      <c r="O259" s="2" t="s">
        <v>25</v>
      </c>
      <c r="P259" s="2" t="s">
        <v>26</v>
      </c>
      <c r="Q259" s="2" t="s">
        <v>34</v>
      </c>
    </row>
    <row r="260" spans="1:17" x14ac:dyDescent="0.25">
      <c r="A260" s="1">
        <v>46170</v>
      </c>
      <c r="B260" s="1">
        <v>46168</v>
      </c>
      <c r="C260" s="2" t="s">
        <v>624</v>
      </c>
      <c r="D260" s="2" t="s">
        <v>396</v>
      </c>
      <c r="E260" s="2" t="s">
        <v>390</v>
      </c>
      <c r="F260" s="2" t="s">
        <v>35</v>
      </c>
      <c r="G260" s="2" t="s">
        <v>384</v>
      </c>
      <c r="H260" s="2" t="s">
        <v>513</v>
      </c>
      <c r="I260" s="2" t="s">
        <v>514</v>
      </c>
      <c r="J260" s="3">
        <v>60</v>
      </c>
      <c r="K260" s="2" t="s">
        <v>330</v>
      </c>
      <c r="L260" s="3">
        <v>60</v>
      </c>
      <c r="M260" s="11">
        <v>4029300</v>
      </c>
      <c r="N260" s="3">
        <v>0</v>
      </c>
      <c r="O260" s="2" t="s">
        <v>25</v>
      </c>
      <c r="P260" s="2" t="s">
        <v>26</v>
      </c>
      <c r="Q260" s="2" t="s">
        <v>625</v>
      </c>
    </row>
    <row r="261" spans="1:17" x14ac:dyDescent="0.25">
      <c r="A261" s="1">
        <v>46170</v>
      </c>
      <c r="B261" s="1">
        <v>46168</v>
      </c>
      <c r="C261" s="2" t="s">
        <v>626</v>
      </c>
      <c r="D261" s="2" t="s">
        <v>396</v>
      </c>
      <c r="E261" s="2" t="s">
        <v>383</v>
      </c>
      <c r="F261" s="2" t="s">
        <v>35</v>
      </c>
      <c r="G261" s="2" t="s">
        <v>384</v>
      </c>
      <c r="H261" s="2" t="s">
        <v>582</v>
      </c>
      <c r="I261" s="2" t="s">
        <v>583</v>
      </c>
      <c r="J261" s="3">
        <v>1</v>
      </c>
      <c r="K261" s="2" t="s">
        <v>437</v>
      </c>
      <c r="L261" s="3">
        <v>1</v>
      </c>
      <c r="M261" s="11">
        <v>84360</v>
      </c>
      <c r="N261" s="3">
        <v>0</v>
      </c>
      <c r="O261" s="2" t="s">
        <v>25</v>
      </c>
      <c r="P261" s="2" t="s">
        <v>26</v>
      </c>
      <c r="Q261" s="2" t="s">
        <v>34</v>
      </c>
    </row>
    <row r="262" spans="1:17" x14ac:dyDescent="0.25">
      <c r="A262" s="1">
        <v>46170</v>
      </c>
      <c r="B262" s="1">
        <v>46168</v>
      </c>
      <c r="C262" s="2" t="s">
        <v>626</v>
      </c>
      <c r="D262" s="2" t="s">
        <v>396</v>
      </c>
      <c r="E262" s="2" t="s">
        <v>383</v>
      </c>
      <c r="F262" s="2" t="s">
        <v>35</v>
      </c>
      <c r="G262" s="2" t="s">
        <v>384</v>
      </c>
      <c r="H262" s="2" t="s">
        <v>627</v>
      </c>
      <c r="I262" s="2" t="s">
        <v>628</v>
      </c>
      <c r="J262" s="3">
        <v>1</v>
      </c>
      <c r="K262" s="2" t="s">
        <v>437</v>
      </c>
      <c r="L262" s="3">
        <v>1</v>
      </c>
      <c r="M262" s="11">
        <v>99900</v>
      </c>
      <c r="N262" s="3">
        <v>0</v>
      </c>
      <c r="O262" s="2" t="s">
        <v>25</v>
      </c>
      <c r="P262" s="2" t="s">
        <v>26</v>
      </c>
      <c r="Q262" s="2" t="s">
        <v>34</v>
      </c>
    </row>
    <row r="263" spans="1:17" x14ac:dyDescent="0.25">
      <c r="A263" s="1">
        <v>46170</v>
      </c>
      <c r="B263" s="1">
        <v>46168</v>
      </c>
      <c r="C263" s="2" t="s">
        <v>629</v>
      </c>
      <c r="D263" s="2" t="s">
        <v>396</v>
      </c>
      <c r="E263" s="2" t="s">
        <v>390</v>
      </c>
      <c r="F263" s="2" t="s">
        <v>35</v>
      </c>
      <c r="G263" s="2" t="s">
        <v>384</v>
      </c>
      <c r="H263" s="2" t="s">
        <v>513</v>
      </c>
      <c r="I263" s="2" t="s">
        <v>514</v>
      </c>
      <c r="J263" s="3">
        <v>96</v>
      </c>
      <c r="K263" s="2" t="s">
        <v>330</v>
      </c>
      <c r="L263" s="3">
        <v>96</v>
      </c>
      <c r="M263" s="11">
        <v>6446880</v>
      </c>
      <c r="N263" s="3">
        <v>0</v>
      </c>
      <c r="O263" s="2" t="s">
        <v>25</v>
      </c>
      <c r="P263" s="2" t="s">
        <v>26</v>
      </c>
      <c r="Q263" s="2" t="s">
        <v>630</v>
      </c>
    </row>
    <row r="264" spans="1:17" x14ac:dyDescent="0.25">
      <c r="A264" s="1">
        <v>46170</v>
      </c>
      <c r="B264" s="1">
        <v>46168</v>
      </c>
      <c r="C264" s="2" t="s">
        <v>629</v>
      </c>
      <c r="D264" s="2" t="s">
        <v>396</v>
      </c>
      <c r="E264" s="2" t="s">
        <v>390</v>
      </c>
      <c r="F264" s="2" t="s">
        <v>35</v>
      </c>
      <c r="G264" s="2" t="s">
        <v>384</v>
      </c>
      <c r="H264" s="2" t="s">
        <v>618</v>
      </c>
      <c r="I264" s="2" t="s">
        <v>619</v>
      </c>
      <c r="J264" s="3">
        <v>2</v>
      </c>
      <c r="K264" s="2" t="s">
        <v>620</v>
      </c>
      <c r="L264" s="3">
        <v>2</v>
      </c>
      <c r="M264" s="11">
        <v>1671660</v>
      </c>
      <c r="N264" s="3">
        <v>0</v>
      </c>
      <c r="O264" s="2" t="s">
        <v>25</v>
      </c>
      <c r="P264" s="2" t="s">
        <v>26</v>
      </c>
      <c r="Q264" s="2" t="s">
        <v>630</v>
      </c>
    </row>
    <row r="265" spans="1:17" x14ac:dyDescent="0.25">
      <c r="A265" s="1">
        <v>46170</v>
      </c>
      <c r="B265" s="1">
        <v>46168</v>
      </c>
      <c r="C265" s="2" t="s">
        <v>631</v>
      </c>
      <c r="D265" s="2" t="s">
        <v>396</v>
      </c>
      <c r="E265" s="2" t="s">
        <v>390</v>
      </c>
      <c r="F265" s="2" t="s">
        <v>35</v>
      </c>
      <c r="G265" s="2" t="s">
        <v>384</v>
      </c>
      <c r="H265" s="2" t="s">
        <v>632</v>
      </c>
      <c r="I265" s="2" t="s">
        <v>633</v>
      </c>
      <c r="J265" s="3">
        <v>150</v>
      </c>
      <c r="K265" s="2" t="s">
        <v>33</v>
      </c>
      <c r="L265" s="3">
        <v>150</v>
      </c>
      <c r="M265" s="11">
        <v>11655000</v>
      </c>
      <c r="N265" s="3">
        <v>0</v>
      </c>
      <c r="O265" s="2" t="s">
        <v>25</v>
      </c>
      <c r="P265" s="2" t="s">
        <v>26</v>
      </c>
      <c r="Q265" s="2" t="s">
        <v>634</v>
      </c>
    </row>
    <row r="266" spans="1:17" x14ac:dyDescent="0.25">
      <c r="A266" s="1">
        <v>46170</v>
      </c>
      <c r="B266" s="1">
        <v>46168</v>
      </c>
      <c r="C266" s="2" t="s">
        <v>635</v>
      </c>
      <c r="D266" s="2" t="s">
        <v>396</v>
      </c>
      <c r="E266" s="2" t="s">
        <v>390</v>
      </c>
      <c r="F266" s="2" t="s">
        <v>35</v>
      </c>
      <c r="G266" s="2" t="s">
        <v>384</v>
      </c>
      <c r="H266" s="2" t="s">
        <v>513</v>
      </c>
      <c r="I266" s="2" t="s">
        <v>514</v>
      </c>
      <c r="J266" s="3">
        <v>60</v>
      </c>
      <c r="K266" s="2" t="s">
        <v>330</v>
      </c>
      <c r="L266" s="3">
        <v>60</v>
      </c>
      <c r="M266" s="11">
        <v>4029300</v>
      </c>
      <c r="N266" s="3">
        <v>0</v>
      </c>
      <c r="O266" s="2" t="s">
        <v>25</v>
      </c>
      <c r="P266" s="2" t="s">
        <v>26</v>
      </c>
      <c r="Q266" s="2" t="s">
        <v>625</v>
      </c>
    </row>
    <row r="267" spans="1:17" x14ac:dyDescent="0.25">
      <c r="A267" s="1">
        <v>46170</v>
      </c>
      <c r="B267" s="1">
        <v>46168</v>
      </c>
      <c r="C267" s="2" t="s">
        <v>636</v>
      </c>
      <c r="D267" s="2" t="s">
        <v>396</v>
      </c>
      <c r="E267" s="2" t="s">
        <v>383</v>
      </c>
      <c r="F267" s="2" t="s">
        <v>35</v>
      </c>
      <c r="G267" s="2" t="s">
        <v>384</v>
      </c>
      <c r="H267" s="2" t="s">
        <v>513</v>
      </c>
      <c r="I267" s="2" t="s">
        <v>514</v>
      </c>
      <c r="J267" s="3">
        <v>3</v>
      </c>
      <c r="K267" s="2" t="s">
        <v>330</v>
      </c>
      <c r="L267" s="3">
        <v>3</v>
      </c>
      <c r="M267" s="11">
        <v>193140</v>
      </c>
      <c r="N267" s="3">
        <v>0</v>
      </c>
      <c r="O267" s="2" t="s">
        <v>25</v>
      </c>
      <c r="P267" s="2" t="s">
        <v>26</v>
      </c>
      <c r="Q267" s="2" t="s">
        <v>34</v>
      </c>
    </row>
    <row r="268" spans="1:17" x14ac:dyDescent="0.25">
      <c r="A268" s="1">
        <v>46170</v>
      </c>
      <c r="B268" s="1">
        <v>46168</v>
      </c>
      <c r="C268" s="2" t="s">
        <v>637</v>
      </c>
      <c r="D268" s="2" t="s">
        <v>396</v>
      </c>
      <c r="E268" s="2" t="s">
        <v>383</v>
      </c>
      <c r="F268" s="2" t="s">
        <v>35</v>
      </c>
      <c r="G268" s="2" t="s">
        <v>384</v>
      </c>
      <c r="H268" s="2" t="s">
        <v>638</v>
      </c>
      <c r="I268" s="2" t="s">
        <v>639</v>
      </c>
      <c r="J268" s="3">
        <v>3</v>
      </c>
      <c r="K268" s="2" t="s">
        <v>217</v>
      </c>
      <c r="L268" s="3">
        <v>3</v>
      </c>
      <c r="M268" s="11">
        <v>1275000</v>
      </c>
      <c r="N268" s="3">
        <v>0</v>
      </c>
      <c r="O268" s="2" t="s">
        <v>25</v>
      </c>
      <c r="P268" s="2" t="s">
        <v>26</v>
      </c>
      <c r="Q268" s="2" t="s">
        <v>34</v>
      </c>
    </row>
    <row r="269" spans="1:17" x14ac:dyDescent="0.25">
      <c r="A269" s="1">
        <v>46170</v>
      </c>
      <c r="B269" s="1">
        <v>46168</v>
      </c>
      <c r="C269" s="2" t="s">
        <v>637</v>
      </c>
      <c r="D269" s="2" t="s">
        <v>396</v>
      </c>
      <c r="E269" s="2" t="s">
        <v>383</v>
      </c>
      <c r="F269" s="2" t="s">
        <v>35</v>
      </c>
      <c r="G269" s="2" t="s">
        <v>384</v>
      </c>
      <c r="H269" s="2" t="s">
        <v>398</v>
      </c>
      <c r="I269" s="2" t="s">
        <v>399</v>
      </c>
      <c r="J269" s="3">
        <v>5</v>
      </c>
      <c r="K269" s="2" t="s">
        <v>33</v>
      </c>
      <c r="L269" s="3">
        <v>4.28</v>
      </c>
      <c r="M269" s="11">
        <v>399067.2</v>
      </c>
      <c r="N269" s="3">
        <v>-0.72</v>
      </c>
      <c r="O269" s="2" t="s">
        <v>25</v>
      </c>
      <c r="P269" s="2" t="s">
        <v>26</v>
      </c>
      <c r="Q269" s="2" t="s">
        <v>34</v>
      </c>
    </row>
    <row r="270" spans="1:17" x14ac:dyDescent="0.25">
      <c r="A270" s="1">
        <v>46170</v>
      </c>
      <c r="B270" s="1">
        <v>46168</v>
      </c>
      <c r="C270" s="2" t="s">
        <v>640</v>
      </c>
      <c r="D270" s="2" t="s">
        <v>396</v>
      </c>
      <c r="E270" s="2" t="s">
        <v>641</v>
      </c>
      <c r="F270" s="2" t="s">
        <v>35</v>
      </c>
      <c r="G270" s="2" t="s">
        <v>76</v>
      </c>
      <c r="H270" s="2" t="s">
        <v>463</v>
      </c>
      <c r="I270" s="2" t="s">
        <v>464</v>
      </c>
      <c r="J270" s="3">
        <v>8</v>
      </c>
      <c r="K270" s="2" t="s">
        <v>217</v>
      </c>
      <c r="L270" s="3">
        <v>8</v>
      </c>
      <c r="M270" s="11">
        <v>3072000</v>
      </c>
      <c r="N270" s="3">
        <v>0</v>
      </c>
      <c r="O270" s="2" t="s">
        <v>25</v>
      </c>
      <c r="P270" s="2" t="s">
        <v>26</v>
      </c>
      <c r="Q270" s="2" t="s">
        <v>642</v>
      </c>
    </row>
    <row r="271" spans="1:17" x14ac:dyDescent="0.25">
      <c r="A271" s="1">
        <v>46170</v>
      </c>
      <c r="B271" s="1">
        <v>46168</v>
      </c>
      <c r="C271" s="2" t="s">
        <v>640</v>
      </c>
      <c r="D271" s="2" t="s">
        <v>396</v>
      </c>
      <c r="E271" s="2" t="s">
        <v>641</v>
      </c>
      <c r="F271" s="2" t="s">
        <v>35</v>
      </c>
      <c r="G271" s="2" t="s">
        <v>76</v>
      </c>
      <c r="H271" s="2" t="s">
        <v>643</v>
      </c>
      <c r="I271" s="2" t="s">
        <v>644</v>
      </c>
      <c r="J271" s="3">
        <v>2</v>
      </c>
      <c r="K271" s="2" t="s">
        <v>87</v>
      </c>
      <c r="L271" s="3">
        <v>2</v>
      </c>
      <c r="M271" s="11">
        <v>127999.99</v>
      </c>
      <c r="N271" s="3">
        <v>0</v>
      </c>
      <c r="O271" s="2" t="s">
        <v>25</v>
      </c>
      <c r="P271" s="2" t="s">
        <v>26</v>
      </c>
      <c r="Q271" s="2" t="s">
        <v>642</v>
      </c>
    </row>
    <row r="272" spans="1:17" x14ac:dyDescent="0.25">
      <c r="M272" s="12">
        <f>SUM(M2:M271)</f>
        <v>655419965.07000065</v>
      </c>
    </row>
  </sheetData>
  <autoFilter ref="A1:Q271" xr:uid="{00000000-0009-0000-0000-000000000000}"/>
  <pageMargins left="0.7" right="0.7" top="0.75" bottom="0.75" header="0.3" footer="0.3"/>
  <ignoredErrors>
    <ignoredError sqref="A1:Q3 A129:Q130 A125:Q128 A106:Q114 A101:Q105 A91:Q91 A89:Q90 A38:Q38 A26:Q35 A12:Q12 A4:Q8 A148:Q152 A145:Q147 A138:Q144 A136:Q137 A133:Q135 A131:Q132 A123:Q124 A115:Q122 A95:Q100 A92:Q94 A88:Q88 A63:Q87 A49:Q62 A46:Q48 A45:Q45 A44:Q44 A41:Q43 A39:Q40 A37:Q37 A36:F36 A13:Q25 A10:Q11 A9:Q9 H36:Q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2026-05-27T23:57:47Z</dcterms:created>
  <dcterms:modified xsi:type="dcterms:W3CDTF">2026-05-28T00:38:46Z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