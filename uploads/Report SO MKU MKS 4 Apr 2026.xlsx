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7503C24-2B63-4F3F-94FD-F998EC2B182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Sheet!$A$1:$O$213</definedName>
  </definedName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K214" i="1" l="1"/>
</calcChain>
</file>

<file path=xl/sharedStrings.xml><?xml version="1.0" encoding="utf-8"?>
<sst xmlns="http://schemas.openxmlformats.org/spreadsheetml/2006/main" count="2238" uniqueCount="431">
  <si>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</si>
  <si>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</si>
  <si>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</si>
  <si>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</si>
  <si>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</si>
  <si>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</si>
  <si>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</si>
  <si>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</si>
  <si>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</si>
  <si>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</si>
  <si>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</si>
  <si>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</si>
  <si>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</si>
  <si>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</si>
  <si>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</si>
  <si>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SO-KS/2604/020002</t>
  </si>
  <si>
    <t>MKS Bali</t>
  </si>
  <si>
    <t>SENDOK WARUNG</t>
  </si>
  <si>
    <t>Credit</t>
  </si>
  <si>
    <t>Dewi Kristiani</t>
  </si>
  <si>
    <t>Tepung Double Zero @25Kg/Sack</t>
  </si>
  <si>
    <t>SACK</t>
  </si>
  <si>
    <t>Invoice</t>
  </si>
  <si>
    <t>Sudah Jadi FJ</t>
  </si>
  <si>
    <t xml:space="preserve"> Di Kirim Sabtu 4 april</t>
  </si>
  <si>
    <t>SO-KS/2604/020003</t>
  </si>
  <si>
    <t>WINGSTOP LIVING WORLD</t>
  </si>
  <si>
    <t>NP3</t>
  </si>
  <si>
    <t>Nestea Green Tea 750gr/Pack</t>
  </si>
  <si>
    <t>PACK</t>
  </si>
  <si>
    <t/>
  </si>
  <si>
    <t>Nestle Blackcurrant Drink 750gr/Pack</t>
  </si>
  <si>
    <t>Nestle Lemonade Original 640gr/Pack</t>
  </si>
  <si>
    <t>NESTLE Milo Activ-Go NPro 960Gr/Pack</t>
  </si>
  <si>
    <t>SO-KS/2604/010252</t>
  </si>
  <si>
    <t>PT. SSP TAURUS GEMILANG INDONESIA</t>
  </si>
  <si>
    <t>Eka</t>
  </si>
  <si>
    <t>Emborg Pizza Topping 2.3 Kg</t>
  </si>
  <si>
    <t>KG</t>
  </si>
  <si>
    <t>INTERNASIONAL</t>
  </si>
  <si>
    <t>SO-KS/2604/010253</t>
  </si>
  <si>
    <t>Tepung Crispy Ala Kentucky 1kg/pack</t>
  </si>
  <si>
    <t>DOMESTIK</t>
  </si>
  <si>
    <t>SO-KS/2604/010254</t>
  </si>
  <si>
    <t>SO-KS/2604/010256</t>
  </si>
  <si>
    <t xml:space="preserve">INTERNASIONAL_x000D_
</t>
  </si>
  <si>
    <t>SO-KS/2604/010257</t>
  </si>
  <si>
    <t>INTERNASIONA</t>
  </si>
  <si>
    <t>SO-KS/2604/010258</t>
  </si>
  <si>
    <t>SO-KS/2604/020006</t>
  </si>
  <si>
    <t>SOOMA RESTO</t>
  </si>
  <si>
    <t>Cash</t>
  </si>
  <si>
    <t>Nestle Milo Npro 1.5Kg</t>
  </si>
  <si>
    <t>SO-KS/2604/020012</t>
  </si>
  <si>
    <t>ACALA BENOA</t>
  </si>
  <si>
    <t>Juni</t>
  </si>
  <si>
    <t>di packing pakai plastik.  dikirim ke Rocky Sanur</t>
  </si>
  <si>
    <t>SO-KS/2604/020014</t>
  </si>
  <si>
    <t>BHIMA JAYA</t>
  </si>
  <si>
    <t>Wira</t>
  </si>
  <si>
    <t>Tepung Double Zero 1kg/pack</t>
  </si>
  <si>
    <t>SO-KS/2604/020015</t>
  </si>
  <si>
    <t>LA TERAZA</t>
  </si>
  <si>
    <t>Tepung Hime @25Kg/Sack</t>
  </si>
  <si>
    <t>SO-KS/2604/020017</t>
  </si>
  <si>
    <t>PISON BALI</t>
  </si>
  <si>
    <t>NP1</t>
  </si>
  <si>
    <t>Coffee-Mate NDC Bag in Box 450gr/Pack</t>
  </si>
  <si>
    <t>Kirim ke Monang maning</t>
  </si>
  <si>
    <t>SO-KS/2604/020018</t>
  </si>
  <si>
    <t>UD RESTU ILAHI</t>
  </si>
  <si>
    <t>NP2</t>
  </si>
  <si>
    <t>MAGGI Seasoning @800ml/Btl</t>
  </si>
  <si>
    <t>BTL</t>
  </si>
  <si>
    <t>SO-KS/2604/020021</t>
  </si>
  <si>
    <t>BIKU RESTAURANT</t>
  </si>
  <si>
    <t>Sujana</t>
  </si>
  <si>
    <t>Allana Tenderloin Whole</t>
  </si>
  <si>
    <t>2 loaf</t>
  </si>
  <si>
    <t>SO-KS/2604/020022</t>
  </si>
  <si>
    <t>HONGKONG GARDEN</t>
  </si>
  <si>
    <t>I Made Luih (Sanur)</t>
  </si>
  <si>
    <t>SO-KS/2604/020023</t>
  </si>
  <si>
    <t>PT AURORA CAKE BAKERY</t>
  </si>
  <si>
    <t>Tepung Ninja @25Kg/Sack</t>
  </si>
  <si>
    <t>SO-KS/2604/020024</t>
  </si>
  <si>
    <t>GODDES BAKERY ( GOLDEN BAKERY )</t>
  </si>
  <si>
    <t>I MADE LUIH</t>
  </si>
  <si>
    <t>Tepung 00 Fusion @25Kg</t>
  </si>
  <si>
    <t>SO-KS/2604/020026</t>
  </si>
  <si>
    <t>THE SAREN</t>
  </si>
  <si>
    <t>Nescafe Classic Sac+Bag Era 60x2gr</t>
  </si>
  <si>
    <t>Taufik</t>
  </si>
  <si>
    <t>EQUAL Classic 100 Pcs/Pack</t>
  </si>
  <si>
    <t>SO-KS/2604/020027</t>
  </si>
  <si>
    <t>SACRA STUJA UBUD</t>
  </si>
  <si>
    <t>Picrom Stalyon</t>
  </si>
  <si>
    <t>SO-KS/2604/020028</t>
  </si>
  <si>
    <t>BALI TROPIC RESORT &amp; SPA</t>
  </si>
  <si>
    <t>Monica</t>
  </si>
  <si>
    <t>SO-KS/2604/020029</t>
  </si>
  <si>
    <t>GOURMET GROCERIA BY PEPITO</t>
  </si>
  <si>
    <t>Ni Ketut Sriasih (MT)</t>
  </si>
  <si>
    <t>Tepung Hime 1kg/pack</t>
  </si>
  <si>
    <t>Tepung Ninja 1kg/pack</t>
  </si>
  <si>
    <t>Tepung Easymix Pancake @1kg/pack</t>
  </si>
  <si>
    <t>SO-KS/2604/020030</t>
  </si>
  <si>
    <t>GEP'S DELI ( TOKO SURYANTI NUSA )</t>
  </si>
  <si>
    <t>CAN</t>
  </si>
  <si>
    <t>Greenfields ESL Fresh Milk Full Cream Milk 1Lt</t>
  </si>
  <si>
    <t>LTR</t>
  </si>
  <si>
    <t>SO-KS/2604/020031</t>
  </si>
  <si>
    <t>POLARIS Ginger Ale 330 Ml</t>
  </si>
  <si>
    <t>SO-KS/2604/020034</t>
  </si>
  <si>
    <t>HARTONO RAYA MOTOR</t>
  </si>
  <si>
    <t>Nescafe Cappuccino Caramel Era 500gr/Pack</t>
  </si>
  <si>
    <t>Nescafe Vanilla Latte 640gr/Pack</t>
  </si>
  <si>
    <t>SO-KS/2604/020035</t>
  </si>
  <si>
    <t>AKARI RAMEN</t>
  </si>
  <si>
    <t>Nestea Lemon Tea 1kg/Pack</t>
  </si>
  <si>
    <t>Nestea Lychee Tea Npro 560gr/Pack</t>
  </si>
  <si>
    <t>Nestea Teh Tarik NPro 960gr/Pack</t>
  </si>
  <si>
    <t>SO-KS/2604/020036</t>
  </si>
  <si>
    <t>NAV KARAOKE TEUKU UMAR</t>
  </si>
  <si>
    <t>SO-KS/2604/020037</t>
  </si>
  <si>
    <t>BAKSO LOVERS</t>
  </si>
  <si>
    <t>SO-KS/2604/020038</t>
  </si>
  <si>
    <t>PT. FASTFOOD INDONESIA (KFC TEUKU UMAR)</t>
  </si>
  <si>
    <t>NP4</t>
  </si>
  <si>
    <t>SO-KS/2604/020039</t>
  </si>
  <si>
    <t>YEMA KITCHEN</t>
  </si>
  <si>
    <t>SO-KS/2604/020040</t>
  </si>
  <si>
    <t>ACALA BAR BISTRO</t>
  </si>
  <si>
    <t>SO-KS/2604/020041</t>
  </si>
  <si>
    <t>VIVRE CATERING</t>
  </si>
  <si>
    <t>SO-KS/2604/020042</t>
  </si>
  <si>
    <t>PT. ADIKARYA PANGAN FRESHINDO</t>
  </si>
  <si>
    <t>Tepung Japanese Tempura 1kg/pack</t>
  </si>
  <si>
    <t>SO-KS/2604/020043</t>
  </si>
  <si>
    <t>DAENG BURGER UMALAS</t>
  </si>
  <si>
    <t>di kirim sabtu pagi</t>
  </si>
  <si>
    <t>SO-KS/2604/020044</t>
  </si>
  <si>
    <t>GROUND ZERO KITCHEN</t>
  </si>
  <si>
    <t>SO-KS/2604/020045</t>
  </si>
  <si>
    <t>PT. GLOBAL BUANA PREMIUM</t>
  </si>
  <si>
    <t>THE ALTERNATIVE Barista Oat Milk 1 Lt</t>
  </si>
  <si>
    <t>PCS</t>
  </si>
  <si>
    <t>SO-KS/2604/020046</t>
  </si>
  <si>
    <t>BAKSO MUKBANG</t>
  </si>
  <si>
    <t>di kirim ke bakso mukbang.</t>
  </si>
  <si>
    <t>SO-KS/2604/020047</t>
  </si>
  <si>
    <t>SO-KS/2604/020048</t>
  </si>
  <si>
    <t>KORI RESTAURANT</t>
  </si>
  <si>
    <t>Borello Topside</t>
  </si>
  <si>
    <t>1 loaf</t>
  </si>
  <si>
    <t>COCO ROTI</t>
  </si>
  <si>
    <t>KTN</t>
  </si>
  <si>
    <t>SO-KS/2604/020050</t>
  </si>
  <si>
    <t>SO-KS/2604/020051</t>
  </si>
  <si>
    <t>SO-KS/2604/020052</t>
  </si>
  <si>
    <t>FINNS BEACH CLUB</t>
  </si>
  <si>
    <t>PO kitchen fbc</t>
  </si>
  <si>
    <t>SO-KS/2604/020053</t>
  </si>
  <si>
    <t>PT. FASTFOOD INDONESIA (KFC KUTA SQUARE)</t>
  </si>
  <si>
    <t>KA</t>
  </si>
  <si>
    <t>NESTLE MILO -E Uht Cmbk 110 Ml</t>
  </si>
  <si>
    <t>SO-KS/2604/020054</t>
  </si>
  <si>
    <t>SO-KS/2604/020055</t>
  </si>
  <si>
    <t>JALAPENO SANUR</t>
  </si>
  <si>
    <t>Block Red Cheddar Mix Cheese 5x2kg</t>
  </si>
  <si>
    <t>2 blok</t>
  </si>
  <si>
    <t>SO-KS/2604/020056</t>
  </si>
  <si>
    <t>AEROX SPACE ADVENTURE</t>
  </si>
  <si>
    <t>Nestle Orange Pouch NP 560gr/Pack</t>
  </si>
  <si>
    <t>SO-KS/2604/020057</t>
  </si>
  <si>
    <t>PT. AMAN BALI NUSA LAUT (LUIGIS HOT PIZZA)</t>
  </si>
  <si>
    <t>Inofa Heat Treated Wheat Flour SF 346 @25kg/sack</t>
  </si>
  <si>
    <t>SO-KS/2604/020060</t>
  </si>
  <si>
    <t>PT. FASTFOOD INDONESIA (KFC GATSU)</t>
  </si>
  <si>
    <t>SO-KS/2604/020061</t>
  </si>
  <si>
    <t>HILTON HOTEL</t>
  </si>
  <si>
    <t>Borello Rump</t>
  </si>
  <si>
    <t>SO-KS/2604/020062</t>
  </si>
  <si>
    <t>M&amp;M CATERING</t>
  </si>
  <si>
    <t>SO-KS/2604/020063</t>
  </si>
  <si>
    <t>FAJAR MILLENIUM</t>
  </si>
  <si>
    <t>Tepung Easymix Fish n Chips 1kg/pack</t>
  </si>
  <si>
    <t>SO-KS/2604/020064</t>
  </si>
  <si>
    <t>CV. AVATRA CULINARY INDONESIA</t>
  </si>
  <si>
    <t>SO-KS/2604/020065</t>
  </si>
  <si>
    <t>AUTOGRILL</t>
  </si>
  <si>
    <t>Amron Striploin Whole</t>
  </si>
  <si>
    <t>SO-KS/2604/020068</t>
  </si>
  <si>
    <t>SHERATON BALI KUTA RESORT</t>
  </si>
  <si>
    <t>LANI</t>
  </si>
  <si>
    <t>SO-KS/2604/020069</t>
  </si>
  <si>
    <t>ALAS HARUM UBUD</t>
  </si>
  <si>
    <t>THE ALTERNATIVE Barista Soy Milk 1 Lt</t>
  </si>
  <si>
    <t>BAR CRETYA</t>
  </si>
  <si>
    <t>THE ALTERNATIVE Barista Almond Milk 1 Lt</t>
  </si>
  <si>
    <t>SO-KS/2604/020070</t>
  </si>
  <si>
    <t>BAR COFFEE</t>
  </si>
  <si>
    <t>SO-KS/2604/020071</t>
  </si>
  <si>
    <t>NOURISH UNGASAN</t>
  </si>
  <si>
    <t>DP Mozzarella 2.5Kg</t>
  </si>
  <si>
    <t>SO-KS/2604/020072</t>
  </si>
  <si>
    <t>NOURISH CAFE</t>
  </si>
  <si>
    <t>SO-KS/2604/020073</t>
  </si>
  <si>
    <t>SO-KS/2604/020074</t>
  </si>
  <si>
    <t>LUSA BY SUKA</t>
  </si>
  <si>
    <t>SO-KS/2604/020076</t>
  </si>
  <si>
    <t>CENTRAL KITCHEN LOSTERIA (CANGGU)</t>
  </si>
  <si>
    <t>SO-KS/2604/020077</t>
  </si>
  <si>
    <t>PT. FASTFOOD INDONESIA (KFC TOHPATI)</t>
  </si>
  <si>
    <t>SO-KS/2604/020078</t>
  </si>
  <si>
    <t>SO-KS/2604/020079</t>
  </si>
  <si>
    <t>PT. FASTFOOD INDONESIA ( KFC SEMINYAK )</t>
  </si>
  <si>
    <t>SO-KS/2604/020080</t>
  </si>
  <si>
    <t>SO-KS/2604/020081</t>
  </si>
  <si>
    <t>GUNA N BUAH</t>
  </si>
  <si>
    <t>2 lup</t>
  </si>
  <si>
    <t>SO-KS/2604/020082</t>
  </si>
  <si>
    <t>MOZZARIA Mozzarella 200 Gr</t>
  </si>
  <si>
    <t>SO-KS/2604/020083</t>
  </si>
  <si>
    <t>PLANT BISTRO</t>
  </si>
  <si>
    <t>SO-KS/2604/020084</t>
  </si>
  <si>
    <t>CV. FENNY BERSAMA</t>
  </si>
  <si>
    <t>SO-KS/2604/020085</t>
  </si>
  <si>
    <t>LE MERIDIEN JIMBARAN</t>
  </si>
  <si>
    <t>Aus Chuck Tender Whole</t>
  </si>
  <si>
    <t>Management Bali</t>
  </si>
  <si>
    <t>SO-KS/2604/020087</t>
  </si>
  <si>
    <t>PO kitchen asian</t>
  </si>
  <si>
    <t>SO-KS/2604/020088</t>
  </si>
  <si>
    <t>REDDOG ICON BALI</t>
  </si>
  <si>
    <t>SO-KS/2604/020089</t>
  </si>
  <si>
    <t>DODO PIZZA</t>
  </si>
  <si>
    <t>SO-KS/2604/020090</t>
  </si>
  <si>
    <t>ST REGIS</t>
  </si>
  <si>
    <t>SO-KS/2604/020092</t>
  </si>
  <si>
    <t>RAMEN 1 ICON SANUR MALL</t>
  </si>
  <si>
    <t>SO-KS/2604/020093</t>
  </si>
  <si>
    <t>SO-KS/2604/020094</t>
  </si>
  <si>
    <t>GUNA N BUAH MUNGGU</t>
  </si>
  <si>
    <t>Pickled Gherkins (2kg/pack)</t>
  </si>
  <si>
    <t>1 lup red chedar. emborg mozarella 2 lup</t>
  </si>
  <si>
    <t>SO-KS/2604/020095</t>
  </si>
  <si>
    <t>SO-KS/2604/020096</t>
  </si>
  <si>
    <t>SO-KS/2604/020097</t>
  </si>
  <si>
    <t>JUMEIRAH</t>
  </si>
  <si>
    <t>INTERCONTINENTAL BALI RESORT</t>
  </si>
  <si>
    <t>SO-KS/2604/020099</t>
  </si>
  <si>
    <t>SO-KS/2604/020100</t>
  </si>
  <si>
    <t>RYOSHI JAPANESE OFFICE</t>
  </si>
  <si>
    <t>12 LOAF</t>
  </si>
  <si>
    <t>SO-KS/2604/020101</t>
  </si>
  <si>
    <t>SUMAK SANUR</t>
  </si>
  <si>
    <t>SO-KS/2604/020102</t>
  </si>
  <si>
    <t>SO-KS/2604/020103</t>
  </si>
  <si>
    <t>THE WESTIN RESORT NUSA DUA</t>
  </si>
  <si>
    <t>SO-KS/2604/020104</t>
  </si>
  <si>
    <t>DSDS RESTAURANT UBUD</t>
  </si>
  <si>
    <t>SO-KS/2604/020105</t>
  </si>
  <si>
    <t>PENINSULA BEACH RESORT</t>
  </si>
  <si>
    <t>Sirloin Kilcoy Green Diamond</t>
  </si>
  <si>
    <t>SO-KS/2604/020106</t>
  </si>
  <si>
    <t>SHABURI KINTAN</t>
  </si>
  <si>
    <t>Nescafe Latte 500gr/Pack</t>
  </si>
  <si>
    <t>SO-KS/2604/020107</t>
  </si>
  <si>
    <t>ANVAYA HOTEL</t>
  </si>
  <si>
    <t>Halal Premium Oxtail Whole Cut 3Cm (2 Kg/Pack)</t>
  </si>
  <si>
    <t>SO-KS/2604/020108</t>
  </si>
  <si>
    <t>MOODEST COFFEE</t>
  </si>
  <si>
    <t>SO-KS/2604/020110</t>
  </si>
  <si>
    <t>MERUSAKA NUSA DUA</t>
  </si>
  <si>
    <t>SO-KS/2604/020111</t>
  </si>
  <si>
    <t>SO-KS/2604/020112</t>
  </si>
  <si>
    <t>SO-KS/2604/020113</t>
  </si>
  <si>
    <t>CHISA DE BOGA</t>
  </si>
  <si>
    <t>SO-KS/2604/020114</t>
  </si>
  <si>
    <t>FOODY Star Chicken Sausage 250 Gr</t>
  </si>
  <si>
    <t>FOODY Star Beef Sausage 250 Gr</t>
  </si>
  <si>
    <t>SO-KS/2604/020115</t>
  </si>
  <si>
    <t>SO-KS/2604/020116</t>
  </si>
  <si>
    <t>PADMA BALI RESORT</t>
  </si>
  <si>
    <t>Claw Crab Meat,1lb can</t>
  </si>
  <si>
    <t>SO-KS/2604/020117</t>
  </si>
  <si>
    <t>PT. TIBI MODERN SENTOSA (AMNAYA HOTEL)</t>
  </si>
  <si>
    <t>SO-KS/2604/020118</t>
  </si>
  <si>
    <t>CV BALI JAYA (TOKO BALI JAYA KUTA)</t>
  </si>
  <si>
    <t>SO-KS/2604/020119</t>
  </si>
  <si>
    <t>SO-KS/2604/020120</t>
  </si>
  <si>
    <t>SISTERFIELDS CAFE</t>
  </si>
  <si>
    <t>po estia</t>
  </si>
  <si>
    <t>SO-KS/2604/020121</t>
  </si>
  <si>
    <t>MAYA UBUD</t>
  </si>
  <si>
    <t>ECT Tenderloin Import</t>
  </si>
  <si>
    <t>SO-KS/2604/020122</t>
  </si>
  <si>
    <t>THE LAGUNA</t>
  </si>
  <si>
    <t>Tepung Pita Emas @25Kg/Sack</t>
  </si>
  <si>
    <t>SO-KS/2604/020123</t>
  </si>
  <si>
    <t>ALAM KUL KUL</t>
  </si>
  <si>
    <t>SO-KS/2604/020124</t>
  </si>
  <si>
    <t>GOURMET GARAGE (PT. WAHANA BOGA NUSANTARA)</t>
  </si>
  <si>
    <t>SO-KS/2604/020125</t>
  </si>
  <si>
    <t>MAMAS GERMAN REST.</t>
  </si>
  <si>
    <t>SO-KS/2604/020126</t>
  </si>
  <si>
    <t>DAS BISTRO</t>
  </si>
  <si>
    <t>SO-KU/2604/020006</t>
  </si>
  <si>
    <t>MKU Bali</t>
  </si>
  <si>
    <t>SURYA FLAVOR</t>
  </si>
  <si>
    <t>Flavorista Chocolate base (1000Gr/Pack)</t>
  </si>
  <si>
    <t>Flavorista Matcha (1000Gr/Pack)</t>
  </si>
  <si>
    <t>SO-KU/2604/020007</t>
  </si>
  <si>
    <t>LUSI &amp; PAKAN BY THE RIVER</t>
  </si>
  <si>
    <t>Masterista Ceremonial Pure Matcha Powder 500 Gr</t>
  </si>
  <si>
    <t>SO-KU/2604/020009</t>
  </si>
  <si>
    <t>ZEEN COFFEE</t>
  </si>
  <si>
    <t>Flavorista Red Velvet (1000Gr/Pack)</t>
  </si>
  <si>
    <t>SO-KU/2604/020010</t>
  </si>
  <si>
    <t>KISAH KOPI</t>
  </si>
  <si>
    <t>POU</t>
  </si>
  <si>
    <t>Masterista Syrup Vanilla Tradition 850ml</t>
  </si>
  <si>
    <t>Masterista Syrup Classic Caramel 850ml</t>
  </si>
  <si>
    <t>SO-KU/2604/020011</t>
  </si>
  <si>
    <t>BOX</t>
  </si>
  <si>
    <t>Pure Green Tea @50TB/Box</t>
  </si>
  <si>
    <t>SO-KU/2604/020012</t>
  </si>
  <si>
    <t>ZERO 4 KARAOKE</t>
  </si>
  <si>
    <t>Bergold Mozzarella Block</t>
  </si>
  <si>
    <t>3 loaf (pack) / 6,9kg</t>
  </si>
  <si>
    <t>SO-KU/2604/020013</t>
  </si>
  <si>
    <t>PT. KREASI BALI PRIMA</t>
  </si>
  <si>
    <t>O Sole Pomodori Pelati Peeled Tomatoes 2.5Kg</t>
  </si>
  <si>
    <t>SO-KU/2604/020015</t>
  </si>
  <si>
    <t>IQF FF Shoestring 2.5 Kg/Pack</t>
  </si>
  <si>
    <t>Premium Crincle Cut Fries 2 Kg</t>
  </si>
  <si>
    <t>Crr Rock'n Hash Brown Triangular 2.5Kg</t>
  </si>
  <si>
    <t>SO-KU/2604/020017</t>
  </si>
  <si>
    <t>REDWHITE COFFEE</t>
  </si>
  <si>
    <t>Masterista Frappe Base 800 Gr</t>
  </si>
  <si>
    <t>SO-KU/2604/020018</t>
  </si>
  <si>
    <t>KOPI JALANAN</t>
  </si>
  <si>
    <t>Masterista Syrup Tiramisu 850ml</t>
  </si>
  <si>
    <t>Flavourista Syrup Vanilla 1000 Ml</t>
  </si>
  <si>
    <t>SO-KU/2604/020019</t>
  </si>
  <si>
    <t>MB FROZEN FOOD</t>
  </si>
  <si>
    <t>Ni Ketut Sriasih (GT)</t>
  </si>
  <si>
    <t>SO-KU/2604/020020</t>
  </si>
  <si>
    <t>Pork B Sliced (1kg/pack)</t>
  </si>
  <si>
    <t>SO-KU/2604/020021</t>
  </si>
  <si>
    <t>KOJA KITCHEN AND COFFEE</t>
  </si>
  <si>
    <t>IQF FF Shoestring 10Kg/Ctn</t>
  </si>
  <si>
    <t xml:space="preserve"> 2 loaf</t>
  </si>
  <si>
    <t>Belly Skinless Premium (2.5Kg/Pack)</t>
  </si>
  <si>
    <t>SO-KU/2604/020022</t>
  </si>
  <si>
    <t>Daebak Soju Lychee @360ml/btl</t>
  </si>
  <si>
    <t>SO-KU/2604/020023</t>
  </si>
  <si>
    <t>TSM CENTRAL</t>
  </si>
  <si>
    <t>Premium Hash Brown 5x2Kg</t>
  </si>
  <si>
    <t>SO-KU/2604/020024</t>
  </si>
  <si>
    <t>BAKERY PETIT PARIS (PT. CIPTA RASA MULTINDO)</t>
  </si>
  <si>
    <t>GUDANG RM &amp; PKG RENON BALI</t>
  </si>
  <si>
    <t>SO-KU/2604/020025</t>
  </si>
  <si>
    <t>TAMAN DEDARI UBUD</t>
  </si>
  <si>
    <t>Bergold Shredded Pizza Topping Mozzarella</t>
  </si>
  <si>
    <t>SO-KU/2604/020026</t>
  </si>
  <si>
    <t>SO-KU/2604/020027</t>
  </si>
  <si>
    <t>SO-KU/2604/020031</t>
  </si>
  <si>
    <t>SO-KU/2604/020032</t>
  </si>
  <si>
    <t>Isabi Smoked Salmon Slice 1Kg/Pack</t>
  </si>
  <si>
    <t>SO-KU/2604/020033</t>
  </si>
  <si>
    <t>SO-KU/2604/020034</t>
  </si>
  <si>
    <t>SO-KU/2604/020035</t>
  </si>
  <si>
    <t>ASA COFFEE RESTO</t>
  </si>
  <si>
    <t>Masterista Syrup Butterscotch 850 Ml</t>
  </si>
  <si>
    <t>Masterista Syrup Salted Caramel 850 ML</t>
  </si>
  <si>
    <t>Masterista Aren Sugar Liquid 1000Gr</t>
  </si>
  <si>
    <t>SO-KU/2604/020038</t>
  </si>
  <si>
    <t>SO-KU/2604/020040</t>
  </si>
  <si>
    <t>BELLA ITALIAN GRAND MAS</t>
  </si>
  <si>
    <t>SO-KU/2604/020041</t>
  </si>
  <si>
    <t>LOSTERIA JIMBARAN</t>
  </si>
  <si>
    <t>SO-KU/2604/020042</t>
  </si>
  <si>
    <t>TOKO SUTARMI</t>
  </si>
  <si>
    <t>SO-KU/2604/020043</t>
  </si>
  <si>
    <t>SO-KU/2604/020044</t>
  </si>
  <si>
    <t>SO-KU/2604/020045</t>
  </si>
  <si>
    <t>STHALA UBUD</t>
  </si>
  <si>
    <t>SO-KU/2604/020046</t>
  </si>
  <si>
    <t>PO kitchen vip</t>
  </si>
  <si>
    <t>SO-KU/2604/020047</t>
  </si>
  <si>
    <t>SO-KU/2604/020048</t>
  </si>
  <si>
    <t>Artisan Pure Matcha (500Gr/Pack)</t>
  </si>
  <si>
    <t>SO-KU/2604/020049</t>
  </si>
  <si>
    <t>Premium Crincle Cut Fries 6x2 Kg</t>
  </si>
  <si>
    <t>SO-KU/2604/020050</t>
  </si>
  <si>
    <t>MAMAS BELLY RIND ON SB OUT (SKIN ON) 3-5KG/PACK</t>
  </si>
  <si>
    <t>SO-KU/2604/020051</t>
  </si>
  <si>
    <t>SO-KU/2604/020052</t>
  </si>
  <si>
    <t>SO-KU/2604/020054</t>
  </si>
  <si>
    <t>O Sole Doppio Concentrato Paste Tomato 2.2 Kg</t>
  </si>
  <si>
    <t>SO-KU/2604/020055</t>
  </si>
  <si>
    <t>ARTE CANGGU</t>
  </si>
  <si>
    <t>SO-KU/2604/020059</t>
  </si>
  <si>
    <t>FOLD UBUD</t>
  </si>
  <si>
    <t>Invoice 1</t>
  </si>
  <si>
    <t>SO-KU/2604/020060</t>
  </si>
  <si>
    <t>ANDAZ BALI</t>
  </si>
  <si>
    <t>Masterista Dark Chocolate 800Gr</t>
  </si>
  <si>
    <t>SO-KU/2604/020061</t>
  </si>
  <si>
    <t>Gold Box Extra Butter MP341 5 Kg</t>
  </si>
  <si>
    <t>SO-KU/2604/020062</t>
  </si>
  <si>
    <t>SUNDARI RESORT AND HOTEL</t>
  </si>
  <si>
    <t>Masterista Japanese Koicha Powder 500 Gr</t>
  </si>
  <si>
    <t>SO-KU/2604/020063</t>
  </si>
  <si>
    <t>SO-KU/2604/020064</t>
  </si>
  <si>
    <t>SOL BY MELIA BENOA</t>
  </si>
  <si>
    <t>Savis Cold Infusions Vitalizing 50Pbx4g</t>
  </si>
  <si>
    <t>SO-KU/2604/020065</t>
  </si>
  <si>
    <t>HARSONO BOUTIQUE RESORT BALI</t>
  </si>
  <si>
    <t>Crr Rock'n Waffle Fries 2.5 Kg</t>
  </si>
  <si>
    <t>SO-KU/2604/020066</t>
  </si>
  <si>
    <t>SO-KU/2604/020067</t>
  </si>
  <si>
    <t>Crr Rock'n Batter Skin On Fries 9x9mm 10Kg/Ctn</t>
  </si>
  <si>
    <t>SO-KU/2604/020068</t>
  </si>
  <si>
    <t>FOOD GALLERIA</t>
  </si>
  <si>
    <t>Gold Box Extra Butter MP341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</si>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</sst>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0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16.339592824072" createdVersion="8" refreshedVersion="8" minRefreshableVersion="3" recordCount="212" xr:uid="{771B11D4-A11B-4EF5-BBEF-A4F064EFDFDE}">
  <cacheSource type="worksheet">
    <worksheetSource ref="A1:O213" sheet="Sheet"/>
  </cacheSource>
  <cacheFields count="15">
    <cacheField name="Tgl Kirim" numFmtId="164">
      <sharedItems containsSemiMixedTypes="0" containsNonDate="0" containsDate="1" containsString="0" minDate="2026-04-04T00:00:00" maxDate="2026-04-05T00:00:00"/>
    </cacheField>
    <cacheField name="No SO" numFmtId="0">
      <sharedItems/>
    </cacheField>
    <cacheField name="Nama Divisi" numFmtId="0">
      <sharedItems/>
    </cacheField>
    <cacheField name="Nama Customer" numFmtId="0">
      <sharedItems count="108">
        <s v="SENDOK WARUNG"/>
        <s v="WINGSTOP LIVING WORLD"/>
        <s v="PT. SSP TAURUS GEMILANG INDONESIA"/>
        <s v="SOOMA RESTO"/>
        <s v="ACALA BENOA"/>
        <s v="BHIMA JAYA"/>
        <s v="LA TERAZA"/>
        <s v="PISON BALI"/>
        <s v="UD RESTU ILAHI"/>
        <s v="BIKU RESTAURANT"/>
        <s v="HONGKONG GARDEN"/>
        <s v="PT AURORA CAKE BAKERY"/>
        <s v="GODDES BAKERY ( GOLDEN BAKERY )"/>
        <s v="THE SAREN"/>
        <s v="SACRA STUJA UBUD"/>
        <s v="BALI TROPIC RESORT &amp; SPA"/>
        <s v="GOURMET GROCERIA BY PEPITO"/>
        <s v="GEP'S DELI ( TOKO SURYANTI NUSA )"/>
        <s v="HARTONO RAYA MOTOR"/>
        <s v="AKARI RAMEN"/>
        <s v="NAV KARAOKE TEUKU UMAR"/>
        <s v="BAKSO LOVERS"/>
        <s v="PT. FASTFOOD INDONESIA (KFC TEUKU UMAR)"/>
        <s v="YEMA KITCHEN"/>
        <s v="ACALA BAR BISTRO"/>
        <s v="VIVRE CATERING"/>
        <s v="PT. ADIKARYA PANGAN FRESHINDO"/>
        <s v="DAENG BURGER UMALAS"/>
        <s v="GROUND ZERO KITCHEN"/>
        <s v="PT. GLOBAL BUANA PREMIUM"/>
        <s v="BAKSO MUKBANG"/>
        <s v="KORI RESTAURANT"/>
        <s v="COCO ROTI"/>
        <s v="FINNS BEACH CLUB"/>
        <s v="PT. FASTFOOD INDONESIA (KFC KUTA SQUARE)"/>
        <s v="JALAPENO SANUR"/>
        <s v="AEROX SPACE ADVENTURE"/>
        <s v="PT. AMAN BALI NUSA LAUT (LUIGIS HOT PIZZA)"/>
        <s v="PT. FASTFOOD INDONESIA (KFC GATSU)"/>
        <s v="HILTON HOTEL"/>
        <s v="M&amp;M CATERING"/>
        <s v="FAJAR MILLENIUM"/>
        <s v="CV. AVATRA CULINARY INDONESIA"/>
        <s v="AUTOGRILL"/>
        <s v="SHERATON BALI KUTA RESORT"/>
        <s v="ALAS HARUM UBUD"/>
        <s v="NOURISH UNGASAN"/>
        <s v="NOURISH CAFE"/>
        <s v="LUSA BY SUKA"/>
        <s v="CENTRAL KITCHEN LOSTERIA (CANGGU)"/>
        <s v="PT. FASTFOOD INDONESIA (KFC TOHPATI)"/>
        <s v="PT. FASTFOOD INDONESIA ( KFC SEMINYAK )"/>
        <s v="GUNA N BUAH"/>
        <s v="PLANT BISTRO"/>
        <s v="CV. FENNY BERSAMA"/>
        <s v="LE MERIDIEN JIMBARAN"/>
        <s v="REDDOG ICON BALI"/>
        <s v="DODO PIZZA"/>
        <s v="ST REGIS"/>
        <s v="RAMEN 1 ICON SANUR MALL"/>
        <s v="GUNA N BUAH MUNGGU"/>
        <s v="JUMEIRAH"/>
        <s v="INTERCONTINENTAL BALI RESORT"/>
        <s v="RYOSHI JAPANESE OFFICE"/>
        <s v="SUMAK SANUR"/>
        <s v="THE WESTIN RESORT NUSA DUA"/>
        <s v="DSDS RESTAURANT UBUD"/>
        <s v="PENINSULA BEACH RESORT"/>
        <s v="SHABURI KINTAN"/>
        <s v="ANVAYA HOTEL"/>
        <s v="MOODEST COFFEE"/>
        <s v="MERUSAKA NUSA DUA"/>
        <s v="CHISA DE BOGA"/>
        <s v="PADMA BALI RESORT"/>
        <s v="PT. TIBI MODERN SENTOSA (AMNAYA HOTEL)"/>
        <s v="CV BALI JAYA (TOKO BALI JAYA KUTA)"/>
        <s v="SISTERFIELDS CAFE"/>
        <s v="MAYA UBUD"/>
        <s v="THE LAGUNA"/>
        <s v="ALAM KUL KUL"/>
        <s v="GOURMET GARAGE (PT. WAHANA BOGA NUSANTARA)"/>
        <s v="MAMAS GERMAN REST."/>
        <s v="DAS BISTRO"/>
        <s v="SURYA FLAVOR"/>
        <s v="LUSI &amp; PAKAN BY THE RIVER"/>
        <s v="ZEEN COFFEE"/>
        <s v="KISAH KOPI"/>
        <s v="ZERO 4 KARAOKE"/>
        <s v="PT. KREASI BALI PRIMA"/>
        <s v="REDWHITE COFFEE"/>
        <s v="KOPI JALANAN"/>
        <s v="MB FROZEN FOOD"/>
        <s v="KOJA KITCHEN AND COFFEE"/>
        <s v="TSM CENTRAL"/>
        <s v="BAKERY PETIT PARIS (PT. CIPTA RASA MULTINDO)"/>
        <s v="TAMAN DEDARI UBUD"/>
        <s v="ASA COFFEE RESTO"/>
        <s v="BELLA ITALIAN GRAND MAS"/>
        <s v="LOSTERIA JIMBARAN"/>
        <s v="TOKO SUTARMI"/>
        <s v="STHALA UBUD"/>
        <s v="ARTE CANGGU"/>
        <s v="FOLD UBUD"/>
        <s v="ANDAZ BALI"/>
        <s v="SUNDARI RESORT AND HOTEL"/>
        <s v="SOL BY MELIA BENOA"/>
        <s v="HARSONO BOUTIQUE RESORT BALI"/>
        <s v="FOOD GALLERIA"/>
      </sharedItems>
    </cacheField>
    <cacheField name="JT" numFmtId="0">
      <sharedItems count="2">
        <s v="Credit"/>
        <s v="Cash"/>
      </sharedItems>
    </cacheField>
    <cacheField name="Nama Sales" numFmtId="0">
      <sharedItems count="20">
        <s v="Dewi Kristiani"/>
        <s v="NP3"/>
        <s v="Eka"/>
        <s v="Juni"/>
        <s v="Wira"/>
        <s v="NP1"/>
        <s v="NP2"/>
        <s v="Sujana"/>
        <s v="I Made Luih (Sanur)"/>
        <s v="I MADE LUIH"/>
        <s v="Taufik"/>
        <s v="Picrom Stalyon"/>
        <s v="Monica"/>
        <s v="Ni Ketut Sriasih (MT)"/>
        <s v="NP4"/>
        <s v="KA"/>
        <s v=""/>
        <s v="LANI"/>
        <s v="Management Bali"/>
        <s v="Ni Ketut Sriasih (GT)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144"/>
    </cacheField>
    <cacheField name="Satuan" numFmtId="0">
      <sharedItems/>
    </cacheField>
    <cacheField name="FJ (Pcs)" numFmtId="165">
      <sharedItems containsSemiMixedTypes="0" containsString="0" containsNumber="1" minValue="1" maxValue="144"/>
    </cacheField>
    <cacheField name="sub T.Jual(Rp)" numFmtId="165">
      <sharedItems containsSemiMixedTypes="0" containsString="0" containsNumber="1" minValue="32000" maxValue="8851700"/>
    </cacheField>
    <cacheField name="BS-SO(Pcs)" numFmtId="165">
      <sharedItems containsSemiMixedTypes="0" containsString="0" containsNumber="1" minValue="-72" maxValue="19.2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d v="2026-04-04T00:00:00"/>
    <s v="SO-KS/2604/020002"/>
    <s v="MKS Bali"/>
    <x v="0"/>
    <x v="0"/>
    <x v="0"/>
    <s v="Tepung Double Zero @25Kg/Sack"/>
    <n v="20"/>
    <s v="SACK"/>
    <n v="20"/>
    <n v="5559999.9900000002"/>
    <n v="0"/>
    <s v="Invoice"/>
    <s v="Sudah Jadi FJ"/>
    <s v=" Di Kirim Sabtu 4 april"/>
  </r>
  <r>
    <d v="2026-04-04T00:00:00"/>
    <s v="SO-KS/2604/020003"/>
    <s v="MKS Bali"/>
    <x v="1"/>
    <x v="0"/>
    <x v="1"/>
    <s v="Nestea Green Tea 750gr/Pack"/>
    <n v="16"/>
    <s v="PACK"/>
    <n v="16"/>
    <n v="1111086.68"/>
    <n v="0"/>
    <s v="Invoice"/>
    <s v="Sudah Jadi FJ"/>
    <s v=""/>
  </r>
  <r>
    <d v="2026-04-04T00:00:00"/>
    <s v="SO-KS/2604/020003"/>
    <s v="MKS Bali"/>
    <x v="1"/>
    <x v="0"/>
    <x v="1"/>
    <s v="Nestle Blackcurrant Drink 750gr/Pack"/>
    <n v="16"/>
    <s v="PACK"/>
    <n v="16"/>
    <n v="1043665.28"/>
    <n v="0"/>
    <s v="Invoice"/>
    <s v="Sudah Jadi FJ"/>
    <s v=""/>
  </r>
  <r>
    <d v="2026-04-04T00:00:00"/>
    <s v="SO-KS/2604/020003"/>
    <s v="MKS Bali"/>
    <x v="1"/>
    <x v="0"/>
    <x v="1"/>
    <s v="Nestle Lemonade Original 640gr/Pack"/>
    <n v="12"/>
    <s v="PACK"/>
    <n v="12"/>
    <n v="622633.41"/>
    <n v="0"/>
    <s v="Invoice"/>
    <s v="Sudah Jadi FJ"/>
    <s v=""/>
  </r>
  <r>
    <d v="2026-04-04T00:00:00"/>
    <s v="SO-KS/2604/020003"/>
    <s v="MKS Bali"/>
    <x v="1"/>
    <x v="0"/>
    <x v="1"/>
    <s v="NESTLE Milo Activ-Go NPro 960Gr/Pack"/>
    <n v="16"/>
    <s v="PACK"/>
    <n v="16"/>
    <n v="1637978.16"/>
    <n v="0"/>
    <s v="Invoice"/>
    <s v="Sudah Jadi FJ"/>
    <s v=""/>
  </r>
  <r>
    <d v="2026-04-04T00:00:00"/>
    <s v="SO-KS/2604/010252"/>
    <s v="MKS Bali"/>
    <x v="2"/>
    <x v="0"/>
    <x v="2"/>
    <s v="Emborg Pizza Topping 2.3 Kg"/>
    <n v="5"/>
    <s v="KG"/>
    <n v="4.5999999999999996"/>
    <n v="482999.97"/>
    <n v="-0.4"/>
    <s v="Invoice"/>
    <s v="Sudah Jadi FJ"/>
    <s v="INTERNASIONAL"/>
  </r>
  <r>
    <d v="2026-04-04T00:00:00"/>
    <s v="SO-KS/2604/010253"/>
    <s v="MKS Bali"/>
    <x v="2"/>
    <x v="0"/>
    <x v="2"/>
    <s v="Tepung Crispy Ala Kentucky 1kg/pack"/>
    <n v="6"/>
    <s v="KG"/>
    <n v="6"/>
    <n v="180000.02"/>
    <n v="0"/>
    <s v="Invoice"/>
    <s v="Sudah Jadi FJ"/>
    <s v="DOMESTIK"/>
  </r>
  <r>
    <d v="2026-04-04T00:00:00"/>
    <s v="SO-KS/2604/010254"/>
    <s v="MKS Bali"/>
    <x v="2"/>
    <x v="0"/>
    <x v="2"/>
    <s v="Emborg Pizza Topping 2.3 Kg"/>
    <n v="2.2999999999999998"/>
    <s v="KG"/>
    <n v="2.2999999999999998"/>
    <n v="241499.99"/>
    <n v="0"/>
    <s v="Invoice"/>
    <s v="Sudah Jadi FJ"/>
    <s v="DOMESTIK"/>
  </r>
  <r>
    <d v="2026-04-04T00:00:00"/>
    <s v="SO-KS/2604/010256"/>
    <s v="MKS Bali"/>
    <x v="2"/>
    <x v="0"/>
    <x v="2"/>
    <s v="Emborg Pizza Topping 2.3 Kg"/>
    <n v="2"/>
    <s v="KG"/>
    <n v="2.2999999999999998"/>
    <n v="241499.99"/>
    <n v="0.3"/>
    <s v="Invoice"/>
    <s v="Sudah Jadi FJ"/>
    <s v="INTERNASIONAL_x000d__x000a_"/>
  </r>
  <r>
    <d v="2026-04-04T00:00:00"/>
    <s v="SO-KS/2604/010257"/>
    <s v="MKS Bali"/>
    <x v="2"/>
    <x v="0"/>
    <x v="2"/>
    <s v="Tepung Crispy Ala Kentucky 1kg/pack"/>
    <n v="10"/>
    <s v="KG"/>
    <n v="10"/>
    <n v="300000.03000000003"/>
    <n v="0"/>
    <s v="Invoice"/>
    <s v="Sudah Jadi FJ"/>
    <s v="INTERNASIONA"/>
  </r>
  <r>
    <d v="2026-04-04T00:00:00"/>
    <s v="SO-KS/2604/010257"/>
    <s v="MKS Bali"/>
    <x v="2"/>
    <x v="0"/>
    <x v="2"/>
    <s v="Tepung Double Zero @25Kg/Sack"/>
    <n v="1"/>
    <s v="SACK"/>
    <n v="1"/>
    <n v="327450"/>
    <n v="0"/>
    <s v="Invoice"/>
    <s v="Sudah Jadi FJ"/>
    <s v="INTERNASIONA"/>
  </r>
  <r>
    <d v="2026-04-04T00:00:00"/>
    <s v="SO-KS/2604/010258"/>
    <s v="MKS Bali"/>
    <x v="2"/>
    <x v="0"/>
    <x v="2"/>
    <s v="Emborg Pizza Topping 2.3 Kg"/>
    <n v="15"/>
    <s v="KG"/>
    <n v="13.8"/>
    <n v="1448999.93"/>
    <n v="-1.2"/>
    <s v="Invoice"/>
    <s v="Sudah Jadi FJ"/>
    <s v="INTERNASIONA"/>
  </r>
  <r>
    <d v="2026-04-04T00:00:00"/>
    <s v="SO-KS/2604/020006"/>
    <s v="MKS Bali"/>
    <x v="3"/>
    <x v="1"/>
    <x v="1"/>
    <s v="Nestle Milo Npro 1.5Kg"/>
    <n v="3"/>
    <s v="PACK"/>
    <n v="3"/>
    <n v="399600"/>
    <n v="0"/>
    <s v="Invoice"/>
    <s v="Sudah Jadi FJ"/>
    <s v=""/>
  </r>
  <r>
    <d v="2026-04-04T00:00:00"/>
    <s v="SO-KS/2604/020012"/>
    <s v="MKS Bali"/>
    <x v="4"/>
    <x v="1"/>
    <x v="3"/>
    <s v="Tepung Double Zero @25Kg/Sack"/>
    <n v="2"/>
    <s v="SACK"/>
    <n v="2"/>
    <n v="654900"/>
    <n v="0"/>
    <s v="Invoice"/>
    <s v="Sudah Jadi FJ"/>
    <s v="di packing pakai plastik.  dikirim ke Rocky Sanur"/>
  </r>
  <r>
    <d v="2026-04-04T00:00:00"/>
    <s v="SO-KS/2604/020014"/>
    <s v="MKS Bali"/>
    <x v="5"/>
    <x v="1"/>
    <x v="4"/>
    <s v="Tepung Double Zero 1kg/pack"/>
    <n v="100"/>
    <s v="KG"/>
    <n v="100"/>
    <n v="1549999.56"/>
    <n v="0"/>
    <s v="Invoice"/>
    <s v="Sudah Jadi FJ"/>
    <s v=""/>
  </r>
  <r>
    <d v="2026-04-04T00:00:00"/>
    <s v="SO-KS/2604/020014"/>
    <s v="MKS Bali"/>
    <x v="5"/>
    <x v="1"/>
    <x v="4"/>
    <s v="Tepung Double Zero @25Kg/Sack"/>
    <n v="5"/>
    <s v="SACK"/>
    <n v="5"/>
    <n v="1400000"/>
    <n v="0"/>
    <s v="Invoice"/>
    <s v="Sudah Jadi FJ"/>
    <s v=""/>
  </r>
  <r>
    <d v="2026-04-04T00:00:00"/>
    <s v="SO-KS/2604/020015"/>
    <s v="MKS Bali"/>
    <x v="6"/>
    <x v="1"/>
    <x v="3"/>
    <s v="Tepung Hime @25Kg/Sack"/>
    <n v="5"/>
    <s v="SACK"/>
    <n v="5"/>
    <n v="1776000"/>
    <n v="0"/>
    <s v="Invoice"/>
    <s v="Sudah Jadi FJ"/>
    <s v=""/>
  </r>
  <r>
    <d v="2026-04-04T00:00:00"/>
    <s v="SO-KS/2604/020017"/>
    <s v="MKS Bali"/>
    <x v="7"/>
    <x v="0"/>
    <x v="5"/>
    <s v="Coffee-Mate NDC Bag in Box 450gr/Pack"/>
    <n v="24"/>
    <s v="PACK"/>
    <n v="24"/>
    <n v="851369.91"/>
    <n v="0"/>
    <s v="Invoice"/>
    <s v="Sudah Jadi FJ"/>
    <s v="Kirim ke Monang maning"/>
  </r>
  <r>
    <d v="2026-04-04T00:00:00"/>
    <s v="SO-KS/2604/020018"/>
    <s v="MKS Bali"/>
    <x v="8"/>
    <x v="0"/>
    <x v="6"/>
    <s v="MAGGI Seasoning @800ml/Btl"/>
    <n v="12"/>
    <s v="BTL"/>
    <n v="3"/>
    <n v="208350.01"/>
    <n v="-9"/>
    <s v="Invoice"/>
    <s v="Sudah Jadi FJ"/>
    <s v=""/>
  </r>
  <r>
    <d v="2026-04-04T00:00:00"/>
    <s v="SO-KS/2604/020021"/>
    <s v="MKS Bali"/>
    <x v="9"/>
    <x v="0"/>
    <x v="7"/>
    <s v="Allana Tenderloin Whole"/>
    <n v="4"/>
    <s v="KG"/>
    <n v="3.3"/>
    <n v="528000"/>
    <n v="-0.7"/>
    <s v="Invoice"/>
    <s v="Sudah Jadi FJ"/>
    <s v="2 loaf"/>
  </r>
  <r>
    <d v="2026-04-04T00:00:00"/>
    <s v="SO-KS/2604/020022"/>
    <s v="MKS Bali"/>
    <x v="10"/>
    <x v="1"/>
    <x v="8"/>
    <s v="Tepung Double Zero @25Kg/Sack"/>
    <n v="3"/>
    <s v="SACK"/>
    <n v="3"/>
    <n v="960000.01"/>
    <n v="0"/>
    <s v="Invoice"/>
    <s v="Sudah Jadi FJ"/>
    <s v=""/>
  </r>
  <r>
    <d v="2026-04-04T00:00:00"/>
    <s v="SO-KS/2604/020023"/>
    <s v="MKS Bali"/>
    <x v="11"/>
    <x v="1"/>
    <x v="0"/>
    <s v="Tepung Ninja @25Kg/Sack"/>
    <n v="1"/>
    <s v="SACK"/>
    <n v="1"/>
    <n v="280000"/>
    <n v="0"/>
    <s v="Invoice"/>
    <s v="Sudah Jadi FJ"/>
    <s v=""/>
  </r>
  <r>
    <d v="2026-04-04T00:00:00"/>
    <s v="SO-KS/2604/020024"/>
    <s v="MKS Bali"/>
    <x v="12"/>
    <x v="0"/>
    <x v="9"/>
    <s v="Tepung 00 Fusion @25Kg"/>
    <n v="10"/>
    <s v="SACK"/>
    <n v="10"/>
    <n v="2879999.99"/>
    <n v="0"/>
    <s v="Invoice"/>
    <s v="Sudah Jadi FJ"/>
    <s v=""/>
  </r>
  <r>
    <d v="2026-04-04T00:00:00"/>
    <s v="SO-KS/2604/020026"/>
    <s v="MKS Bali"/>
    <x v="13"/>
    <x v="1"/>
    <x v="10"/>
    <s v="EQUAL Classic 100 Pcs/Pack"/>
    <n v="1"/>
    <s v="PACK"/>
    <n v="1"/>
    <n v="32000"/>
    <n v="0"/>
    <s v="Invoice"/>
    <s v="Sudah Jadi FJ"/>
    <s v=""/>
  </r>
  <r>
    <d v="2026-04-04T00:00:00"/>
    <s v="SO-KS/2604/020027"/>
    <s v="MKS Bali"/>
    <x v="14"/>
    <x v="1"/>
    <x v="11"/>
    <s v="Tepung Double Zero 1kg/pack"/>
    <n v="40"/>
    <s v="KG"/>
    <n v="40"/>
    <n v="666000"/>
    <n v="0"/>
    <s v="Invoice"/>
    <s v="Sudah Jadi FJ"/>
    <s v=""/>
  </r>
  <r>
    <d v="2026-04-04T00:00:00"/>
    <s v="SO-KS/2604/020028"/>
    <s v="MKS Bali"/>
    <x v="15"/>
    <x v="0"/>
    <x v="12"/>
    <s v="Tepung Double Zero @25Kg/Sack"/>
    <n v="6"/>
    <s v="SACK"/>
    <n v="6"/>
    <n v="1800000"/>
    <n v="0"/>
    <s v="Invoice"/>
    <s v="Sudah Jadi FJ"/>
    <s v=""/>
  </r>
  <r>
    <d v="2026-04-04T00:00:00"/>
    <s v="SO-KS/2604/020029"/>
    <s v="MKS Bali"/>
    <x v="16"/>
    <x v="0"/>
    <x v="13"/>
    <s v="Tepung Hime 1kg/pack"/>
    <n v="20"/>
    <s v="KG"/>
    <n v="20"/>
    <n v="384060"/>
    <n v="0"/>
    <s v="Invoice"/>
    <s v="Sudah Jadi FJ"/>
    <s v=""/>
  </r>
  <r>
    <d v="2026-04-04T00:00:00"/>
    <s v="SO-KS/2604/020029"/>
    <s v="MKS Bali"/>
    <x v="16"/>
    <x v="0"/>
    <x v="13"/>
    <s v="Tepung Double Zero 1kg/pack"/>
    <n v="20"/>
    <s v="KG"/>
    <n v="20"/>
    <n v="372960"/>
    <n v="0"/>
    <s v="Invoice"/>
    <s v="Sudah Jadi FJ"/>
    <s v=""/>
  </r>
  <r>
    <d v="2026-04-04T00:00:00"/>
    <s v="SO-KS/2604/020029"/>
    <s v="MKS Bali"/>
    <x v="16"/>
    <x v="0"/>
    <x v="13"/>
    <s v="Tepung Ninja 1kg/pack"/>
    <n v="20"/>
    <s v="KG"/>
    <n v="20"/>
    <n v="361860"/>
    <n v="0"/>
    <s v="Invoice"/>
    <s v="Sudah Jadi FJ"/>
    <s v=""/>
  </r>
  <r>
    <d v="2026-04-04T00:00:00"/>
    <s v="SO-KS/2604/020029"/>
    <s v="MKS Bali"/>
    <x v="16"/>
    <x v="0"/>
    <x v="13"/>
    <s v="Tepung Easymix Pancake @1kg/pack"/>
    <n v="20"/>
    <s v="KG"/>
    <n v="20"/>
    <n v="854700"/>
    <n v="0"/>
    <s v="Invoice"/>
    <s v="Sudah Jadi FJ"/>
    <s v=""/>
  </r>
  <r>
    <d v="2026-04-04T00:00:00"/>
    <s v="SO-KS/2604/020030"/>
    <s v="MKS Bali"/>
    <x v="17"/>
    <x v="0"/>
    <x v="4"/>
    <s v="Greenfields ESL Fresh Milk Full Cream Milk 1Lt"/>
    <n v="72"/>
    <s v="LTR"/>
    <n v="72"/>
    <n v="1422000"/>
    <n v="0"/>
    <s v="Invoice"/>
    <s v="Sudah Jadi FJ"/>
    <s v=""/>
  </r>
  <r>
    <d v="2026-04-04T00:00:00"/>
    <s v="SO-KS/2604/020031"/>
    <s v="MKS Bali"/>
    <x v="17"/>
    <x v="0"/>
    <x v="4"/>
    <s v="POLARIS Ginger Ale 330 Ml"/>
    <n v="96"/>
    <s v="CAN"/>
    <n v="24"/>
    <n v="131868"/>
    <n v="-72"/>
    <s v="Invoice"/>
    <s v="Sudah Jadi FJ"/>
    <s v=""/>
  </r>
  <r>
    <d v="2026-04-04T00:00:00"/>
    <s v="SO-KS/2604/020034"/>
    <s v="MKS Bali"/>
    <x v="18"/>
    <x v="1"/>
    <x v="5"/>
    <s v="Nescafe Cappuccino Caramel Era 500gr/Pack"/>
    <n v="3"/>
    <s v="PACK"/>
    <n v="3"/>
    <n v="189300"/>
    <n v="0"/>
    <s v="Invoice"/>
    <s v="Sudah Jadi FJ"/>
    <s v=""/>
  </r>
  <r>
    <d v="2026-04-04T00:00:00"/>
    <s v="SO-KS/2604/020034"/>
    <s v="MKS Bali"/>
    <x v="18"/>
    <x v="1"/>
    <x v="5"/>
    <s v="NESTLE Milo Activ-Go NPro 960Gr/Pack"/>
    <n v="3"/>
    <s v="PACK"/>
    <n v="3"/>
    <n v="314999.99"/>
    <n v="0"/>
    <s v="Invoice"/>
    <s v="Sudah Jadi FJ"/>
    <s v=""/>
  </r>
  <r>
    <d v="2026-04-04T00:00:00"/>
    <s v="SO-KS/2604/020034"/>
    <s v="MKS Bali"/>
    <x v="18"/>
    <x v="1"/>
    <x v="5"/>
    <s v="Nescafe Vanilla Latte 640gr/Pack"/>
    <n v="3"/>
    <s v="PACK"/>
    <n v="3"/>
    <n v="261750"/>
    <n v="0"/>
    <s v="Invoice"/>
    <s v="Sudah Jadi FJ"/>
    <s v=""/>
  </r>
  <r>
    <d v="2026-04-04T00:00:00"/>
    <s v="SO-KS/2604/020035"/>
    <s v="MKS Bali"/>
    <x v="19"/>
    <x v="0"/>
    <x v="1"/>
    <s v="Nestea Lemon Tea 1kg/Pack"/>
    <n v="24"/>
    <s v="PACK"/>
    <n v="24"/>
    <n v="1691640"/>
    <n v="0"/>
    <s v="Invoice"/>
    <s v="Sudah Jadi FJ"/>
    <s v=""/>
  </r>
  <r>
    <d v="2026-04-04T00:00:00"/>
    <s v="SO-KS/2604/020035"/>
    <s v="MKS Bali"/>
    <x v="19"/>
    <x v="0"/>
    <x v="1"/>
    <s v="Nestea Lychee Tea Npro 560gr/Pack"/>
    <n v="24"/>
    <s v="PACK"/>
    <n v="24"/>
    <n v="1345320"/>
    <n v="0"/>
    <s v="Invoice"/>
    <s v="Sudah Jadi FJ"/>
    <s v=""/>
  </r>
  <r>
    <d v="2026-04-04T00:00:00"/>
    <s v="SO-KS/2604/020035"/>
    <s v="MKS Bali"/>
    <x v="19"/>
    <x v="0"/>
    <x v="1"/>
    <s v="Nestea Teh Tarik NPro 960gr/Pack"/>
    <n v="16"/>
    <s v="PACK"/>
    <n v="16"/>
    <n v="1900320"/>
    <n v="0"/>
    <s v="Invoice"/>
    <s v="Sudah Jadi FJ"/>
    <s v=""/>
  </r>
  <r>
    <d v="2026-04-04T00:00:00"/>
    <s v="SO-KS/2604/020035"/>
    <s v="MKS Bali"/>
    <x v="19"/>
    <x v="0"/>
    <x v="1"/>
    <s v="NESTLE Milo Activ-Go NPro 960Gr/Pack"/>
    <n v="16"/>
    <s v="PACK"/>
    <n v="16"/>
    <n v="1847040"/>
    <n v="0"/>
    <s v="Invoice"/>
    <s v="Sudah Jadi FJ"/>
    <s v=""/>
  </r>
  <r>
    <d v="2026-04-04T00:00:00"/>
    <s v="SO-KS/2604/020036"/>
    <s v="MKS Bali"/>
    <x v="20"/>
    <x v="0"/>
    <x v="5"/>
    <s v="Nestle Blackcurrant Drink 750gr/Pack"/>
    <n v="1"/>
    <s v="PACK"/>
    <n v="1"/>
    <n v="68100"/>
    <n v="0"/>
    <s v="Invoice"/>
    <s v="Sudah Jadi FJ"/>
    <s v=""/>
  </r>
  <r>
    <d v="2026-04-04T00:00:00"/>
    <s v="SO-KS/2604/020036"/>
    <s v="MKS Bali"/>
    <x v="20"/>
    <x v="0"/>
    <x v="5"/>
    <s v="NESTLE Milo Activ-Go NPro 960Gr/Pack"/>
    <n v="3"/>
    <s v="PACK"/>
    <n v="3"/>
    <n v="314999.99"/>
    <n v="0"/>
    <s v="Invoice"/>
    <s v="Sudah Jadi FJ"/>
    <s v=""/>
  </r>
  <r>
    <d v="2026-04-04T00:00:00"/>
    <s v="SO-KS/2604/020037"/>
    <s v="MKS Bali"/>
    <x v="21"/>
    <x v="0"/>
    <x v="1"/>
    <s v="Coffee-Mate NDC Bag in Box 450gr/Pack"/>
    <n v="10"/>
    <s v="PACK"/>
    <n v="10"/>
    <n v="322033.76"/>
    <n v="0"/>
    <s v="Invoice"/>
    <s v="Sudah Jadi FJ"/>
    <s v=""/>
  </r>
  <r>
    <d v="2026-04-04T00:00:00"/>
    <s v="SO-KS/2604/020037"/>
    <s v="MKS Bali"/>
    <x v="21"/>
    <x v="0"/>
    <x v="1"/>
    <s v="Nestea Lemon Tea 1kg/Pack"/>
    <n v="2"/>
    <s v="PACK"/>
    <n v="2"/>
    <n v="128400"/>
    <n v="0"/>
    <s v="Invoice"/>
    <s v="Sudah Jadi FJ"/>
    <s v=""/>
  </r>
  <r>
    <d v="2026-04-04T00:00:00"/>
    <s v="SO-KS/2604/020038"/>
    <s v="MKS Bali"/>
    <x v="22"/>
    <x v="0"/>
    <x v="14"/>
    <s v="NESTLE Milo Activ-Go NPro 960Gr/Pack"/>
    <n v="16"/>
    <s v="PACK"/>
    <n v="16"/>
    <n v="1583999.99"/>
    <n v="0"/>
    <s v="Invoice"/>
    <s v="Sudah Jadi FJ"/>
    <s v=""/>
  </r>
  <r>
    <d v="2026-04-04T00:00:00"/>
    <s v="SO-KS/2604/020039"/>
    <s v="MKS Bali"/>
    <x v="23"/>
    <x v="1"/>
    <x v="10"/>
    <s v="Tepung Double Zero @25Kg/Sack"/>
    <n v="1"/>
    <s v="SACK"/>
    <n v="1"/>
    <n v="327450"/>
    <n v="0"/>
    <s v="Invoice"/>
    <s v="Sudah Jadi FJ"/>
    <s v=""/>
  </r>
  <r>
    <d v="2026-04-04T00:00:00"/>
    <s v="SO-KS/2604/020040"/>
    <s v="MKS Bali"/>
    <x v="24"/>
    <x v="0"/>
    <x v="3"/>
    <s v="Tepung Double Zero @25Kg/Sack"/>
    <n v="1"/>
    <s v="SACK"/>
    <n v="1"/>
    <n v="327450"/>
    <n v="0"/>
    <s v="Invoice"/>
    <s v="Sudah Jadi FJ"/>
    <s v=""/>
  </r>
  <r>
    <d v="2026-04-04T00:00:00"/>
    <s v="SO-KS/2604/020041"/>
    <s v="MKS Bali"/>
    <x v="25"/>
    <x v="0"/>
    <x v="3"/>
    <s v="Tepung 00 Fusion @25Kg"/>
    <n v="20"/>
    <s v="SACK"/>
    <n v="20"/>
    <n v="5369999.9800000004"/>
    <n v="0"/>
    <s v="Invoice"/>
    <s v="Sudah Jadi FJ"/>
    <s v=""/>
  </r>
  <r>
    <d v="2026-04-04T00:00:00"/>
    <s v="SO-KS/2604/020042"/>
    <s v="MKS Bali"/>
    <x v="26"/>
    <x v="0"/>
    <x v="13"/>
    <s v="Tepung Japanese Tempura 1kg/pack"/>
    <n v="20"/>
    <s v="KG"/>
    <n v="20"/>
    <n v="711421.2"/>
    <n v="0"/>
    <s v="Invoice"/>
    <s v="Sudah Jadi FJ"/>
    <s v=""/>
  </r>
  <r>
    <d v="2026-04-04T00:00:00"/>
    <s v="SO-KS/2604/020042"/>
    <s v="MKS Bali"/>
    <x v="26"/>
    <x v="0"/>
    <x v="13"/>
    <s v="Tepung Crispy Ala Kentucky 1kg/pack"/>
    <n v="10"/>
    <s v="KG"/>
    <n v="10"/>
    <n v="320901"/>
    <n v="0"/>
    <s v="Invoice"/>
    <s v="Sudah Jadi FJ"/>
    <s v=""/>
  </r>
  <r>
    <d v="2026-04-04T00:00:00"/>
    <s v="SO-KS/2604/020042"/>
    <s v="MKS Bali"/>
    <x v="26"/>
    <x v="0"/>
    <x v="13"/>
    <s v="Tepung Hime 1kg/pack"/>
    <n v="20"/>
    <s v="KG"/>
    <n v="20"/>
    <n v="376378.8"/>
    <n v="0"/>
    <s v="Invoice"/>
    <s v="Sudah Jadi FJ"/>
    <s v=""/>
  </r>
  <r>
    <d v="2026-04-04T00:00:00"/>
    <s v="SO-KS/2604/020043"/>
    <s v="MKS Bali"/>
    <x v="27"/>
    <x v="0"/>
    <x v="0"/>
    <s v="Tepung Hime @25Kg/Sack"/>
    <n v="2"/>
    <s v="SACK"/>
    <n v="2"/>
    <n v="620000"/>
    <n v="0"/>
    <s v="Invoice"/>
    <s v="Sudah Jadi FJ"/>
    <s v="di kirim sabtu pagi"/>
  </r>
  <r>
    <d v="2026-04-04T00:00:00"/>
    <s v="SO-KS/2604/020043"/>
    <s v="MKS Bali"/>
    <x v="27"/>
    <x v="0"/>
    <x v="0"/>
    <s v="Tepung Ninja @25Kg/Sack"/>
    <n v="1"/>
    <s v="SACK"/>
    <n v="1"/>
    <n v="285000.01"/>
    <n v="0"/>
    <s v="Invoice"/>
    <s v="Sudah Jadi FJ"/>
    <s v="di kirim sabtu pagi"/>
  </r>
  <r>
    <d v="2026-04-04T00:00:00"/>
    <s v="SO-KS/2604/020044"/>
    <s v="MKS Bali"/>
    <x v="28"/>
    <x v="1"/>
    <x v="2"/>
    <s v="Tepung 00 Fusion @25Kg"/>
    <n v="2"/>
    <s v="SACK"/>
    <n v="2"/>
    <n v="540000"/>
    <n v="0"/>
    <s v="Invoice"/>
    <s v="Sudah Jadi FJ"/>
    <s v=""/>
  </r>
  <r>
    <d v="2026-04-04T00:00:00"/>
    <s v="SO-KS/2604/020045"/>
    <s v="MKS Bali"/>
    <x v="29"/>
    <x v="0"/>
    <x v="2"/>
    <s v="THE ALTERNATIVE Barista Oat Milk 1 Lt"/>
    <n v="48"/>
    <s v="PCS"/>
    <n v="48"/>
    <n v="2237760"/>
    <n v="0"/>
    <s v="Invoice"/>
    <s v="Sudah Jadi FJ"/>
    <s v=""/>
  </r>
  <r>
    <d v="2026-04-04T00:00:00"/>
    <s v="SO-KS/2604/020046"/>
    <s v="MKS Bali"/>
    <x v="30"/>
    <x v="1"/>
    <x v="9"/>
    <s v="Tepung Double Zero @25Kg/Sack"/>
    <n v="3"/>
    <s v="SACK"/>
    <n v="3"/>
    <n v="930000"/>
    <n v="0"/>
    <s v="Invoice"/>
    <s v="Sudah Jadi FJ"/>
    <s v="di kirim ke bakso mukbang."/>
  </r>
  <r>
    <d v="2026-04-04T00:00:00"/>
    <s v="SO-KS/2604/020047"/>
    <s v="MKS Bali"/>
    <x v="2"/>
    <x v="0"/>
    <x v="2"/>
    <s v="Tepung Crispy Ala Kentucky 1kg/pack"/>
    <n v="3"/>
    <s v="KG"/>
    <n v="3"/>
    <n v="90000.01"/>
    <n v="0"/>
    <s v="Invoice"/>
    <s v="Sudah Jadi FJ"/>
    <s v="DOMESTIK"/>
  </r>
  <r>
    <d v="2026-04-04T00:00:00"/>
    <s v="SO-KS/2604/020048"/>
    <s v="MKS Bali"/>
    <x v="31"/>
    <x v="0"/>
    <x v="2"/>
    <s v="Borello Topside"/>
    <n v="2"/>
    <s v="KG"/>
    <n v="5.44"/>
    <n v="788800"/>
    <n v="3.44"/>
    <s v="Invoice"/>
    <s v="Sudah Jadi FJ"/>
    <s v="1 loaf"/>
  </r>
  <r>
    <d v="2026-04-04T00:00:00"/>
    <s v="SO-KS/2604/020050"/>
    <s v="MKS Bali"/>
    <x v="32"/>
    <x v="0"/>
    <x v="3"/>
    <s v="Tepung Double Zero @25Kg/Sack"/>
    <n v="20"/>
    <s v="SACK"/>
    <n v="20"/>
    <n v="5999999.9900000002"/>
    <n v="0"/>
    <s v="Invoice"/>
    <s v="Sudah Jadi FJ"/>
    <s v=""/>
  </r>
  <r>
    <d v="2026-04-04T00:00:00"/>
    <s v="SO-KS/2604/020051"/>
    <s v="MKS Bali"/>
    <x v="22"/>
    <x v="0"/>
    <x v="14"/>
    <s v="NESTLE Milo Activ-Go NPro 960Gr/Pack"/>
    <n v="16"/>
    <s v="PACK"/>
    <n v="16"/>
    <n v="1583999.99"/>
    <n v="0"/>
    <s v="Invoice"/>
    <s v="Sudah Jadi FJ"/>
    <s v=""/>
  </r>
  <r>
    <d v="2026-04-04T00:00:00"/>
    <s v="SO-KS/2604/020052"/>
    <s v="MKS Bali"/>
    <x v="33"/>
    <x v="0"/>
    <x v="10"/>
    <s v="Emborg Pizza Topping 2.3 Kg"/>
    <n v="50"/>
    <s v="KG"/>
    <n v="50.6"/>
    <n v="5059999.99"/>
    <n v="0.6"/>
    <s v="Invoice"/>
    <s v="Sudah Jadi FJ"/>
    <s v="PO kitchen fbc"/>
  </r>
  <r>
    <d v="2026-04-04T00:00:00"/>
    <s v="SO-KS/2604/020053"/>
    <s v="MKS Bali"/>
    <x v="34"/>
    <x v="0"/>
    <x v="15"/>
    <s v="NESTLE MILO -E Uht Cmbk 110 Ml"/>
    <n v="36"/>
    <s v="PCS"/>
    <n v="36"/>
    <n v="104399.97"/>
    <n v="0"/>
    <s v="Invoice"/>
    <s v="Sudah Jadi FJ"/>
    <s v=""/>
  </r>
  <r>
    <d v="2026-04-04T00:00:00"/>
    <s v="SO-KS/2604/020054"/>
    <s v="MKS Bali"/>
    <x v="34"/>
    <x v="0"/>
    <x v="16"/>
    <s v="NESTLE Milo Activ-Go NPro 960Gr/Pack"/>
    <n v="16"/>
    <s v="PACK"/>
    <n v="16"/>
    <n v="1583999.99"/>
    <n v="0"/>
    <s v="Invoice"/>
    <s v="Sudah Jadi FJ"/>
    <s v=""/>
  </r>
  <r>
    <d v="2026-04-04T00:00:00"/>
    <s v="SO-KS/2604/020055"/>
    <s v="MKS Bali"/>
    <x v="35"/>
    <x v="1"/>
    <x v="8"/>
    <s v="Block Red Cheddar Mix Cheese 5x2kg"/>
    <n v="4"/>
    <s v="KG"/>
    <n v="4.3099999999999996"/>
    <n v="646500.02"/>
    <n v="0.31"/>
    <s v="Invoice"/>
    <s v="Sudah Jadi FJ"/>
    <s v="2 blok"/>
  </r>
  <r>
    <d v="2026-04-04T00:00:00"/>
    <s v="SO-KS/2604/020056"/>
    <s v="MKS Bali"/>
    <x v="36"/>
    <x v="1"/>
    <x v="5"/>
    <s v="Nestle Orange Pouch NP 560gr/Pack"/>
    <n v="36"/>
    <s v="PACK"/>
    <n v="36"/>
    <n v="1947600.05"/>
    <n v="0"/>
    <s v="Invoice"/>
    <s v="Sudah Jadi FJ"/>
    <s v=""/>
  </r>
  <r>
    <d v="2026-04-04T00:00:00"/>
    <s v="SO-KS/2604/020056"/>
    <s v="MKS Bali"/>
    <x v="36"/>
    <x v="1"/>
    <x v="5"/>
    <s v="Nestea Lemon Tea 1kg/Pack"/>
    <n v="12"/>
    <s v="PACK"/>
    <n v="12"/>
    <n v="770400.03"/>
    <n v="0"/>
    <s v="Invoice"/>
    <s v="Sudah Jadi FJ"/>
    <s v=""/>
  </r>
  <r>
    <d v="2026-04-04T00:00:00"/>
    <s v="SO-KS/2604/020057"/>
    <s v="MKS Bali"/>
    <x v="37"/>
    <x v="0"/>
    <x v="10"/>
    <s v="Tepung Double Zero @25Kg/Sack"/>
    <n v="1"/>
    <s v="SACK"/>
    <n v="1"/>
    <n v="300000"/>
    <n v="0"/>
    <s v="Invoice"/>
    <s v="Sudah Jadi FJ"/>
    <s v=""/>
  </r>
  <r>
    <d v="2026-04-04T00:00:00"/>
    <s v="SO-KS/2604/020057"/>
    <s v="MKS Bali"/>
    <x v="37"/>
    <x v="0"/>
    <x v="10"/>
    <s v="Inofa Heat Treated Wheat Flour SF 346 @25kg/sack"/>
    <n v="1"/>
    <s v="SACK"/>
    <n v="1"/>
    <n v="565000"/>
    <n v="0"/>
    <s v="Invoice"/>
    <s v="Sudah Jadi FJ"/>
    <s v=""/>
  </r>
  <r>
    <d v="2026-04-04T00:00:00"/>
    <s v="SO-KS/2604/020060"/>
    <s v="MKS Bali"/>
    <x v="38"/>
    <x v="0"/>
    <x v="15"/>
    <s v="NESTLE MILO -E Uht Cmbk 110 Ml"/>
    <n v="108"/>
    <s v="PCS"/>
    <n v="108"/>
    <n v="313199.93"/>
    <n v="0"/>
    <s v="Invoice"/>
    <s v="Sudah Jadi FJ"/>
    <s v=""/>
  </r>
  <r>
    <d v="2026-04-04T00:00:00"/>
    <s v="SO-KS/2604/020061"/>
    <s v="MKS Bali"/>
    <x v="39"/>
    <x v="0"/>
    <x v="12"/>
    <s v="Borello Rump"/>
    <n v="60"/>
    <s v="KG"/>
    <n v="61.899900000000002"/>
    <n v="8851700"/>
    <n v="1.8998999999999999"/>
    <s v="Invoice"/>
    <s v="Sudah Jadi FJ"/>
    <s v=""/>
  </r>
  <r>
    <d v="2026-04-04T00:00:00"/>
    <s v="SO-KS/2604/020062"/>
    <s v="MKS Bali"/>
    <x v="40"/>
    <x v="0"/>
    <x v="2"/>
    <s v="Tepung Double Zero @25Kg/Sack"/>
    <n v="3"/>
    <s v="SACK"/>
    <n v="3"/>
    <n v="982350"/>
    <n v="0"/>
    <s v="Invoice"/>
    <s v="Sudah Jadi FJ"/>
    <s v=""/>
  </r>
  <r>
    <d v="2026-04-04T00:00:00"/>
    <s v="SO-KS/2604/020063"/>
    <s v="MKS Bali"/>
    <x v="41"/>
    <x v="0"/>
    <x v="4"/>
    <s v="Tepung Easymix Fish n Chips 1kg/pack"/>
    <n v="10"/>
    <s v="KG"/>
    <n v="10"/>
    <n v="372960"/>
    <n v="0"/>
    <s v="Invoice"/>
    <s v="Sudah Jadi FJ"/>
    <s v=""/>
  </r>
  <r>
    <d v="2026-04-04T00:00:00"/>
    <s v="SO-KS/2604/020064"/>
    <s v="MKS Bali"/>
    <x v="42"/>
    <x v="1"/>
    <x v="10"/>
    <s v="Tepung Hime @25Kg/Sack"/>
    <n v="3"/>
    <s v="SACK"/>
    <n v="3"/>
    <n v="959999.99"/>
    <n v="0"/>
    <s v="Invoice"/>
    <s v="Sudah Jadi FJ"/>
    <s v=""/>
  </r>
  <r>
    <d v="2026-04-04T00:00:00"/>
    <s v="SO-KS/2604/020064"/>
    <s v="MKS Bali"/>
    <x v="42"/>
    <x v="1"/>
    <x v="10"/>
    <s v="Tepung Double Zero @25Kg/Sack"/>
    <n v="4"/>
    <s v="SACK"/>
    <n v="4"/>
    <n v="1160000"/>
    <n v="0"/>
    <s v="Invoice"/>
    <s v="Sudah Jadi FJ"/>
    <s v=""/>
  </r>
  <r>
    <d v="2026-04-04T00:00:00"/>
    <s v="SO-KS/2604/020065"/>
    <s v="MKS Bali"/>
    <x v="43"/>
    <x v="0"/>
    <x v="2"/>
    <s v="Amron Striploin Whole"/>
    <n v="6"/>
    <s v="KG"/>
    <n v="5.31"/>
    <n v="637200"/>
    <n v="-0.69"/>
    <s v="Invoice"/>
    <s v="Sudah Jadi FJ"/>
    <s v=""/>
  </r>
  <r>
    <d v="2026-04-04T00:00:00"/>
    <s v="SO-KS/2604/020068"/>
    <s v="MKS Bali"/>
    <x v="44"/>
    <x v="0"/>
    <x v="17"/>
    <s v="Tepung Double Zero 1kg/pack"/>
    <n v="5"/>
    <s v="KG"/>
    <n v="5"/>
    <n v="83250"/>
    <n v="0"/>
    <s v="Invoice"/>
    <s v="Sudah Jadi FJ"/>
    <s v=""/>
  </r>
  <r>
    <d v="2026-04-04T00:00:00"/>
    <s v="SO-KS/2604/020069"/>
    <s v="MKS Bali"/>
    <x v="45"/>
    <x v="0"/>
    <x v="11"/>
    <s v="THE ALTERNATIVE Barista Soy Milk 1 Lt"/>
    <n v="12"/>
    <s v="PCS"/>
    <n v="12"/>
    <n v="461538"/>
    <n v="0"/>
    <s v="Invoice"/>
    <s v="Sudah Jadi FJ"/>
    <s v="BAR CRETYA"/>
  </r>
  <r>
    <d v="2026-04-04T00:00:00"/>
    <s v="SO-KS/2604/020069"/>
    <s v="MKS Bali"/>
    <x v="45"/>
    <x v="0"/>
    <x v="11"/>
    <s v="THE ALTERNATIVE Barista Oat Milk 1 Lt"/>
    <n v="12"/>
    <s v="PCS"/>
    <n v="12"/>
    <n v="559440"/>
    <n v="0"/>
    <s v="Invoice"/>
    <s v="Sudah Jadi FJ"/>
    <s v="BAR CRETYA"/>
  </r>
  <r>
    <d v="2026-04-04T00:00:00"/>
    <s v="SO-KS/2604/020069"/>
    <s v="MKS Bali"/>
    <x v="45"/>
    <x v="0"/>
    <x v="11"/>
    <s v="THE ALTERNATIVE Barista Almond Milk 1 Lt"/>
    <n v="6"/>
    <s v="PCS"/>
    <n v="6"/>
    <n v="279720"/>
    <n v="0"/>
    <s v="Invoice"/>
    <s v="Sudah Jadi FJ"/>
    <s v="BAR CRETYA"/>
  </r>
  <r>
    <d v="2026-04-04T00:00:00"/>
    <s v="SO-KS/2604/020070"/>
    <s v="MKS Bali"/>
    <x v="45"/>
    <x v="0"/>
    <x v="11"/>
    <s v="THE ALTERNATIVE Barista Oat Milk 1 Lt"/>
    <n v="12"/>
    <s v="PCS"/>
    <n v="12"/>
    <n v="559440"/>
    <n v="0"/>
    <s v="Invoice"/>
    <s v="Sudah Jadi FJ"/>
    <s v="BAR COFFEE"/>
  </r>
  <r>
    <d v="2026-04-04T00:00:00"/>
    <s v="SO-KS/2604/020071"/>
    <s v="MKS Bali"/>
    <x v="46"/>
    <x v="0"/>
    <x v="3"/>
    <s v="DP Mozzarella 2.5Kg"/>
    <n v="15"/>
    <s v="KG"/>
    <n v="15"/>
    <n v="1904999.93"/>
    <n v="0"/>
    <s v="Invoice"/>
    <s v="Sudah Jadi FJ"/>
    <s v=""/>
  </r>
  <r>
    <d v="2026-04-04T00:00:00"/>
    <s v="SO-KS/2604/020072"/>
    <s v="MKS Bali"/>
    <x v="47"/>
    <x v="0"/>
    <x v="3"/>
    <s v="Tepung Hime @25Kg/Sack"/>
    <n v="6"/>
    <s v="SACK"/>
    <n v="6"/>
    <n v="1741590"/>
    <n v="0"/>
    <s v="Invoice"/>
    <s v="Sudah Jadi FJ"/>
    <s v=""/>
  </r>
  <r>
    <d v="2026-04-04T00:00:00"/>
    <s v="SO-KS/2604/020073"/>
    <s v="MKS Bali"/>
    <x v="47"/>
    <x v="0"/>
    <x v="3"/>
    <s v="DP Mozzarella 2.5Kg"/>
    <n v="5"/>
    <s v="KG"/>
    <n v="5"/>
    <n v="634999.98"/>
    <n v="0"/>
    <s v="Invoice"/>
    <s v="Sudah Jadi FJ"/>
    <s v=""/>
  </r>
  <r>
    <d v="2026-04-04T00:00:00"/>
    <s v="SO-KS/2604/020074"/>
    <s v="MKS Bali"/>
    <x v="48"/>
    <x v="0"/>
    <x v="0"/>
    <s v="Tepung Double Zero 1kg/pack"/>
    <n v="20"/>
    <s v="KG"/>
    <n v="20"/>
    <n v="333000"/>
    <n v="0"/>
    <s v="Invoice"/>
    <s v="Sudah Jadi FJ"/>
    <s v=""/>
  </r>
  <r>
    <d v="2026-04-04T00:00:00"/>
    <s v="SO-KS/2604/020076"/>
    <s v="MKS Bali"/>
    <x v="49"/>
    <x v="0"/>
    <x v="0"/>
    <s v="Tepung Double Zero @25Kg/Sack"/>
    <n v="7"/>
    <s v="SACK"/>
    <n v="7"/>
    <n v="2204999.9900000002"/>
    <n v="0"/>
    <s v="Invoice"/>
    <s v="Sudah Jadi FJ"/>
    <s v=""/>
  </r>
  <r>
    <d v="2026-04-04T00:00:00"/>
    <s v="SO-KS/2604/020077"/>
    <s v="MKS Bali"/>
    <x v="50"/>
    <x v="0"/>
    <x v="15"/>
    <s v="NESTLE MILO -E Uht Cmbk 110 Ml"/>
    <n v="36"/>
    <s v="PCS"/>
    <n v="36"/>
    <n v="104399.97"/>
    <n v="0"/>
    <s v="Invoice"/>
    <s v="Sudah Jadi FJ"/>
    <s v=""/>
  </r>
  <r>
    <d v="2026-04-04T00:00:00"/>
    <s v="SO-KS/2604/020078"/>
    <s v="MKS Bali"/>
    <x v="50"/>
    <x v="0"/>
    <x v="14"/>
    <s v="Nescafe Cappuccino Caramel Era 500gr/Pack"/>
    <n v="30"/>
    <s v="PACK"/>
    <n v="30"/>
    <n v="1644260"/>
    <n v="0"/>
    <s v="Invoice"/>
    <s v="Sudah Jadi FJ"/>
    <s v=""/>
  </r>
  <r>
    <d v="2026-04-04T00:00:00"/>
    <s v="SO-KS/2604/020078"/>
    <s v="MKS Bali"/>
    <x v="50"/>
    <x v="0"/>
    <x v="14"/>
    <s v="NESTLE Milo Activ-Go NPro 960Gr/Pack"/>
    <n v="16"/>
    <s v="PACK"/>
    <n v="16"/>
    <n v="1583999.99"/>
    <n v="0"/>
    <s v="Invoice"/>
    <s v="Sudah Jadi FJ"/>
    <s v=""/>
  </r>
  <r>
    <d v="2026-04-04T00:00:00"/>
    <s v="SO-KS/2604/020079"/>
    <s v="MKS Bali"/>
    <x v="51"/>
    <x v="0"/>
    <x v="1"/>
    <s v="NESTLE Milo Activ-Go NPro 960Gr/Pack"/>
    <n v="16"/>
    <s v="PACK"/>
    <n v="16"/>
    <n v="1583999.99"/>
    <n v="0"/>
    <s v="Invoice"/>
    <s v="Sudah Jadi FJ"/>
    <s v=""/>
  </r>
  <r>
    <d v="2026-04-04T00:00:00"/>
    <s v="SO-KS/2604/020080"/>
    <s v="MKS Bali"/>
    <x v="51"/>
    <x v="0"/>
    <x v="15"/>
    <s v="NESTLE MILO -E Uht Cmbk 110 Ml"/>
    <n v="144"/>
    <s v="PCS"/>
    <n v="144"/>
    <n v="417599.9"/>
    <n v="0"/>
    <s v="Invoice"/>
    <s v="Sudah Jadi FJ"/>
    <s v=""/>
  </r>
  <r>
    <d v="2026-04-04T00:00:00"/>
    <s v="SO-KS/2604/020081"/>
    <s v="MKS Bali"/>
    <x v="52"/>
    <x v="1"/>
    <x v="4"/>
    <s v="THE ALTERNATIVE Barista Almond Milk 1 Lt"/>
    <n v="12"/>
    <s v="PCS"/>
    <n v="12"/>
    <n v="559440"/>
    <n v="0"/>
    <s v="Invoice"/>
    <s v="Sudah Jadi FJ"/>
    <s v="2 lup"/>
  </r>
  <r>
    <d v="2026-04-04T00:00:00"/>
    <s v="SO-KS/2604/020081"/>
    <s v="MKS Bali"/>
    <x v="52"/>
    <x v="1"/>
    <x v="4"/>
    <s v="THE ALTERNATIVE Barista Soy Milk 1 Lt"/>
    <n v="6"/>
    <s v="PCS"/>
    <n v="6"/>
    <n v="230769"/>
    <n v="0"/>
    <s v="Invoice"/>
    <s v="Sudah Jadi FJ"/>
    <s v="2 lup"/>
  </r>
  <r>
    <d v="2026-04-04T00:00:00"/>
    <s v="SO-KS/2604/020082"/>
    <s v="MKS Bali"/>
    <x v="52"/>
    <x v="1"/>
    <x v="4"/>
    <s v="Block Red Cheddar Mix Cheese 5x2kg"/>
    <n v="4"/>
    <s v="KG"/>
    <n v="4.0999999999999996"/>
    <n v="615000.02"/>
    <n v="0.1"/>
    <s v="Invoice"/>
    <s v="Sudah Jadi FJ"/>
    <s v="2 lup"/>
  </r>
  <r>
    <d v="2026-04-04T00:00:00"/>
    <s v="SO-KS/2604/020082"/>
    <s v="MKS Bali"/>
    <x v="52"/>
    <x v="1"/>
    <x v="4"/>
    <s v="MOZZARIA Mozzarella 200 Gr"/>
    <n v="20"/>
    <s v="PACK"/>
    <n v="20"/>
    <n v="559999.99"/>
    <n v="0"/>
    <s v="Invoice"/>
    <s v="Sudah Jadi FJ"/>
    <s v="2 lup"/>
  </r>
  <r>
    <d v="2026-04-04T00:00:00"/>
    <s v="SO-KS/2604/020083"/>
    <s v="MKS Bali"/>
    <x v="53"/>
    <x v="0"/>
    <x v="11"/>
    <s v="Tepung Double Zero @25Kg/Sack"/>
    <n v="3"/>
    <s v="SACK"/>
    <n v="3"/>
    <n v="945000"/>
    <n v="0"/>
    <s v="Invoice"/>
    <s v="Sudah Jadi FJ"/>
    <s v=""/>
  </r>
  <r>
    <d v="2026-04-04T00:00:00"/>
    <s v="SO-KS/2604/020084"/>
    <s v="MKS Bali"/>
    <x v="54"/>
    <x v="0"/>
    <x v="6"/>
    <s v="NESTLE Milo Activ-Go NPro 960Gr/Pack"/>
    <n v="16"/>
    <s v="PACK"/>
    <n v="16"/>
    <n v="1679999.99"/>
    <n v="0"/>
    <s v="Invoice"/>
    <s v="Sudah Jadi FJ"/>
    <s v=""/>
  </r>
  <r>
    <d v="2026-04-04T00:00:00"/>
    <s v="SO-KS/2604/020085"/>
    <s v="MKS Bali"/>
    <x v="55"/>
    <x v="0"/>
    <x v="12"/>
    <s v="Aus Chuck Tender Whole"/>
    <n v="3"/>
    <s v="KG"/>
    <n v="2.19"/>
    <n v="289080"/>
    <n v="-0.81"/>
    <s v="Invoice"/>
    <s v="Sudah Jadi FJ"/>
    <s v=""/>
  </r>
  <r>
    <d v="2026-04-04T00:00:00"/>
    <s v="SO-KS/2604/020087"/>
    <s v="MKS Bali"/>
    <x v="33"/>
    <x v="0"/>
    <x v="10"/>
    <s v="Emborg Pizza Topping 2.3 Kg"/>
    <n v="60"/>
    <s v="KG"/>
    <n v="59.799900000000001"/>
    <n v="5979999.9900000002"/>
    <n v="-0.2001"/>
    <s v="Invoice"/>
    <s v="Sudah Jadi FJ"/>
    <s v="PO kitchen asian"/>
  </r>
  <r>
    <d v="2026-04-04T00:00:00"/>
    <s v="SO-KS/2604/020088"/>
    <s v="MKS Bali"/>
    <x v="56"/>
    <x v="0"/>
    <x v="9"/>
    <s v="Emborg Pizza Topping 2.3 Kg"/>
    <n v="36.799900000000001"/>
    <s v="KG"/>
    <n v="36.799900000000001"/>
    <n v="4014541.44"/>
    <n v="0"/>
    <s v="Invoice"/>
    <s v="Sudah Jadi FJ"/>
    <s v=""/>
  </r>
  <r>
    <d v="2026-04-04T00:00:00"/>
    <s v="SO-KS/2604/020089"/>
    <s v="MKS Bali"/>
    <x v="57"/>
    <x v="0"/>
    <x v="10"/>
    <s v="Tepung 00 Fusion @25Kg"/>
    <n v="7"/>
    <s v="SACK"/>
    <n v="7"/>
    <n v="2030000"/>
    <n v="0"/>
    <s v="Invoice"/>
    <s v="Sudah Jadi FJ"/>
    <s v=""/>
  </r>
  <r>
    <d v="2026-04-04T00:00:00"/>
    <s v="SO-KS/2604/020090"/>
    <s v="MKS Bali"/>
    <x v="58"/>
    <x v="0"/>
    <x v="12"/>
    <s v="Tepung Ninja @25Kg/Sack"/>
    <n v="2"/>
    <s v="SACK"/>
    <n v="2"/>
    <n v="580000"/>
    <n v="0"/>
    <s v="Invoice"/>
    <s v="Sudah Jadi FJ"/>
    <s v=""/>
  </r>
  <r>
    <d v="2026-04-04T00:00:00"/>
    <s v="SO-KS/2604/020090"/>
    <s v="MKS Bali"/>
    <x v="58"/>
    <x v="0"/>
    <x v="12"/>
    <s v="Tepung Double Zero @25Kg/Sack"/>
    <n v="1"/>
    <s v="SACK"/>
    <n v="1"/>
    <n v="300000"/>
    <n v="0"/>
    <s v="Invoice"/>
    <s v="Sudah Jadi FJ"/>
    <s v=""/>
  </r>
  <r>
    <d v="2026-04-04T00:00:00"/>
    <s v="SO-KS/2604/020090"/>
    <s v="MKS Bali"/>
    <x v="58"/>
    <x v="0"/>
    <x v="12"/>
    <s v="Tepung Hime @25Kg/Sack"/>
    <n v="4"/>
    <s v="SACK"/>
    <n v="4"/>
    <n v="1220000"/>
    <n v="0"/>
    <s v="Invoice"/>
    <s v="Sudah Jadi FJ"/>
    <s v=""/>
  </r>
  <r>
    <d v="2026-04-04T00:00:00"/>
    <s v="SO-KS/2604/020092"/>
    <s v="MKS Bali"/>
    <x v="59"/>
    <x v="0"/>
    <x v="1"/>
    <s v="Nestea Lemon Tea 1kg/Pack"/>
    <n v="36"/>
    <s v="PACK"/>
    <n v="36"/>
    <n v="2311200.09"/>
    <n v="0"/>
    <s v="Invoice"/>
    <s v="Sudah Jadi FJ"/>
    <s v=""/>
  </r>
  <r>
    <d v="2026-04-04T00:00:00"/>
    <s v="SO-KS/2604/020093"/>
    <s v="MKS Bali"/>
    <x v="59"/>
    <x v="0"/>
    <x v="1"/>
    <s v="Nestea Lychee Tea Npro 560gr/Pack"/>
    <n v="36"/>
    <s v="PACK"/>
    <n v="36"/>
    <n v="1839600.16"/>
    <n v="0"/>
    <s v="Invoice"/>
    <s v="Sudah Jadi FJ"/>
    <s v=""/>
  </r>
  <r>
    <d v="2026-04-04T00:00:00"/>
    <s v="SO-KS/2604/020094"/>
    <s v="MKS Bali"/>
    <x v="60"/>
    <x v="1"/>
    <x v="4"/>
    <s v="Pickled Gherkins (2kg/pack)"/>
    <n v="1"/>
    <s v="PACK"/>
    <n v="1"/>
    <n v="100000"/>
    <n v="0"/>
    <s v="Invoice"/>
    <s v="Sudah Jadi FJ"/>
    <s v="1 lup red chedar. emborg mozarella 2 lup"/>
  </r>
  <r>
    <d v="2026-04-04T00:00:00"/>
    <s v="SO-KS/2604/020095"/>
    <s v="MKS Bali"/>
    <x v="60"/>
    <x v="1"/>
    <x v="4"/>
    <s v="THE ALTERNATIVE Barista Soy Milk 1 Lt"/>
    <n v="3"/>
    <s v="PCS"/>
    <n v="3"/>
    <n v="115384.5"/>
    <n v="0"/>
    <s v="Invoice"/>
    <s v="Sudah Jadi FJ"/>
    <s v="1 lup red chedar. emborg mozarella 2 lup"/>
  </r>
  <r>
    <d v="2026-04-04T00:00:00"/>
    <s v="SO-KS/2604/020095"/>
    <s v="MKS Bali"/>
    <x v="60"/>
    <x v="1"/>
    <x v="4"/>
    <s v="THE ALTERNATIVE Barista Almond Milk 1 Lt"/>
    <n v="6"/>
    <s v="PCS"/>
    <n v="6"/>
    <n v="279720"/>
    <n v="0"/>
    <s v="Invoice"/>
    <s v="Sudah Jadi FJ"/>
    <s v="1 lup red chedar. emborg mozarella 2 lup"/>
  </r>
  <r>
    <d v="2026-04-04T00:00:00"/>
    <s v="SO-KS/2604/020095"/>
    <s v="MKS Bali"/>
    <x v="60"/>
    <x v="1"/>
    <x v="4"/>
    <s v="Tepung Ninja 1kg/pack"/>
    <n v="6"/>
    <s v="KG"/>
    <n v="6"/>
    <n v="96570"/>
    <n v="0"/>
    <s v="Invoice"/>
    <s v="Sudah Jadi FJ"/>
    <s v="1 lup red chedar. emborg mozarella 2 lup"/>
  </r>
  <r>
    <d v="2026-04-04T00:00:00"/>
    <s v="SO-KS/2604/020095"/>
    <s v="MKS Bali"/>
    <x v="60"/>
    <x v="1"/>
    <x v="4"/>
    <s v="Tepung Double Zero 1kg/pack"/>
    <n v="10"/>
    <s v="KG"/>
    <n v="10"/>
    <n v="159999.95000000001"/>
    <n v="0"/>
    <s v="Invoice"/>
    <s v="Sudah Jadi FJ"/>
    <s v="1 lup red chedar. emborg mozarella 2 lup"/>
  </r>
  <r>
    <d v="2026-04-04T00:00:00"/>
    <s v="SO-KS/2604/020095"/>
    <s v="MKS Bali"/>
    <x v="60"/>
    <x v="1"/>
    <x v="4"/>
    <s v="THE ALTERNATIVE Barista Oat Milk 1 Lt"/>
    <n v="3"/>
    <s v="PCS"/>
    <n v="3"/>
    <n v="139860"/>
    <n v="0"/>
    <s v="Invoice"/>
    <s v="Sudah Jadi FJ"/>
    <s v="1 lup red chedar. emborg mozarella 2 lup"/>
  </r>
  <r>
    <d v="2026-04-04T00:00:00"/>
    <s v="SO-KS/2604/020096"/>
    <s v="MKS Bali"/>
    <x v="60"/>
    <x v="1"/>
    <x v="4"/>
    <s v="Emborg Pizza Topping 2.3 Kg"/>
    <n v="4.5999999999999996"/>
    <s v="KG"/>
    <n v="4.5999999999999996"/>
    <n v="482999.97"/>
    <n v="0"/>
    <s v="Invoice"/>
    <s v="Sudah Jadi FJ"/>
    <s v="1 lup red chedar. emborg mozarella 2 lup"/>
  </r>
  <r>
    <d v="2026-04-04T00:00:00"/>
    <s v="SO-KS/2604/020096"/>
    <s v="MKS Bali"/>
    <x v="60"/>
    <x v="1"/>
    <x v="4"/>
    <s v="Block Red Cheddar Mix Cheese 5x2kg"/>
    <n v="2"/>
    <s v="KG"/>
    <n v="2.0299999999999998"/>
    <n v="304500.01"/>
    <n v="0.03"/>
    <s v="Invoice"/>
    <s v="Sudah Jadi FJ"/>
    <s v="1 lup red chedar. emborg mozarella 2 lup"/>
  </r>
  <r>
    <d v="2026-04-04T00:00:00"/>
    <s v="SO-KS/2604/020096"/>
    <s v="MKS Bali"/>
    <x v="60"/>
    <x v="1"/>
    <x v="4"/>
    <s v="MOZZARIA Mozzarella 200 Gr"/>
    <n v="7"/>
    <s v="PACK"/>
    <n v="7"/>
    <n v="196000"/>
    <n v="0"/>
    <s v="Invoice"/>
    <s v="Sudah Jadi FJ"/>
    <s v="1 lup red chedar. emborg mozarella 2 lup"/>
  </r>
  <r>
    <d v="2026-04-04T00:00:00"/>
    <s v="SO-KS/2604/020097"/>
    <s v="MKS Bali"/>
    <x v="61"/>
    <x v="0"/>
    <x v="12"/>
    <s v="Tepung Double Zero @25Kg/Sack"/>
    <n v="3"/>
    <s v="SACK"/>
    <n v="3"/>
    <n v="982350"/>
    <n v="0"/>
    <s v="Invoice"/>
    <s v="Sudah Jadi FJ"/>
    <s v=""/>
  </r>
  <r>
    <d v="2026-04-04T00:00:00"/>
    <s v="SO-KS/2604/020099"/>
    <s v="MKS Bali"/>
    <x v="62"/>
    <x v="0"/>
    <x v="12"/>
    <s v="Tepung Japanese Tempura 1kg/pack"/>
    <n v="3"/>
    <s v="KG"/>
    <n v="3"/>
    <n v="103500"/>
    <n v="0"/>
    <s v="Invoice"/>
    <s v="Sudah Jadi FJ"/>
    <s v=""/>
  </r>
  <r>
    <d v="2026-04-04T00:00:00"/>
    <s v="SO-KS/2604/020100"/>
    <s v="MKS Bali"/>
    <x v="63"/>
    <x v="0"/>
    <x v="7"/>
    <s v="Borello Rump"/>
    <n v="24"/>
    <s v="KG"/>
    <n v="43.28"/>
    <n v="6059200"/>
    <n v="19.28"/>
    <s v="Invoice"/>
    <s v="Sudah Jadi FJ"/>
    <s v="12 LOAF"/>
  </r>
  <r>
    <d v="2026-04-04T00:00:00"/>
    <s v="SO-KS/2604/020101"/>
    <s v="MKS Bali"/>
    <x v="64"/>
    <x v="1"/>
    <x v="8"/>
    <s v="Tepung Double Zero @25Kg/Sack"/>
    <n v="4"/>
    <s v="SACK"/>
    <n v="4"/>
    <n v="1180000"/>
    <n v="0"/>
    <s v="Invoice"/>
    <s v="Sudah Jadi FJ"/>
    <s v=""/>
  </r>
  <r>
    <d v="2026-04-04T00:00:00"/>
    <s v="SO-KS/2604/020102"/>
    <s v="MKS Bali"/>
    <x v="54"/>
    <x v="0"/>
    <x v="6"/>
    <s v="Nescafe Classic Sac+Bag Era 60x2gr"/>
    <n v="50"/>
    <s v="PACK"/>
    <n v="50"/>
    <n v="3470849.95"/>
    <n v="0"/>
    <s v="Invoice"/>
    <s v="Sudah Jadi FJ"/>
    <s v=""/>
  </r>
  <r>
    <d v="2026-04-04T00:00:00"/>
    <s v="SO-KS/2604/020103"/>
    <s v="MKS Bali"/>
    <x v="65"/>
    <x v="0"/>
    <x v="12"/>
    <s v="Tepung Hime @25Kg/Sack"/>
    <n v="1"/>
    <s v="SACK"/>
    <n v="1"/>
    <n v="300000"/>
    <n v="0"/>
    <s v="Invoice"/>
    <s v="Sudah Jadi FJ"/>
    <s v=""/>
  </r>
  <r>
    <d v="2026-04-04T00:00:00"/>
    <s v="SO-KS/2604/020104"/>
    <s v="MKS Bali"/>
    <x v="66"/>
    <x v="1"/>
    <x v="11"/>
    <s v="Tepung Double Zero 1kg/pack"/>
    <n v="20"/>
    <s v="KG"/>
    <n v="20"/>
    <n v="333000"/>
    <n v="0"/>
    <s v="Invoice"/>
    <s v="Sudah Jadi FJ"/>
    <s v=""/>
  </r>
  <r>
    <d v="2026-04-04T00:00:00"/>
    <s v="SO-KS/2604/020105"/>
    <s v="MKS Bali"/>
    <x v="67"/>
    <x v="0"/>
    <x v="12"/>
    <s v="Sirloin Kilcoy Green Diamond"/>
    <n v="3"/>
    <s v="KG"/>
    <n v="3.32"/>
    <n v="863200"/>
    <n v="0.32"/>
    <s v="Invoice"/>
    <s v="Sudah Jadi FJ"/>
    <s v=""/>
  </r>
  <r>
    <d v="2026-04-04T00:00:00"/>
    <s v="SO-KS/2604/020106"/>
    <s v="MKS Bali"/>
    <x v="68"/>
    <x v="0"/>
    <x v="1"/>
    <s v="Nescafe Latte 500gr/Pack"/>
    <n v="6"/>
    <s v="PACK"/>
    <n v="6"/>
    <n v="361799.99"/>
    <n v="0"/>
    <s v="Invoice"/>
    <s v="Sudah Jadi FJ"/>
    <s v=""/>
  </r>
  <r>
    <d v="2026-04-04T00:00:00"/>
    <s v="SO-KS/2604/020107"/>
    <s v="MKS Bali"/>
    <x v="69"/>
    <x v="0"/>
    <x v="17"/>
    <s v="Borello Topside"/>
    <n v="25"/>
    <s v="KG"/>
    <n v="22"/>
    <n v="3080000"/>
    <n v="-3"/>
    <s v="Invoice"/>
    <s v="Sudah Jadi FJ"/>
    <s v=""/>
  </r>
  <r>
    <d v="2026-04-04T00:00:00"/>
    <s v="SO-KS/2604/020107"/>
    <s v="MKS Bali"/>
    <x v="69"/>
    <x v="0"/>
    <x v="17"/>
    <s v="Halal Premium Oxtail Whole Cut 3Cm (2 Kg/Pack)"/>
    <n v="11"/>
    <s v="KG"/>
    <n v="11.34"/>
    <n v="2721600"/>
    <n v="0.34"/>
    <s v="Invoice"/>
    <s v="Sudah Jadi FJ"/>
    <s v=""/>
  </r>
  <r>
    <d v="2026-04-04T00:00:00"/>
    <s v="SO-KS/2604/020108"/>
    <s v="MKS Bali"/>
    <x v="70"/>
    <x v="1"/>
    <x v="0"/>
    <s v="Tepung Crispy Ala Kentucky 1kg/pack"/>
    <n v="2"/>
    <s v="KG"/>
    <n v="2"/>
    <n v="65490"/>
    <n v="0"/>
    <s v="Invoice"/>
    <s v="Sudah Jadi FJ"/>
    <s v=""/>
  </r>
  <r>
    <d v="2026-04-04T00:00:00"/>
    <s v="SO-KS/2604/020108"/>
    <s v="MKS Bali"/>
    <x v="70"/>
    <x v="1"/>
    <x v="0"/>
    <s v="Tepung Double Zero @25Kg/Sack"/>
    <n v="1"/>
    <s v="SACK"/>
    <n v="1"/>
    <n v="327450"/>
    <n v="0"/>
    <s v="Invoice"/>
    <s v="Sudah Jadi FJ"/>
    <s v=""/>
  </r>
  <r>
    <d v="2026-04-04T00:00:00"/>
    <s v="SO-KS/2604/020110"/>
    <s v="MKS Bali"/>
    <x v="71"/>
    <x v="0"/>
    <x v="12"/>
    <s v="Allana Tenderloin Whole"/>
    <n v="4"/>
    <s v="KG"/>
    <n v="4.0599999999999996"/>
    <n v="669900"/>
    <n v="0.06"/>
    <s v="Invoice"/>
    <s v="Sudah Jadi FJ"/>
    <s v=""/>
  </r>
  <r>
    <d v="2026-04-04T00:00:00"/>
    <s v="SO-KS/2604/020111"/>
    <s v="MKS Bali"/>
    <x v="71"/>
    <x v="0"/>
    <x v="12"/>
    <s v="Allana Tenderloin Whole"/>
    <n v="5"/>
    <s v="KG"/>
    <n v="6.07"/>
    <n v="1001550"/>
    <n v="1.07"/>
    <s v="Invoice"/>
    <s v="Sudah Jadi FJ"/>
    <s v=""/>
  </r>
  <r>
    <d v="2026-04-04T00:00:00"/>
    <s v="SO-KS/2604/020112"/>
    <s v="MKS Bali"/>
    <x v="71"/>
    <x v="0"/>
    <x v="12"/>
    <s v="Allana Tenderloin Whole"/>
    <n v="10"/>
    <s v="KG"/>
    <n v="10.06"/>
    <n v="1659900"/>
    <n v="0.06"/>
    <s v="Invoice"/>
    <s v="Sudah Jadi FJ"/>
    <s v=""/>
  </r>
  <r>
    <d v="2026-04-04T00:00:00"/>
    <s v="SO-KS/2604/020113"/>
    <s v="MKS Bali"/>
    <x v="72"/>
    <x v="1"/>
    <x v="4"/>
    <s v="Tepung Double Zero 1kg/pack"/>
    <n v="10"/>
    <s v="KG"/>
    <n v="10"/>
    <n v="159999.95000000001"/>
    <n v="0"/>
    <s v="Invoice"/>
    <s v="Sudah Jadi FJ"/>
    <s v=""/>
  </r>
  <r>
    <d v="2026-04-04T00:00:00"/>
    <s v="SO-KS/2604/020113"/>
    <s v="MKS Bali"/>
    <x v="72"/>
    <x v="1"/>
    <x v="4"/>
    <s v="Tepung Hime 1kg/pack"/>
    <n v="10"/>
    <s v="KG"/>
    <n v="10"/>
    <n v="172050"/>
    <n v="0"/>
    <s v="Invoice"/>
    <s v="Sudah Jadi FJ"/>
    <s v=""/>
  </r>
  <r>
    <d v="2026-04-04T00:00:00"/>
    <s v="SO-KS/2604/020113"/>
    <s v="MKS Bali"/>
    <x v="72"/>
    <x v="1"/>
    <x v="4"/>
    <s v="Tepung Ninja 1kg/pack"/>
    <n v="10"/>
    <s v="KG"/>
    <n v="10"/>
    <n v="154999.96"/>
    <n v="0"/>
    <s v="Invoice"/>
    <s v="Sudah Jadi FJ"/>
    <s v=""/>
  </r>
  <r>
    <d v="2026-04-04T00:00:00"/>
    <s v="SO-KS/2604/020114"/>
    <s v="MKS Bali"/>
    <x v="72"/>
    <x v="1"/>
    <x v="4"/>
    <s v="FOODY Star Chicken Sausage 250 Gr"/>
    <n v="10"/>
    <s v="PACK"/>
    <n v="10"/>
    <n v="166500"/>
    <n v="0"/>
    <s v="Invoice"/>
    <s v="Sudah Jadi FJ"/>
    <s v=""/>
  </r>
  <r>
    <d v="2026-04-04T00:00:00"/>
    <s v="SO-KS/2604/020114"/>
    <s v="MKS Bali"/>
    <x v="72"/>
    <x v="1"/>
    <x v="4"/>
    <s v="FOODY Star Beef Sausage 250 Gr"/>
    <n v="10"/>
    <s v="PACK"/>
    <n v="10"/>
    <n v="166500"/>
    <n v="0"/>
    <s v="Invoice"/>
    <s v="Sudah Jadi FJ"/>
    <s v=""/>
  </r>
  <r>
    <d v="2026-04-04T00:00:00"/>
    <s v="SO-KS/2604/020115"/>
    <s v="MKS Bali"/>
    <x v="69"/>
    <x v="0"/>
    <x v="17"/>
    <s v="Borello Topside"/>
    <n v="15"/>
    <s v="KG"/>
    <n v="16.53"/>
    <n v="2314200"/>
    <n v="1.53"/>
    <s v="Invoice"/>
    <s v="Sudah Jadi FJ"/>
    <s v=""/>
  </r>
  <r>
    <d v="2026-04-04T00:00:00"/>
    <s v="SO-KS/2604/020116"/>
    <s v="MKS Bali"/>
    <x v="73"/>
    <x v="0"/>
    <x v="17"/>
    <s v="Claw Crab Meat,1lb can"/>
    <n v="1"/>
    <s v="CAN"/>
    <n v="1"/>
    <n v="226000"/>
    <n v="0"/>
    <s v="Invoice"/>
    <s v="Sudah Jadi FJ"/>
    <s v=""/>
  </r>
  <r>
    <d v="2026-04-04T00:00:00"/>
    <s v="SO-KS/2604/020117"/>
    <s v="MKS Bali"/>
    <x v="74"/>
    <x v="0"/>
    <x v="17"/>
    <s v="Tepung Hime @25Kg/Sack"/>
    <n v="5"/>
    <s v="SACK"/>
    <n v="5"/>
    <n v="1776000"/>
    <n v="0"/>
    <s v="Invoice"/>
    <s v="Sudah Jadi FJ"/>
    <s v=""/>
  </r>
  <r>
    <d v="2026-04-04T00:00:00"/>
    <s v="SO-KS/2604/020118"/>
    <s v="MKS Bali"/>
    <x v="75"/>
    <x v="1"/>
    <x v="4"/>
    <s v="Tepung Double Zero 1kg/pack"/>
    <n v="50"/>
    <s v="KG"/>
    <n v="50"/>
    <n v="774999.78"/>
    <n v="0"/>
    <s v="Invoice"/>
    <s v="Sudah Jadi FJ"/>
    <s v=""/>
  </r>
  <r>
    <d v="2026-04-04T00:00:00"/>
    <s v="SO-KS/2604/020119"/>
    <s v="MKS Bali"/>
    <x v="69"/>
    <x v="0"/>
    <x v="17"/>
    <s v="Allana Tenderloin Whole"/>
    <n v="12.5"/>
    <s v="KG"/>
    <n v="12"/>
    <n v="1908000"/>
    <n v="-0.5"/>
    <s v="Invoice"/>
    <s v="Sudah Jadi FJ"/>
    <s v=""/>
  </r>
  <r>
    <d v="2026-04-04T00:00:00"/>
    <s v="SO-KS/2604/020120"/>
    <s v="MKS Bali"/>
    <x v="76"/>
    <x v="0"/>
    <x v="7"/>
    <s v="Allana Tenderloin Whole"/>
    <n v="6"/>
    <s v="KG"/>
    <n v="6.15"/>
    <n v="984000"/>
    <n v="0.15"/>
    <s v="Invoice"/>
    <s v="Sudah Jadi FJ"/>
    <s v="po estia"/>
  </r>
  <r>
    <d v="2026-04-04T00:00:00"/>
    <s v="SO-KS/2604/020121"/>
    <s v="MKS Bali"/>
    <x v="77"/>
    <x v="0"/>
    <x v="11"/>
    <s v="ECT Tenderloin Import"/>
    <n v="3"/>
    <s v="KG"/>
    <n v="2.52"/>
    <n v="856800"/>
    <n v="-0.48"/>
    <s v="Invoice"/>
    <s v="Sudah Jadi FJ"/>
    <s v=""/>
  </r>
  <r>
    <d v="2026-04-04T00:00:00"/>
    <s v="SO-KS/2604/020122"/>
    <s v="MKS Bali"/>
    <x v="78"/>
    <x v="0"/>
    <x v="12"/>
    <s v="Tepung Pita Emas @25Kg/Sack"/>
    <n v="4"/>
    <s v="SACK"/>
    <n v="4"/>
    <n v="983999.99"/>
    <n v="0"/>
    <s v="Invoice"/>
    <s v="Sudah Jadi FJ"/>
    <s v=""/>
  </r>
  <r>
    <d v="2026-04-04T00:00:00"/>
    <s v="SO-KS/2604/020123"/>
    <s v="MKS Bali"/>
    <x v="79"/>
    <x v="0"/>
    <x v="17"/>
    <s v="Tepung Double Zero 1kg/pack"/>
    <n v="4"/>
    <s v="KG"/>
    <n v="4"/>
    <n v="66600"/>
    <n v="0"/>
    <s v="Invoice"/>
    <s v="Sudah Jadi FJ"/>
    <s v=""/>
  </r>
  <r>
    <d v="2026-04-04T00:00:00"/>
    <s v="SO-KS/2604/020124"/>
    <s v="MKS Bali"/>
    <x v="80"/>
    <x v="0"/>
    <x v="3"/>
    <s v="Tepung Double Zero @25Kg/Sack"/>
    <n v="2"/>
    <s v="SACK"/>
    <n v="2"/>
    <n v="654900"/>
    <n v="0"/>
    <s v="Invoice"/>
    <s v="Sudah Jadi FJ"/>
    <s v=""/>
  </r>
  <r>
    <d v="2026-04-04T00:00:00"/>
    <s v="SO-KS/2604/020125"/>
    <s v="MKS Bali"/>
    <x v="81"/>
    <x v="0"/>
    <x v="18"/>
    <s v="Greenfields ESL Fresh Milk Full Cream Milk 1Lt"/>
    <n v="12"/>
    <s v="LTR"/>
    <n v="12"/>
    <n v="237000"/>
    <n v="0"/>
    <s v="Invoice"/>
    <s v="Sudah Jadi FJ"/>
    <s v=""/>
  </r>
  <r>
    <d v="2026-04-04T00:00:00"/>
    <s v="SO-KS/2604/020126"/>
    <s v="MKS Bali"/>
    <x v="82"/>
    <x v="0"/>
    <x v="18"/>
    <s v="Pickled Gherkins (2kg/pack)"/>
    <n v="2"/>
    <s v="PACK"/>
    <n v="2"/>
    <n v="148000"/>
    <n v="0"/>
    <s v="Invoice"/>
    <s v="Sudah Jadi FJ"/>
    <s v=""/>
  </r>
  <r>
    <d v="2026-04-04T00:00:00"/>
    <s v="SO-KU/2604/020006"/>
    <s v="MKU Bali"/>
    <x v="83"/>
    <x v="0"/>
    <x v="9"/>
    <s v="Flavorista Chocolate base (1000Gr/Pack)"/>
    <n v="12"/>
    <s v="PACK"/>
    <n v="12"/>
    <n v="1125540"/>
    <n v="0"/>
    <s v="Invoice"/>
    <s v="Sudah Jadi FJ"/>
    <s v=""/>
  </r>
  <r>
    <d v="2026-04-04T00:00:00"/>
    <s v="SO-KU/2604/020006"/>
    <s v="MKU Bali"/>
    <x v="83"/>
    <x v="0"/>
    <x v="9"/>
    <s v="Flavorista Matcha (1000Gr/Pack)"/>
    <n v="12"/>
    <s v="PACK"/>
    <n v="12"/>
    <n v="1116299.99"/>
    <n v="0"/>
    <s v="Invoice"/>
    <s v="Sudah Jadi FJ"/>
    <s v=""/>
  </r>
  <r>
    <d v="2026-04-04T00:00:00"/>
    <s v="SO-KU/2604/020007"/>
    <s v="MKU Bali"/>
    <x v="84"/>
    <x v="1"/>
    <x v="10"/>
    <s v="Masterista Ceremonial Pure Matcha Powder 500 Gr"/>
    <n v="2"/>
    <s v="PACK"/>
    <n v="2"/>
    <n v="1776000"/>
    <n v="0"/>
    <s v="Invoice"/>
    <s v="Sudah Jadi FJ"/>
    <s v=""/>
  </r>
  <r>
    <d v="2026-04-04T00:00:00"/>
    <s v="SO-KU/2604/020009"/>
    <s v="MKU Bali"/>
    <x v="85"/>
    <x v="1"/>
    <x v="7"/>
    <s v="Flavorista Red Velvet (1000Gr/Pack)"/>
    <n v="6"/>
    <s v="PACK"/>
    <n v="6"/>
    <n v="516150"/>
    <n v="0"/>
    <s v="Invoice"/>
    <s v="Sudah Jadi FJ"/>
    <s v=""/>
  </r>
  <r>
    <d v="2026-04-04T00:00:00"/>
    <s v="SO-KU/2604/020010"/>
    <s v="MKU Bali"/>
    <x v="86"/>
    <x v="1"/>
    <x v="8"/>
    <s v="Masterista Syrup Vanilla Tradition 850ml"/>
    <n v="1"/>
    <s v="BTL"/>
    <n v="1"/>
    <n v="99000"/>
    <n v="0"/>
    <s v="Invoice"/>
    <s v="Sudah Jadi FJ"/>
    <s v=""/>
  </r>
  <r>
    <d v="2026-04-04T00:00:00"/>
    <s v="SO-KU/2604/020010"/>
    <s v="MKU Bali"/>
    <x v="86"/>
    <x v="1"/>
    <x v="8"/>
    <s v="Masterista Syrup Classic Caramel 850ml"/>
    <n v="1"/>
    <s v="BTL"/>
    <n v="1"/>
    <n v="99000"/>
    <n v="0"/>
    <s v="Invoice"/>
    <s v="Sudah Jadi FJ"/>
    <s v=""/>
  </r>
  <r>
    <d v="2026-04-04T00:00:00"/>
    <s v="SO-KU/2604/020011"/>
    <s v="MKU Bali"/>
    <x v="13"/>
    <x v="1"/>
    <x v="10"/>
    <s v="Pure Green Tea @50TB/Box"/>
    <n v="2"/>
    <s v="BOX"/>
    <n v="2"/>
    <n v="213180.01"/>
    <n v="0"/>
    <s v="Invoice"/>
    <s v="Sudah Jadi FJ"/>
    <s v=""/>
  </r>
  <r>
    <d v="2026-04-04T00:00:00"/>
    <s v="SO-KU/2604/020012"/>
    <s v="MKU Bali"/>
    <x v="87"/>
    <x v="0"/>
    <x v="7"/>
    <s v="Bergold Mozzarella Block"/>
    <n v="6.9"/>
    <s v="KG"/>
    <n v="6.52"/>
    <n v="753059.98"/>
    <n v="-0.38"/>
    <s v="Invoice"/>
    <s v="Sudah Jadi FJ"/>
    <s v="3 loaf (pack) / 6,9kg"/>
  </r>
  <r>
    <d v="2026-04-04T00:00:00"/>
    <s v="SO-KU/2604/020013"/>
    <s v="MKU Bali"/>
    <x v="88"/>
    <x v="0"/>
    <x v="10"/>
    <s v="O Sole Pomodori Pelati Peeled Tomatoes 2.5Kg"/>
    <n v="24"/>
    <s v="CAN"/>
    <n v="24"/>
    <n v="1943999.98"/>
    <n v="0"/>
    <s v="Invoice"/>
    <s v="Sudah Jadi FJ"/>
    <s v=""/>
  </r>
  <r>
    <d v="2026-04-04T00:00:00"/>
    <s v="SO-KU/2604/020015"/>
    <s v="MKU Bali"/>
    <x v="17"/>
    <x v="0"/>
    <x v="4"/>
    <s v="IQF FF Shoestring 2.5 Kg/Pack"/>
    <n v="12"/>
    <s v="PACK"/>
    <n v="12"/>
    <n v="659999.99"/>
    <n v="0"/>
    <s v="Invoice"/>
    <s v="Sudah Jadi FJ"/>
    <s v=""/>
  </r>
  <r>
    <d v="2026-04-04T00:00:00"/>
    <s v="SO-KU/2604/020015"/>
    <s v="MKU Bali"/>
    <x v="17"/>
    <x v="0"/>
    <x v="4"/>
    <s v="Premium Crincle Cut Fries 2 Kg"/>
    <n v="18"/>
    <s v="PACK"/>
    <n v="18"/>
    <n v="935999.99"/>
    <n v="0"/>
    <s v="Invoice"/>
    <s v="Sudah Jadi FJ"/>
    <s v=""/>
  </r>
  <r>
    <d v="2026-04-04T00:00:00"/>
    <s v="SO-KU/2604/020015"/>
    <s v="MKU Bali"/>
    <x v="17"/>
    <x v="0"/>
    <x v="4"/>
    <s v="Crr Rock'n Hash Brown Triangular 2.5Kg"/>
    <n v="8"/>
    <s v="PACK"/>
    <n v="8"/>
    <n v="839999.99"/>
    <n v="0"/>
    <s v="Invoice"/>
    <s v="Sudah Jadi FJ"/>
    <s v=""/>
  </r>
  <r>
    <d v="2026-04-04T00:00:00"/>
    <s v="SO-KU/2604/020017"/>
    <s v="MKU Bali"/>
    <x v="89"/>
    <x v="1"/>
    <x v="9"/>
    <s v="Masterista Frappe Base 800 Gr"/>
    <n v="3"/>
    <s v="PACK"/>
    <n v="3"/>
    <n v="378000"/>
    <n v="0"/>
    <s v="Invoice"/>
    <s v="Sudah Jadi FJ"/>
    <s v=""/>
  </r>
  <r>
    <d v="2026-04-04T00:00:00"/>
    <s v="SO-KU/2604/020018"/>
    <s v="MKU Bali"/>
    <x v="90"/>
    <x v="1"/>
    <x v="0"/>
    <s v="Masterista Syrup Tiramisu 850ml"/>
    <n v="2"/>
    <s v="BTL"/>
    <n v="1"/>
    <n v="110000"/>
    <n v="-1"/>
    <s v="Invoice"/>
    <s v="Sudah Jadi FJ"/>
    <s v=""/>
  </r>
  <r>
    <d v="2026-04-04T00:00:00"/>
    <s v="SO-KU/2604/020018"/>
    <s v="MKU Bali"/>
    <x v="90"/>
    <x v="1"/>
    <x v="0"/>
    <s v="Flavourista Syrup Vanilla 1000 Ml"/>
    <n v="4"/>
    <s v="BTL"/>
    <n v="4"/>
    <n v="341521.21"/>
    <n v="0"/>
    <s v="Invoice"/>
    <s v="Sudah Jadi FJ"/>
    <s v=""/>
  </r>
  <r>
    <d v="2026-04-04T00:00:00"/>
    <s v="SO-KU/2604/020018"/>
    <s v="MKU Bali"/>
    <x v="90"/>
    <x v="1"/>
    <x v="0"/>
    <s v="Flavorista Matcha (1000Gr/Pack)"/>
    <n v="2"/>
    <s v="PACK"/>
    <n v="2"/>
    <n v="176747.51"/>
    <n v="0"/>
    <s v="Invoice"/>
    <s v="Sudah Jadi FJ"/>
    <s v=""/>
  </r>
  <r>
    <d v="2026-04-04T00:00:00"/>
    <s v="SO-KU/2604/020019"/>
    <s v="MKU Bali"/>
    <x v="91"/>
    <x v="1"/>
    <x v="19"/>
    <s v="O Sole Pomodori Pelati Peeled Tomatoes 2.5Kg"/>
    <n v="12"/>
    <s v="CAN"/>
    <n v="12"/>
    <n v="1019999.99"/>
    <n v="0"/>
    <s v="Invoice"/>
    <s v="Sudah Jadi FJ"/>
    <s v=""/>
  </r>
  <r>
    <d v="2026-04-04T00:00:00"/>
    <s v="SO-KU/2604/020020"/>
    <s v="MKU Bali"/>
    <x v="91"/>
    <x v="1"/>
    <x v="19"/>
    <s v="Pork B Sliced (1kg/pack)"/>
    <n v="20"/>
    <s v="KG"/>
    <n v="20"/>
    <n v="1900000"/>
    <n v="0"/>
    <s v="Invoice"/>
    <s v="Sudah Jadi FJ"/>
    <s v=""/>
  </r>
  <r>
    <d v="2026-04-04T00:00:00"/>
    <s v="SO-KU/2604/020021"/>
    <s v="MKU Bali"/>
    <x v="92"/>
    <x v="1"/>
    <x v="9"/>
    <s v="IQF FF Shoestring 10Kg/Ctn"/>
    <n v="1"/>
    <s v="KTN"/>
    <n v="1"/>
    <n v="350000.01"/>
    <n v="0"/>
    <s v="Invoice"/>
    <s v="Sudah Jadi FJ"/>
    <s v=" 2 loaf"/>
  </r>
  <r>
    <d v="2026-04-04T00:00:00"/>
    <s v="SO-KU/2604/020021"/>
    <s v="MKU Bali"/>
    <x v="92"/>
    <x v="1"/>
    <x v="9"/>
    <s v="Belly Skinless Premium (2.5Kg/Pack)"/>
    <n v="5"/>
    <s v="KG"/>
    <n v="9.08"/>
    <n v="1089600"/>
    <n v="4.08"/>
    <s v="Invoice"/>
    <s v="Sudah Jadi FJ"/>
    <s v=" 2 loaf"/>
  </r>
  <r>
    <d v="2026-04-04T00:00:00"/>
    <s v="SO-KU/2604/020022"/>
    <s v="MKU Bali"/>
    <x v="26"/>
    <x v="0"/>
    <x v="13"/>
    <s v="Daebak Soju Lychee @360ml/btl"/>
    <n v="10"/>
    <s v="BTL"/>
    <n v="8"/>
    <n v="593345.47"/>
    <n v="-2"/>
    <s v="Invoice"/>
    <s v="Sudah Jadi FJ"/>
    <s v=""/>
  </r>
  <r>
    <d v="2026-04-04T00:00:00"/>
    <s v="SO-KU/2604/020023"/>
    <s v="MKU Bali"/>
    <x v="93"/>
    <x v="0"/>
    <x v="4"/>
    <s v="Premium Hash Brown 5x2Kg"/>
    <n v="1"/>
    <s v="KTN"/>
    <n v="1"/>
    <n v="500000"/>
    <n v="0"/>
    <s v="Invoice"/>
    <s v="Sudah Jadi FJ"/>
    <s v=""/>
  </r>
  <r>
    <d v="2026-04-04T00:00:00"/>
    <s v="SO-KU/2604/020024"/>
    <s v="MKU Bali"/>
    <x v="94"/>
    <x v="0"/>
    <x v="8"/>
    <s v="Bergold Mozzarella Block"/>
    <n v="26.28"/>
    <s v="KG"/>
    <n v="26.03"/>
    <n v="2472850.13"/>
    <n v="-0.25"/>
    <s v="Invoice"/>
    <s v="Sudah Jadi FJ"/>
    <s v="GUDANG RM &amp; PKG RENON BALI"/>
  </r>
  <r>
    <d v="2026-04-04T00:00:00"/>
    <s v="SO-KU/2604/020025"/>
    <s v="MKU Bali"/>
    <x v="95"/>
    <x v="0"/>
    <x v="11"/>
    <s v="Bergold Shredded Pizza Topping Mozzarella"/>
    <n v="20"/>
    <s v="KG"/>
    <n v="20"/>
    <n v="2560000.1"/>
    <n v="0"/>
    <s v="Invoice"/>
    <s v="Sudah Jadi FJ"/>
    <s v=""/>
  </r>
  <r>
    <d v="2026-04-04T00:00:00"/>
    <s v="SO-KU/2604/020026"/>
    <s v="MKU Bali"/>
    <x v="33"/>
    <x v="0"/>
    <x v="10"/>
    <s v="Pork B Sliced (1kg/pack)"/>
    <n v="15"/>
    <s v="KG"/>
    <n v="15"/>
    <n v="1425000"/>
    <n v="0"/>
    <s v="Invoice"/>
    <s v="Sudah Jadi FJ"/>
    <s v="PO kitchen fbc"/>
  </r>
  <r>
    <d v="2026-04-04T00:00:00"/>
    <s v="SO-KU/2604/020027"/>
    <s v="MKU Bali"/>
    <x v="37"/>
    <x v="0"/>
    <x v="10"/>
    <s v="O Sole Pomodori Pelati Peeled Tomatoes 2.5Kg"/>
    <n v="24"/>
    <s v="CAN"/>
    <n v="24"/>
    <n v="2087999.99"/>
    <n v="0"/>
    <s v="Invoice"/>
    <s v="Sudah Jadi FJ"/>
    <s v=""/>
  </r>
  <r>
    <d v="2026-04-04T00:00:00"/>
    <s v="SO-KU/2604/020031"/>
    <s v="MKU Bali"/>
    <x v="39"/>
    <x v="0"/>
    <x v="12"/>
    <s v="O Sole Pomodori Pelati Peeled Tomatoes 2.5Kg"/>
    <n v="2"/>
    <s v="CAN"/>
    <n v="2"/>
    <n v="146000"/>
    <n v="0"/>
    <s v="Invoice"/>
    <s v="Sudah Jadi FJ"/>
    <s v=""/>
  </r>
  <r>
    <d v="2026-04-04T00:00:00"/>
    <s v="SO-KU/2604/020032"/>
    <s v="MKU Bali"/>
    <x v="39"/>
    <x v="0"/>
    <x v="12"/>
    <s v="Isabi Smoked Salmon Slice 1Kg/Pack"/>
    <n v="1"/>
    <s v="PACK"/>
    <n v="1"/>
    <n v="435000"/>
    <n v="0"/>
    <s v="Invoice"/>
    <s v="Sudah Jadi FJ"/>
    <s v=""/>
  </r>
  <r>
    <d v="2026-04-04T00:00:00"/>
    <s v="SO-KU/2604/020033"/>
    <s v="MKU Bali"/>
    <x v="39"/>
    <x v="0"/>
    <x v="12"/>
    <s v="O Sole Pomodori Pelati Peeled Tomatoes 2.5Kg"/>
    <n v="1"/>
    <s v="CAN"/>
    <n v="1"/>
    <n v="73000"/>
    <n v="0"/>
    <s v="Invoice"/>
    <s v="Sudah Jadi FJ"/>
    <s v=""/>
  </r>
  <r>
    <d v="2026-04-04T00:00:00"/>
    <s v="SO-KU/2604/020034"/>
    <s v="MKU Bali"/>
    <x v="39"/>
    <x v="0"/>
    <x v="12"/>
    <s v="Isabi Smoked Salmon Slice 1Kg/Pack"/>
    <n v="1.4"/>
    <s v="PACK"/>
    <n v="1"/>
    <n v="435000"/>
    <n v="-0.4"/>
    <s v="Invoice"/>
    <s v="Sudah Jadi FJ"/>
    <s v=""/>
  </r>
  <r>
    <d v="2026-04-04T00:00:00"/>
    <s v="SO-KU/2604/020034"/>
    <s v="MKU Bali"/>
    <x v="39"/>
    <x v="0"/>
    <x v="12"/>
    <s v="Bergold Shredded Pizza Topping Mozzarella"/>
    <n v="2"/>
    <s v="KG"/>
    <n v="1.5"/>
    <n v="169500"/>
    <n v="-0.5"/>
    <s v="Invoice"/>
    <s v="Sudah Jadi FJ"/>
    <s v=""/>
  </r>
  <r>
    <d v="2026-04-04T00:00:00"/>
    <s v="SO-KU/2604/020035"/>
    <s v="MKU Bali"/>
    <x v="96"/>
    <x v="1"/>
    <x v="9"/>
    <s v="Masterista Syrup Butterscotch 850 Ml"/>
    <n v="1"/>
    <s v="BTL"/>
    <n v="1"/>
    <n v="110000"/>
    <n v="0"/>
    <s v="Invoice"/>
    <s v="Sudah Jadi FJ"/>
    <s v=""/>
  </r>
  <r>
    <d v="2026-04-04T00:00:00"/>
    <s v="SO-KU/2604/020035"/>
    <s v="MKU Bali"/>
    <x v="96"/>
    <x v="1"/>
    <x v="9"/>
    <s v="Masterista Syrup Salted Caramel 850 ML"/>
    <n v="1"/>
    <s v="BTL"/>
    <n v="1"/>
    <n v="110000"/>
    <n v="0"/>
    <s v="Invoice"/>
    <s v="Sudah Jadi FJ"/>
    <s v=""/>
  </r>
  <r>
    <d v="2026-04-04T00:00:00"/>
    <s v="SO-KU/2604/020035"/>
    <s v="MKU Bali"/>
    <x v="96"/>
    <x v="1"/>
    <x v="9"/>
    <s v="Masterista Aren Sugar Liquid 1000Gr"/>
    <n v="1"/>
    <s v="POU"/>
    <n v="1"/>
    <n v="58000"/>
    <n v="0"/>
    <s v="Invoice"/>
    <s v="Sudah Jadi FJ"/>
    <s v=""/>
  </r>
  <r>
    <d v="2026-04-04T00:00:00"/>
    <s v="SO-KU/2604/020035"/>
    <s v="MKU Bali"/>
    <x v="96"/>
    <x v="1"/>
    <x v="9"/>
    <s v="Flavorista Red Velvet (1000Gr/Pack)"/>
    <n v="1"/>
    <s v="PACK"/>
    <n v="1"/>
    <n v="86025"/>
    <n v="0"/>
    <s v="Invoice"/>
    <s v="Sudah Jadi FJ"/>
    <s v=""/>
  </r>
  <r>
    <d v="2026-04-04T00:00:00"/>
    <s v="SO-KU/2604/020038"/>
    <s v="MKU Bali"/>
    <x v="49"/>
    <x v="0"/>
    <x v="0"/>
    <s v="O Sole Pomodori Pelati Peeled Tomatoes 2.5Kg"/>
    <n v="18"/>
    <s v="CAN"/>
    <n v="18"/>
    <n v="1439999.96"/>
    <n v="0"/>
    <s v="Invoice"/>
    <s v="Sudah Jadi FJ"/>
    <s v=""/>
  </r>
  <r>
    <d v="2026-04-04T00:00:00"/>
    <s v="SO-KU/2604/020040"/>
    <s v="MKU Bali"/>
    <x v="97"/>
    <x v="1"/>
    <x v="2"/>
    <s v="Pork B Sliced (1kg/pack)"/>
    <n v="5"/>
    <s v="KG"/>
    <n v="5"/>
    <n v="475000"/>
    <n v="0"/>
    <s v="Invoice"/>
    <s v="Sudah Jadi FJ"/>
    <s v=""/>
  </r>
  <r>
    <d v="2026-04-04T00:00:00"/>
    <s v="SO-KU/2604/020041"/>
    <s v="MKU Bali"/>
    <x v="98"/>
    <x v="0"/>
    <x v="3"/>
    <s v="O Sole Pomodori Pelati Peeled Tomatoes 2.5Kg"/>
    <n v="18"/>
    <s v="CAN"/>
    <n v="18"/>
    <n v="1439999.96"/>
    <n v="0"/>
    <s v="Invoice"/>
    <s v="Sudah Jadi FJ"/>
    <s v=""/>
  </r>
  <r>
    <d v="2026-04-04T00:00:00"/>
    <s v="SO-KU/2604/020042"/>
    <s v="MKU Bali"/>
    <x v="99"/>
    <x v="1"/>
    <x v="19"/>
    <s v="Premium Hash Brown 5x2Kg"/>
    <n v="1"/>
    <s v="KTN"/>
    <n v="1"/>
    <n v="500000"/>
    <n v="0"/>
    <s v="Invoice"/>
    <s v="Sudah Jadi FJ"/>
    <s v=""/>
  </r>
  <r>
    <d v="2026-04-04T00:00:00"/>
    <s v="SO-KU/2604/020043"/>
    <s v="MKU Bali"/>
    <x v="33"/>
    <x v="0"/>
    <x v="10"/>
    <s v="O Sole Pomodori Pelati Peeled Tomatoes 2.5Kg"/>
    <n v="12"/>
    <s v="CAN"/>
    <n v="12"/>
    <n v="971999.98"/>
    <n v="0"/>
    <s v="Invoice"/>
    <s v="Sudah Jadi FJ"/>
    <s v="PO kitchen asian"/>
  </r>
  <r>
    <d v="2026-04-04T00:00:00"/>
    <s v="SO-KU/2604/020044"/>
    <s v="MKU Bali"/>
    <x v="33"/>
    <x v="0"/>
    <x v="10"/>
    <s v="Belly Skinless Premium (2.5Kg/Pack)"/>
    <n v="15"/>
    <s v="KG"/>
    <n v="15.01"/>
    <n v="1801200"/>
    <n v="0.01"/>
    <s v="Invoice"/>
    <s v="Sudah Jadi FJ"/>
    <s v="PO kitchen asian"/>
  </r>
  <r>
    <d v="2026-04-04T00:00:00"/>
    <s v="SO-KU/2604/020045"/>
    <s v="MKU Bali"/>
    <x v="100"/>
    <x v="0"/>
    <x v="11"/>
    <s v="Bergold Mozzarella Block"/>
    <n v="5"/>
    <s v="KG"/>
    <n v="4.34"/>
    <n v="434000"/>
    <n v="-0.66"/>
    <s v="Invoice"/>
    <s v="Sudah Jadi FJ"/>
    <s v=""/>
  </r>
  <r>
    <d v="2026-04-04T00:00:00"/>
    <s v="SO-KU/2604/020046"/>
    <s v="MKU Bali"/>
    <x v="33"/>
    <x v="0"/>
    <x v="10"/>
    <s v="O Sole Pomodori Pelati Peeled Tomatoes 2.5Kg"/>
    <n v="12"/>
    <s v="CAN"/>
    <n v="12"/>
    <n v="971999.98"/>
    <n v="0"/>
    <s v="Invoice"/>
    <s v="Sudah Jadi FJ"/>
    <s v="PO kitchen vip"/>
  </r>
  <r>
    <d v="2026-04-04T00:00:00"/>
    <s v="SO-KU/2604/020047"/>
    <s v="MKU Bali"/>
    <x v="71"/>
    <x v="0"/>
    <x v="12"/>
    <s v="Bergold Mozzarella Block"/>
    <n v="10"/>
    <s v="KG"/>
    <n v="10.88"/>
    <n v="1088000"/>
    <n v="0.88"/>
    <s v="Invoice"/>
    <s v="Sudah Jadi FJ"/>
    <s v=""/>
  </r>
  <r>
    <d v="2026-04-04T00:00:00"/>
    <s v="SO-KU/2604/020048"/>
    <s v="MKU Bali"/>
    <x v="60"/>
    <x v="1"/>
    <x v="4"/>
    <s v="Artisan Pure Matcha (500Gr/Pack)"/>
    <n v="1"/>
    <s v="PACK"/>
    <n v="1"/>
    <n v="206000"/>
    <n v="0"/>
    <s v="Invoice"/>
    <s v="Sudah Jadi FJ"/>
    <s v=""/>
  </r>
  <r>
    <d v="2026-04-04T00:00:00"/>
    <s v="SO-KU/2604/020049"/>
    <s v="MKU Bali"/>
    <x v="60"/>
    <x v="1"/>
    <x v="4"/>
    <s v="Premium Crincle Cut Fries 6x2 Kg"/>
    <n v="1"/>
    <s v="KTN"/>
    <n v="1"/>
    <n v="360000"/>
    <n v="0"/>
    <s v="Invoice"/>
    <s v="Sudah Jadi FJ"/>
    <s v=""/>
  </r>
  <r>
    <d v="2026-04-04T00:00:00"/>
    <s v="SO-KU/2604/020050"/>
    <s v="MKU Bali"/>
    <x v="62"/>
    <x v="0"/>
    <x v="12"/>
    <s v="MAMAS BELLY RIND ON SB OUT (SKIN ON) 3-5KG/PACK"/>
    <n v="20"/>
    <s v="KG"/>
    <n v="23.76"/>
    <n v="2732400"/>
    <n v="3.76"/>
    <s v="Invoice"/>
    <s v="Sudah Jadi FJ"/>
    <s v=""/>
  </r>
  <r>
    <d v="2026-04-04T00:00:00"/>
    <s v="SO-KU/2604/020051"/>
    <s v="MKU Bali"/>
    <x v="62"/>
    <x v="0"/>
    <x v="12"/>
    <s v="Bergold Mozzarella Block"/>
    <n v="6"/>
    <s v="KG"/>
    <n v="6.49"/>
    <n v="681449.97"/>
    <n v="0.49"/>
    <s v="Invoice"/>
    <s v="Sudah Jadi FJ"/>
    <s v=""/>
  </r>
  <r>
    <d v="2026-04-04T00:00:00"/>
    <s v="SO-KU/2604/020052"/>
    <s v="MKU Bali"/>
    <x v="87"/>
    <x v="0"/>
    <x v="7"/>
    <s v="O Sole Pomodori Pelati Peeled Tomatoes 2.5Kg"/>
    <n v="3"/>
    <s v="CAN"/>
    <n v="3"/>
    <n v="275999.99"/>
    <n v="0"/>
    <s v="Invoice"/>
    <s v="Sudah Jadi FJ"/>
    <s v=""/>
  </r>
  <r>
    <d v="2026-04-04T00:00:00"/>
    <s v="SO-KU/2604/020054"/>
    <s v="MKU Bali"/>
    <x v="35"/>
    <x v="1"/>
    <x v="8"/>
    <s v="O Sole Doppio Concentrato Paste Tomato 2.2 Kg"/>
    <n v="2"/>
    <s v="CAN"/>
    <n v="2"/>
    <n v="290000"/>
    <n v="0"/>
    <s v="Invoice"/>
    <s v="Sudah Jadi FJ"/>
    <s v=""/>
  </r>
  <r>
    <d v="2026-04-04T00:00:00"/>
    <s v="SO-KU/2604/020055"/>
    <s v="MKU Bali"/>
    <x v="101"/>
    <x v="0"/>
    <x v="10"/>
    <s v="O Sole Pomodori Pelati Peeled Tomatoes 2.5Kg"/>
    <n v="12"/>
    <s v="CAN"/>
    <n v="12"/>
    <n v="983999.99"/>
    <n v="0"/>
    <s v="Invoice"/>
    <s v="Sudah Jadi FJ"/>
    <s v=""/>
  </r>
  <r>
    <d v="2026-04-04T00:00:00"/>
    <s v="SO-KU/2604/020059"/>
    <s v="MKU Bali"/>
    <x v="102"/>
    <x v="0"/>
    <x v="11"/>
    <s v="Bergold Mozzarella Block"/>
    <n v="15"/>
    <s v="KG"/>
    <n v="15.09"/>
    <n v="1388279.95"/>
    <n v="0.09"/>
    <s v="Invoice"/>
    <s v="Sudah Jadi FJ"/>
    <s v="Invoice 1"/>
  </r>
  <r>
    <d v="2026-04-04T00:00:00"/>
    <s v="SO-KU/2604/020060"/>
    <s v="MKU Bali"/>
    <x v="103"/>
    <x v="0"/>
    <x v="8"/>
    <s v="Masterista Ceremonial Pure Matcha Powder 500 Gr"/>
    <n v="1"/>
    <s v="PACK"/>
    <n v="1"/>
    <n v="888000"/>
    <n v="0"/>
    <s v="Invoice"/>
    <s v="Sudah Jadi FJ"/>
    <s v=""/>
  </r>
  <r>
    <d v="2026-04-04T00:00:00"/>
    <s v="SO-KU/2604/020060"/>
    <s v="MKU Bali"/>
    <x v="103"/>
    <x v="0"/>
    <x v="8"/>
    <s v="Masterista Dark Chocolate 800Gr"/>
    <n v="1"/>
    <s v="POU"/>
    <n v="1"/>
    <n v="164835"/>
    <n v="0"/>
    <s v="Invoice"/>
    <s v="Sudah Jadi FJ"/>
    <s v=""/>
  </r>
  <r>
    <d v="2026-04-04T00:00:00"/>
    <s v="SO-KU/2604/020061"/>
    <s v="MKU Bali"/>
    <x v="72"/>
    <x v="1"/>
    <x v="4"/>
    <s v="Gold Box Extra Butter MP341 5 Kg"/>
    <n v="5"/>
    <s v="KG"/>
    <n v="5.04"/>
    <n v="554400"/>
    <n v="0.04"/>
    <s v="Invoice"/>
    <s v="Sudah Jadi FJ"/>
    <s v=""/>
  </r>
  <r>
    <d v="2026-04-04T00:00:00"/>
    <s v="SO-KU/2604/020061"/>
    <s v="MKU Bali"/>
    <x v="72"/>
    <x v="1"/>
    <x v="4"/>
    <s v="IQF FF Shoestring 2.5 Kg/Pack"/>
    <n v="3"/>
    <s v="PACK"/>
    <n v="3"/>
    <n v="202500"/>
    <n v="0"/>
    <s v="Invoice"/>
    <s v="Sudah Jadi FJ"/>
    <s v=""/>
  </r>
  <r>
    <d v="2026-04-04T00:00:00"/>
    <s v="SO-KU/2604/020062"/>
    <s v="MKU Bali"/>
    <x v="104"/>
    <x v="0"/>
    <x v="9"/>
    <s v="Masterista Japanese Koicha Powder 500 Gr"/>
    <n v="1"/>
    <s v="PACK"/>
    <n v="1"/>
    <n v="248000"/>
    <n v="0"/>
    <s v="Invoice"/>
    <s v="Sudah Jadi FJ"/>
    <s v=""/>
  </r>
  <r>
    <d v="2026-04-04T00:00:00"/>
    <s v="SO-KU/2604/020063"/>
    <s v="MKU Bali"/>
    <x v="69"/>
    <x v="0"/>
    <x v="17"/>
    <s v="Bergold Mozzarella Block"/>
    <n v="30"/>
    <s v="KG"/>
    <n v="30.23"/>
    <n v="2781159.9"/>
    <n v="0.23"/>
    <s v="Invoice"/>
    <s v="Sudah Jadi FJ"/>
    <s v=""/>
  </r>
  <r>
    <d v="2026-04-04T00:00:00"/>
    <s v="SO-KU/2604/020064"/>
    <s v="MKU Bali"/>
    <x v="105"/>
    <x v="0"/>
    <x v="12"/>
    <s v="Masterista Syrup Salted Caramel 850 ML"/>
    <n v="1"/>
    <s v="BTL"/>
    <n v="1"/>
    <n v="110000"/>
    <n v="0"/>
    <s v="Invoice"/>
    <s v="Sudah Jadi FJ"/>
    <s v=""/>
  </r>
  <r>
    <d v="2026-04-04T00:00:00"/>
    <s v="SO-KU/2604/020064"/>
    <s v="MKU Bali"/>
    <x v="105"/>
    <x v="0"/>
    <x v="12"/>
    <s v="Savis Cold Infusions Vitalizing 50Pbx4g"/>
    <n v="1"/>
    <s v="BOX"/>
    <n v="1"/>
    <n v="166500"/>
    <n v="0"/>
    <s v="Invoice"/>
    <s v="Sudah Jadi FJ"/>
    <s v=""/>
  </r>
  <r>
    <d v="2026-04-04T00:00:00"/>
    <s v="SO-KU/2604/020065"/>
    <s v="MKU Bali"/>
    <x v="106"/>
    <x v="0"/>
    <x v="11"/>
    <s v="Crr Rock'n Hash Brown Triangular 2.5Kg"/>
    <n v="2"/>
    <s v="PACK"/>
    <n v="2"/>
    <n v="275000"/>
    <n v="0"/>
    <s v="Invoice"/>
    <s v="Sudah Jadi FJ"/>
    <s v=""/>
  </r>
  <r>
    <d v="2026-04-04T00:00:00"/>
    <s v="SO-KU/2604/020065"/>
    <s v="MKU Bali"/>
    <x v="106"/>
    <x v="0"/>
    <x v="11"/>
    <s v="Crr Rock'n Waffle Fries 2.5 Kg"/>
    <n v="1"/>
    <s v="PACK"/>
    <n v="1"/>
    <n v="140000.01"/>
    <n v="0"/>
    <s v="Invoice"/>
    <s v="Sudah Jadi FJ"/>
    <s v=""/>
  </r>
  <r>
    <d v="2026-04-04T00:00:00"/>
    <s v="SO-KU/2604/020066"/>
    <s v="MKU Bali"/>
    <x v="81"/>
    <x v="0"/>
    <x v="18"/>
    <s v="Pork B Sliced (1kg/pack)"/>
    <n v="3"/>
    <s v="KG"/>
    <n v="3"/>
    <n v="285000"/>
    <n v="0"/>
    <s v="Invoice"/>
    <s v="Sudah Jadi FJ"/>
    <s v=""/>
  </r>
  <r>
    <d v="2026-04-04T00:00:00"/>
    <s v="SO-KU/2604/020067"/>
    <s v="MKU Bali"/>
    <x v="81"/>
    <x v="0"/>
    <x v="18"/>
    <s v="MAMAS BELLY RIND ON SB OUT (SKIN ON) 3-5KG/PACK"/>
    <n v="7"/>
    <s v="KG"/>
    <n v="5.75"/>
    <n v="629625"/>
    <n v="-1.25"/>
    <s v="Invoice"/>
    <s v="Sudah Jadi FJ"/>
    <s v=""/>
  </r>
  <r>
    <d v="2026-04-04T00:00:00"/>
    <s v="SO-KU/2604/020067"/>
    <s v="MKU Bali"/>
    <x v="81"/>
    <x v="0"/>
    <x v="18"/>
    <s v="Crr Rock'n Batter Skin On Fries 9x9mm 10Kg/Ctn"/>
    <n v="2"/>
    <s v="KTN"/>
    <n v="2"/>
    <n v="849999.99"/>
    <n v="0"/>
    <s v="Invoice"/>
    <s v="Sudah Jadi FJ"/>
    <s v=""/>
  </r>
  <r>
    <d v="2026-04-04T00:00:00"/>
    <s v="SO-KU/2604/020068"/>
    <s v="MKU Bali"/>
    <x v="107"/>
    <x v="0"/>
    <x v="2"/>
    <s v="Gold Box Extra Butter MP341"/>
    <n v="25"/>
    <s v="KG"/>
    <n v="25"/>
    <n v="3374999.96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27188-D983-43F4-8448-0CE879ACE78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2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09">
        <item x="24"/>
        <item x="4"/>
        <item x="36"/>
        <item x="19"/>
        <item x="79"/>
        <item x="45"/>
        <item x="103"/>
        <item x="69"/>
        <item x="101"/>
        <item x="96"/>
        <item x="43"/>
        <item x="94"/>
        <item x="21"/>
        <item x="30"/>
        <item x="15"/>
        <item x="97"/>
        <item x="5"/>
        <item x="9"/>
        <item x="49"/>
        <item x="72"/>
        <item x="32"/>
        <item x="75"/>
        <item x="42"/>
        <item x="54"/>
        <item x="27"/>
        <item x="82"/>
        <item x="57"/>
        <item x="66"/>
        <item x="41"/>
        <item x="33"/>
        <item x="102"/>
        <item x="107"/>
        <item x="17"/>
        <item x="12"/>
        <item x="80"/>
        <item x="16"/>
        <item x="28"/>
        <item x="52"/>
        <item x="60"/>
        <item x="106"/>
        <item x="18"/>
        <item x="39"/>
        <item x="10"/>
        <item x="62"/>
        <item x="35"/>
        <item x="61"/>
        <item x="86"/>
        <item x="92"/>
        <item x="90"/>
        <item x="31"/>
        <item x="6"/>
        <item x="55"/>
        <item x="98"/>
        <item x="48"/>
        <item x="84"/>
        <item x="40"/>
        <item x="81"/>
        <item x="77"/>
        <item x="91"/>
        <item x="71"/>
        <item x="70"/>
        <item x="20"/>
        <item x="47"/>
        <item x="46"/>
        <item x="73"/>
        <item x="67"/>
        <item x="7"/>
        <item x="53"/>
        <item x="11"/>
        <item x="26"/>
        <item x="37"/>
        <item x="51"/>
        <item x="38"/>
        <item x="34"/>
        <item x="22"/>
        <item x="50"/>
        <item x="29"/>
        <item x="88"/>
        <item x="2"/>
        <item x="74"/>
        <item x="59"/>
        <item x="56"/>
        <item x="89"/>
        <item x="63"/>
        <item x="14"/>
        <item x="0"/>
        <item x="68"/>
        <item x="44"/>
        <item x="76"/>
        <item x="105"/>
        <item x="3"/>
        <item x="58"/>
        <item x="100"/>
        <item x="64"/>
        <item x="104"/>
        <item x="83"/>
        <item x="95"/>
        <item x="78"/>
        <item x="13"/>
        <item x="65"/>
        <item x="99"/>
        <item x="93"/>
        <item x="8"/>
        <item x="25"/>
        <item x="1"/>
        <item x="23"/>
        <item x="85"/>
        <item x="87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16"/>
        <item x="0"/>
        <item x="2"/>
        <item x="9"/>
        <item x="8"/>
        <item x="3"/>
        <item x="15"/>
        <item x="17"/>
        <item x="18"/>
        <item x="12"/>
        <item x="19"/>
        <item x="13"/>
        <item x="5"/>
        <item x="6"/>
        <item x="1"/>
        <item x="14"/>
        <item x="11"/>
        <item x="7"/>
        <item x="10"/>
        <item x="4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99">
    <i>
      <x/>
    </i>
    <i r="1">
      <x v="73"/>
    </i>
    <i>
      <x v="1"/>
    </i>
    <i r="1">
      <x v="18"/>
    </i>
    <i r="1">
      <x v="24"/>
    </i>
    <i r="1">
      <x v="53"/>
    </i>
    <i r="1">
      <x v="85"/>
    </i>
    <i>
      <x v="2"/>
    </i>
    <i r="1">
      <x v="10"/>
    </i>
    <i r="1">
      <x v="31"/>
    </i>
    <i r="1">
      <x v="49"/>
    </i>
    <i r="1">
      <x v="55"/>
    </i>
    <i r="1">
      <x v="76"/>
    </i>
    <i r="1">
      <x v="78"/>
    </i>
    <i>
      <x v="3"/>
    </i>
    <i r="1">
      <x v="33"/>
    </i>
    <i r="1">
      <x v="81"/>
    </i>
    <i r="1">
      <x v="94"/>
    </i>
    <i r="1">
      <x v="95"/>
    </i>
    <i>
      <x v="4"/>
    </i>
    <i r="1">
      <x v="6"/>
    </i>
    <i r="1">
      <x v="11"/>
    </i>
    <i>
      <x v="5"/>
    </i>
    <i r="1">
      <x/>
    </i>
    <i r="1">
      <x v="20"/>
    </i>
    <i r="1">
      <x v="34"/>
    </i>
    <i r="1">
      <x v="52"/>
    </i>
    <i r="1">
      <x v="62"/>
    </i>
    <i r="1">
      <x v="63"/>
    </i>
    <i r="1">
      <x v="103"/>
    </i>
    <i>
      <x v="6"/>
    </i>
    <i r="1">
      <x v="71"/>
    </i>
    <i r="1">
      <x v="72"/>
    </i>
    <i r="1">
      <x v="73"/>
    </i>
    <i r="1">
      <x v="75"/>
    </i>
    <i>
      <x v="7"/>
    </i>
    <i r="1">
      <x v="4"/>
    </i>
    <i r="1">
      <x v="7"/>
    </i>
    <i r="1">
      <x v="64"/>
    </i>
    <i r="1">
      <x v="79"/>
    </i>
    <i r="1">
      <x v="87"/>
    </i>
    <i>
      <x v="8"/>
    </i>
    <i r="1">
      <x v="25"/>
    </i>
    <i r="1">
      <x v="56"/>
    </i>
    <i>
      <x v="9"/>
    </i>
    <i r="1">
      <x v="14"/>
    </i>
    <i r="1">
      <x v="41"/>
    </i>
    <i r="1">
      <x v="43"/>
    </i>
    <i r="1">
      <x v="45"/>
    </i>
    <i r="1">
      <x v="51"/>
    </i>
    <i r="1">
      <x v="59"/>
    </i>
    <i r="1">
      <x v="65"/>
    </i>
    <i r="1">
      <x v="89"/>
    </i>
    <i r="1">
      <x v="91"/>
    </i>
    <i r="1">
      <x v="97"/>
    </i>
    <i r="1">
      <x v="99"/>
    </i>
    <i>
      <x v="11"/>
    </i>
    <i r="1">
      <x v="35"/>
    </i>
    <i r="1">
      <x v="69"/>
    </i>
    <i>
      <x v="12"/>
    </i>
    <i r="1">
      <x v="61"/>
    </i>
    <i r="1">
      <x v="66"/>
    </i>
    <i>
      <x v="13"/>
    </i>
    <i r="1">
      <x v="23"/>
    </i>
    <i r="1">
      <x v="102"/>
    </i>
    <i>
      <x v="14"/>
    </i>
    <i r="1">
      <x v="3"/>
    </i>
    <i r="1">
      <x v="12"/>
    </i>
    <i r="1">
      <x v="71"/>
    </i>
    <i r="1">
      <x v="80"/>
    </i>
    <i r="1">
      <x v="86"/>
    </i>
    <i r="1">
      <x v="104"/>
    </i>
    <i>
      <x v="15"/>
    </i>
    <i r="1">
      <x v="74"/>
    </i>
    <i r="1">
      <x v="75"/>
    </i>
    <i>
      <x v="16"/>
    </i>
    <i r="1">
      <x v="5"/>
    </i>
    <i r="1">
      <x v="30"/>
    </i>
    <i r="1">
      <x v="39"/>
    </i>
    <i r="1">
      <x v="57"/>
    </i>
    <i r="1">
      <x v="67"/>
    </i>
    <i r="1">
      <x v="92"/>
    </i>
    <i r="1">
      <x v="96"/>
    </i>
    <i>
      <x v="17"/>
    </i>
    <i r="1">
      <x v="17"/>
    </i>
    <i r="1">
      <x v="83"/>
    </i>
    <i r="1">
      <x v="88"/>
    </i>
    <i r="1">
      <x v="107"/>
    </i>
    <i>
      <x v="18"/>
    </i>
    <i r="1">
      <x v="8"/>
    </i>
    <i r="1">
      <x v="26"/>
    </i>
    <i r="1">
      <x v="29"/>
    </i>
    <i r="1">
      <x v="70"/>
    </i>
    <i r="1">
      <x v="77"/>
    </i>
    <i>
      <x v="19"/>
    </i>
    <i r="1">
      <x v="28"/>
    </i>
    <i r="1">
      <x v="32"/>
    </i>
    <i r="1">
      <x v="101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5">
    <format dxfId="29">
      <pivotArea outline="0" collapsedLevelsAreSubtotals="1" fieldPosition="0"/>
    </format>
    <format dxfId="28">
      <pivotArea dataOnly="0" labelOnly="1" outline="0" fieldPosition="0">
        <references count="1">
          <reference field="4" count="0"/>
        </references>
      </pivotArea>
    </format>
    <format dxfId="27">
      <pivotArea dataOnly="0" labelOnly="1" outline="0" axis="axisValues" fieldPosition="0"/>
    </format>
    <format dxfId="26">
      <pivotArea collapsedLevelsAreSubtotals="1" fieldPosition="0">
        <references count="2">
          <reference field="3" count="1">
            <x v="68"/>
          </reference>
          <reference field="5" count="1" selected="0">
            <x v="1"/>
          </reference>
        </references>
      </pivotArea>
    </format>
    <format dxfId="25">
      <pivotArea collapsedLevelsAreSubtotals="1" fieldPosition="0">
        <references count="2">
          <reference field="3" count="1">
            <x v="94"/>
          </reference>
          <reference field="5" count="1" selected="0">
            <x v="3"/>
          </reference>
        </references>
      </pivotArea>
    </format>
    <format dxfId="24">
      <pivotArea collapsedLevelsAreSubtotals="1" fieldPosition="0">
        <references count="2">
          <reference field="3" count="1">
            <x v="46"/>
          </reference>
          <reference field="5" count="1" selected="0">
            <x v="4"/>
          </reference>
        </references>
      </pivotArea>
    </format>
    <format dxfId="23">
      <pivotArea collapsedLevelsAreSubtotals="1" fieldPosition="0">
        <references count="2">
          <reference field="3" count="2">
            <x v="73"/>
            <x v="75"/>
          </reference>
          <reference field="5" count="1" selected="0">
            <x v="6"/>
          </reference>
        </references>
      </pivotArea>
    </format>
    <format dxfId="22">
      <pivotArea collapsedLevelsAreSubtotals="1" fieldPosition="0">
        <references count="2">
          <reference field="3" count="1">
            <x v="87"/>
          </reference>
          <reference field="5" count="1" selected="0">
            <x v="7"/>
          </reference>
        </references>
      </pivotArea>
    </format>
    <format dxfId="21">
      <pivotArea collapsedLevelsAreSubtotals="1" fieldPosition="0">
        <references count="2">
          <reference field="3" count="1">
            <x v="64"/>
          </reference>
          <reference field="5" count="1" selected="0">
            <x v="7"/>
          </reference>
        </references>
      </pivotArea>
    </format>
    <format dxfId="20">
      <pivotArea collapsedLevelsAreSubtotals="1" fieldPosition="0">
        <references count="2">
          <reference field="3" count="1">
            <x v="4"/>
          </reference>
          <reference field="5" count="1" selected="0">
            <x v="7"/>
          </reference>
        </references>
      </pivotArea>
    </format>
    <format dxfId="19">
      <pivotArea collapsedLevelsAreSubtotals="1" fieldPosition="0">
        <references count="2">
          <reference field="3" count="1">
            <x v="25"/>
          </reference>
          <reference field="5" count="1" selected="0">
            <x v="8"/>
          </reference>
        </references>
      </pivotArea>
    </format>
    <format dxfId="18">
      <pivotArea collapsedLevelsAreSubtotals="1" fieldPosition="0">
        <references count="2">
          <reference field="3" count="1">
            <x v="51"/>
          </reference>
          <reference field="5" count="1" selected="0">
            <x v="9"/>
          </reference>
        </references>
      </pivotArea>
    </format>
    <format dxfId="17">
      <pivotArea collapsedLevelsAreSubtotals="1" fieldPosition="0">
        <references count="2">
          <reference field="3" count="1">
            <x v="89"/>
          </reference>
          <reference field="5" count="1" selected="0">
            <x v="9"/>
          </reference>
        </references>
      </pivotArea>
    </format>
    <format dxfId="16">
      <pivotArea collapsedLevelsAreSubtotals="1" fieldPosition="0">
        <references count="2">
          <reference field="3" count="1">
            <x v="102"/>
          </reference>
          <reference field="5" count="1" selected="0">
            <x v="13"/>
          </reference>
        </references>
      </pivotArea>
    </format>
    <format dxfId="15">
      <pivotArea collapsedLevelsAreSubtotals="1" fieldPosition="0">
        <references count="2">
          <reference field="3" count="1">
            <x v="98"/>
          </reference>
          <reference field="5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F62F-6A28-4D39-8382-24D5B128CAF4}">
  <dimension ref="A1:B135"/>
  <sheetViews>
    <sheetView workbookViewId="0">
      <selection sqref="A1:B102"/>
    </sheetView>
  </sheetViews>
  <sheetFormatPr defaultRowHeight="15" x14ac:dyDescent="0.25"/>
  <cols>
    <col min="1" max="1" width="46.7109375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428</v>
      </c>
      <c r="B3" s="9" t="s">
        <v>430</v>
      </c>
    </row>
    <row r="4" spans="1:2" x14ac:dyDescent="0.25">
      <c r="A4" s="6" t="s">
        <v>30</v>
      </c>
      <c r="B4" s="9">
        <v>1583999.99</v>
      </c>
    </row>
    <row r="5" spans="1:2" x14ac:dyDescent="0.25">
      <c r="A5" s="7" t="s">
        <v>163</v>
      </c>
      <c r="B5" s="9">
        <v>1583999.99</v>
      </c>
    </row>
    <row r="6" spans="1:2" x14ac:dyDescent="0.25">
      <c r="A6" s="6" t="s">
        <v>19</v>
      </c>
      <c r="B6" s="9">
        <v>10442999.949999999</v>
      </c>
    </row>
    <row r="7" spans="1:2" x14ac:dyDescent="0.25">
      <c r="A7" s="7" t="s">
        <v>211</v>
      </c>
      <c r="B7" s="9">
        <v>3644999.95</v>
      </c>
    </row>
    <row r="8" spans="1:2" x14ac:dyDescent="0.25">
      <c r="A8" s="7" t="s">
        <v>139</v>
      </c>
      <c r="B8" s="9">
        <v>905000.01</v>
      </c>
    </row>
    <row r="9" spans="1:2" x14ac:dyDescent="0.25">
      <c r="A9" s="7" t="s">
        <v>209</v>
      </c>
      <c r="B9" s="9">
        <v>333000</v>
      </c>
    </row>
    <row r="10" spans="1:2" x14ac:dyDescent="0.25">
      <c r="A10" s="7" t="s">
        <v>17</v>
      </c>
      <c r="B10" s="9">
        <v>5559999.9900000002</v>
      </c>
    </row>
    <row r="11" spans="1:2" x14ac:dyDescent="0.25">
      <c r="A11" s="6" t="s">
        <v>36</v>
      </c>
      <c r="B11" s="9">
        <v>11333559.899999999</v>
      </c>
    </row>
    <row r="12" spans="1:2" x14ac:dyDescent="0.25">
      <c r="A12" s="7" t="s">
        <v>190</v>
      </c>
      <c r="B12" s="9">
        <v>637200</v>
      </c>
    </row>
    <row r="13" spans="1:2" x14ac:dyDescent="0.25">
      <c r="A13" s="7" t="s">
        <v>426</v>
      </c>
      <c r="B13" s="9">
        <v>3374999.96</v>
      </c>
    </row>
    <row r="14" spans="1:2" x14ac:dyDescent="0.25">
      <c r="A14" s="7" t="s">
        <v>152</v>
      </c>
      <c r="B14" s="9">
        <v>788800</v>
      </c>
    </row>
    <row r="15" spans="1:2" x14ac:dyDescent="0.25">
      <c r="A15" s="7" t="s">
        <v>183</v>
      </c>
      <c r="B15" s="9">
        <v>982350</v>
      </c>
    </row>
    <row r="16" spans="1:2" x14ac:dyDescent="0.25">
      <c r="A16" s="7" t="s">
        <v>144</v>
      </c>
      <c r="B16" s="9">
        <v>2237760</v>
      </c>
    </row>
    <row r="17" spans="1:2" x14ac:dyDescent="0.25">
      <c r="A17" s="7" t="s">
        <v>35</v>
      </c>
      <c r="B17" s="9">
        <v>3312449.9399999995</v>
      </c>
    </row>
    <row r="18" spans="1:2" x14ac:dyDescent="0.25">
      <c r="A18" s="6" t="s">
        <v>87</v>
      </c>
      <c r="B18" s="9">
        <v>9384381.4199999999</v>
      </c>
    </row>
    <row r="19" spans="1:2" x14ac:dyDescent="0.25">
      <c r="A19" s="7" t="s">
        <v>86</v>
      </c>
      <c r="B19" s="9">
        <v>2879999.99</v>
      </c>
    </row>
    <row r="20" spans="1:2" x14ac:dyDescent="0.25">
      <c r="A20" s="7" t="s">
        <v>234</v>
      </c>
      <c r="B20" s="9">
        <v>4014541.44</v>
      </c>
    </row>
    <row r="21" spans="1:2" x14ac:dyDescent="0.25">
      <c r="A21" s="7" t="s">
        <v>413</v>
      </c>
      <c r="B21" s="10">
        <v>248000</v>
      </c>
    </row>
    <row r="22" spans="1:2" x14ac:dyDescent="0.25">
      <c r="A22" s="7" t="s">
        <v>310</v>
      </c>
      <c r="B22" s="9">
        <v>2241839.9900000002</v>
      </c>
    </row>
    <row r="23" spans="1:2" x14ac:dyDescent="0.25">
      <c r="A23" s="6" t="s">
        <v>81</v>
      </c>
      <c r="B23" s="9">
        <v>3525685.13</v>
      </c>
    </row>
    <row r="24" spans="1:2" x14ac:dyDescent="0.25">
      <c r="A24" s="7" t="s">
        <v>408</v>
      </c>
      <c r="B24" s="9">
        <v>1052835</v>
      </c>
    </row>
    <row r="25" spans="1:2" x14ac:dyDescent="0.25">
      <c r="A25" s="7" t="s">
        <v>361</v>
      </c>
      <c r="B25" s="9">
        <v>2472850.13</v>
      </c>
    </row>
    <row r="26" spans="1:2" x14ac:dyDescent="0.25">
      <c r="A26" s="6" t="s">
        <v>55</v>
      </c>
      <c r="B26" s="9">
        <v>18073939.84</v>
      </c>
    </row>
    <row r="27" spans="1:2" x14ac:dyDescent="0.25">
      <c r="A27" s="7" t="s">
        <v>132</v>
      </c>
      <c r="B27" s="9">
        <v>327450</v>
      </c>
    </row>
    <row r="28" spans="1:2" x14ac:dyDescent="0.25">
      <c r="A28" s="7" t="s">
        <v>155</v>
      </c>
      <c r="B28" s="9">
        <v>5999999.9900000002</v>
      </c>
    </row>
    <row r="29" spans="1:2" x14ac:dyDescent="0.25">
      <c r="A29" s="7" t="s">
        <v>303</v>
      </c>
      <c r="B29" s="9">
        <v>654900</v>
      </c>
    </row>
    <row r="30" spans="1:2" x14ac:dyDescent="0.25">
      <c r="A30" s="7" t="s">
        <v>382</v>
      </c>
      <c r="B30" s="9">
        <v>1439999.96</v>
      </c>
    </row>
    <row r="31" spans="1:2" x14ac:dyDescent="0.25">
      <c r="A31" s="7" t="s">
        <v>206</v>
      </c>
      <c r="B31" s="9">
        <v>2376589.98</v>
      </c>
    </row>
    <row r="32" spans="1:2" x14ac:dyDescent="0.25">
      <c r="A32" s="7" t="s">
        <v>203</v>
      </c>
      <c r="B32" s="9">
        <v>1904999.93</v>
      </c>
    </row>
    <row r="33" spans="1:2" x14ac:dyDescent="0.25">
      <c r="A33" s="7" t="s">
        <v>134</v>
      </c>
      <c r="B33" s="9">
        <v>5369999.9800000004</v>
      </c>
    </row>
    <row r="34" spans="1:2" x14ac:dyDescent="0.25">
      <c r="A34" s="6" t="s">
        <v>164</v>
      </c>
      <c r="B34" s="9">
        <v>939599.77</v>
      </c>
    </row>
    <row r="35" spans="1:2" x14ac:dyDescent="0.25">
      <c r="A35" s="7" t="s">
        <v>216</v>
      </c>
      <c r="B35" s="9">
        <v>417599.9</v>
      </c>
    </row>
    <row r="36" spans="1:2" x14ac:dyDescent="0.25">
      <c r="A36" s="7" t="s">
        <v>178</v>
      </c>
      <c r="B36" s="9">
        <v>313199.93</v>
      </c>
    </row>
    <row r="37" spans="1:2" x14ac:dyDescent="0.25">
      <c r="A37" s="7" t="s">
        <v>163</v>
      </c>
      <c r="B37" s="10">
        <v>104399.97</v>
      </c>
    </row>
    <row r="38" spans="1:2" x14ac:dyDescent="0.25">
      <c r="A38" s="7" t="s">
        <v>213</v>
      </c>
      <c r="B38" s="10">
        <v>104399.97</v>
      </c>
    </row>
    <row r="39" spans="1:2" x14ac:dyDescent="0.25">
      <c r="A39" s="6" t="s">
        <v>194</v>
      </c>
      <c r="B39" s="9">
        <v>14956809.9</v>
      </c>
    </row>
    <row r="40" spans="1:2" x14ac:dyDescent="0.25">
      <c r="A40" s="7" t="s">
        <v>301</v>
      </c>
      <c r="B40" s="10">
        <v>66600</v>
      </c>
    </row>
    <row r="41" spans="1:2" x14ac:dyDescent="0.25">
      <c r="A41" s="7" t="s">
        <v>269</v>
      </c>
      <c r="B41" s="9">
        <v>12804959.9</v>
      </c>
    </row>
    <row r="42" spans="1:2" x14ac:dyDescent="0.25">
      <c r="A42" s="7" t="s">
        <v>284</v>
      </c>
      <c r="B42" s="10">
        <v>226000</v>
      </c>
    </row>
    <row r="43" spans="1:2" x14ac:dyDescent="0.25">
      <c r="A43" s="7" t="s">
        <v>287</v>
      </c>
      <c r="B43" s="9">
        <v>1776000</v>
      </c>
    </row>
    <row r="44" spans="1:2" x14ac:dyDescent="0.25">
      <c r="A44" s="7" t="s">
        <v>193</v>
      </c>
      <c r="B44" s="10">
        <v>83250</v>
      </c>
    </row>
    <row r="45" spans="1:2" x14ac:dyDescent="0.25">
      <c r="A45" s="6" t="s">
        <v>230</v>
      </c>
      <c r="B45" s="9">
        <v>2149624.9900000002</v>
      </c>
    </row>
    <row r="46" spans="1:2" x14ac:dyDescent="0.25">
      <c r="A46" s="7" t="s">
        <v>307</v>
      </c>
      <c r="B46" s="10">
        <v>148000</v>
      </c>
    </row>
    <row r="47" spans="1:2" x14ac:dyDescent="0.25">
      <c r="A47" s="7" t="s">
        <v>305</v>
      </c>
      <c r="B47" s="9">
        <v>2001624.99</v>
      </c>
    </row>
    <row r="48" spans="1:2" x14ac:dyDescent="0.25">
      <c r="A48" s="6" t="s">
        <v>99</v>
      </c>
      <c r="B48" s="9">
        <v>25642029.959999997</v>
      </c>
    </row>
    <row r="49" spans="1:2" x14ac:dyDescent="0.25">
      <c r="A49" s="7" t="s">
        <v>98</v>
      </c>
      <c r="B49" s="9">
        <v>1800000</v>
      </c>
    </row>
    <row r="50" spans="1:2" x14ac:dyDescent="0.25">
      <c r="A50" s="7" t="s">
        <v>180</v>
      </c>
      <c r="B50" s="9">
        <v>10110200</v>
      </c>
    </row>
    <row r="51" spans="1:2" x14ac:dyDescent="0.25">
      <c r="A51" s="7" t="s">
        <v>250</v>
      </c>
      <c r="B51" s="9">
        <v>3517349.9699999997</v>
      </c>
    </row>
    <row r="52" spans="1:2" x14ac:dyDescent="0.25">
      <c r="A52" s="7" t="s">
        <v>249</v>
      </c>
      <c r="B52" s="9">
        <v>982350</v>
      </c>
    </row>
    <row r="53" spans="1:2" x14ac:dyDescent="0.25">
      <c r="A53" s="7" t="s">
        <v>228</v>
      </c>
      <c r="B53" s="10">
        <v>289080</v>
      </c>
    </row>
    <row r="54" spans="1:2" x14ac:dyDescent="0.25">
      <c r="A54" s="7" t="s">
        <v>274</v>
      </c>
      <c r="B54" s="9">
        <v>4419350</v>
      </c>
    </row>
    <row r="55" spans="1:2" x14ac:dyDescent="0.25">
      <c r="A55" s="7" t="s">
        <v>263</v>
      </c>
      <c r="B55" s="9">
        <v>863200</v>
      </c>
    </row>
    <row r="56" spans="1:2" x14ac:dyDescent="0.25">
      <c r="A56" s="7" t="s">
        <v>417</v>
      </c>
      <c r="B56" s="10">
        <v>276500</v>
      </c>
    </row>
    <row r="57" spans="1:2" x14ac:dyDescent="0.25">
      <c r="A57" s="7" t="s">
        <v>238</v>
      </c>
      <c r="B57" s="9">
        <v>2100000</v>
      </c>
    </row>
    <row r="58" spans="1:2" x14ac:dyDescent="0.25">
      <c r="A58" s="7" t="s">
        <v>298</v>
      </c>
      <c r="B58" s="9">
        <v>983999.99</v>
      </c>
    </row>
    <row r="59" spans="1:2" x14ac:dyDescent="0.25">
      <c r="A59" s="7" t="s">
        <v>259</v>
      </c>
      <c r="B59" s="9">
        <v>300000</v>
      </c>
    </row>
    <row r="60" spans="1:2" x14ac:dyDescent="0.25">
      <c r="A60" s="6" t="s">
        <v>102</v>
      </c>
      <c r="B60" s="9">
        <v>3975626.4699999997</v>
      </c>
    </row>
    <row r="61" spans="1:2" x14ac:dyDescent="0.25">
      <c r="A61" s="7" t="s">
        <v>101</v>
      </c>
      <c r="B61" s="9">
        <v>1973580</v>
      </c>
    </row>
    <row r="62" spans="1:2" x14ac:dyDescent="0.25">
      <c r="A62" s="7" t="s">
        <v>136</v>
      </c>
      <c r="B62" s="9">
        <v>2002046.47</v>
      </c>
    </row>
    <row r="63" spans="1:2" x14ac:dyDescent="0.25">
      <c r="A63" s="6" t="s">
        <v>66</v>
      </c>
      <c r="B63" s="9">
        <v>1234469.8999999999</v>
      </c>
    </row>
    <row r="64" spans="1:2" x14ac:dyDescent="0.25">
      <c r="A64" s="7" t="s">
        <v>123</v>
      </c>
      <c r="B64" s="9">
        <v>383099.99</v>
      </c>
    </row>
    <row r="65" spans="1:2" x14ac:dyDescent="0.25">
      <c r="A65" s="7" t="s">
        <v>65</v>
      </c>
      <c r="B65" s="9">
        <v>851369.91</v>
      </c>
    </row>
    <row r="66" spans="1:2" x14ac:dyDescent="0.25">
      <c r="A66" s="6" t="s">
        <v>71</v>
      </c>
      <c r="B66" s="9">
        <v>5359199.95</v>
      </c>
    </row>
    <row r="67" spans="1:2" x14ac:dyDescent="0.25">
      <c r="A67" s="7" t="s">
        <v>226</v>
      </c>
      <c r="B67" s="9">
        <v>5150849.9400000004</v>
      </c>
    </row>
    <row r="68" spans="1:2" x14ac:dyDescent="0.25">
      <c r="A68" s="7" t="s">
        <v>70</v>
      </c>
      <c r="B68" s="10">
        <v>208350.01</v>
      </c>
    </row>
    <row r="69" spans="1:2" x14ac:dyDescent="0.25">
      <c r="A69" s="6" t="s">
        <v>27</v>
      </c>
      <c r="B69" s="9">
        <v>17746717.52</v>
      </c>
    </row>
    <row r="70" spans="1:2" x14ac:dyDescent="0.25">
      <c r="A70" s="7" t="s">
        <v>118</v>
      </c>
      <c r="B70" s="9">
        <v>6784320</v>
      </c>
    </row>
    <row r="71" spans="1:2" x14ac:dyDescent="0.25">
      <c r="A71" s="7" t="s">
        <v>125</v>
      </c>
      <c r="B71" s="9">
        <v>450433.76</v>
      </c>
    </row>
    <row r="72" spans="1:2" x14ac:dyDescent="0.25">
      <c r="A72" s="7" t="s">
        <v>216</v>
      </c>
      <c r="B72" s="9">
        <v>1583999.99</v>
      </c>
    </row>
    <row r="73" spans="1:2" x14ac:dyDescent="0.25">
      <c r="A73" s="7" t="s">
        <v>240</v>
      </c>
      <c r="B73" s="9">
        <v>4150800.25</v>
      </c>
    </row>
    <row r="74" spans="1:2" x14ac:dyDescent="0.25">
      <c r="A74" s="7" t="s">
        <v>266</v>
      </c>
      <c r="B74" s="9">
        <v>361799.99</v>
      </c>
    </row>
    <row r="75" spans="1:2" x14ac:dyDescent="0.25">
      <c r="A75" s="7" t="s">
        <v>26</v>
      </c>
      <c r="B75" s="9">
        <v>4415363.53</v>
      </c>
    </row>
    <row r="76" spans="1:2" x14ac:dyDescent="0.25">
      <c r="A76" s="6" t="s">
        <v>128</v>
      </c>
      <c r="B76" s="9">
        <v>6396259.9700000007</v>
      </c>
    </row>
    <row r="77" spans="1:2" x14ac:dyDescent="0.25">
      <c r="A77" s="7" t="s">
        <v>127</v>
      </c>
      <c r="B77" s="9">
        <v>3167999.98</v>
      </c>
    </row>
    <row r="78" spans="1:2" x14ac:dyDescent="0.25">
      <c r="A78" s="7" t="s">
        <v>213</v>
      </c>
      <c r="B78" s="9">
        <v>3228259.99</v>
      </c>
    </row>
    <row r="79" spans="1:2" x14ac:dyDescent="0.25">
      <c r="A79" s="6" t="s">
        <v>96</v>
      </c>
      <c r="B79" s="9">
        <v>8459218.0600000005</v>
      </c>
    </row>
    <row r="80" spans="1:2" x14ac:dyDescent="0.25">
      <c r="A80" s="7" t="s">
        <v>196</v>
      </c>
      <c r="B80" s="9">
        <v>1860138</v>
      </c>
    </row>
    <row r="81" spans="1:2" x14ac:dyDescent="0.25">
      <c r="A81" s="7" t="s">
        <v>405</v>
      </c>
      <c r="B81" s="9">
        <v>1388279.95</v>
      </c>
    </row>
    <row r="82" spans="1:2" x14ac:dyDescent="0.25">
      <c r="A82" s="7" t="s">
        <v>420</v>
      </c>
      <c r="B82" s="9">
        <v>415000.01</v>
      </c>
    </row>
    <row r="83" spans="1:2" x14ac:dyDescent="0.25">
      <c r="A83" s="7" t="s">
        <v>295</v>
      </c>
      <c r="B83" s="9">
        <v>856800</v>
      </c>
    </row>
    <row r="84" spans="1:2" x14ac:dyDescent="0.25">
      <c r="A84" s="7" t="s">
        <v>224</v>
      </c>
      <c r="B84" s="9">
        <v>945000</v>
      </c>
    </row>
    <row r="85" spans="1:2" x14ac:dyDescent="0.25">
      <c r="A85" s="7" t="s">
        <v>388</v>
      </c>
      <c r="B85" s="9">
        <v>434000</v>
      </c>
    </row>
    <row r="86" spans="1:2" x14ac:dyDescent="0.25">
      <c r="A86" s="7" t="s">
        <v>364</v>
      </c>
      <c r="B86" s="9">
        <v>2560000.1</v>
      </c>
    </row>
    <row r="87" spans="1:2" x14ac:dyDescent="0.25">
      <c r="A87" s="6" t="s">
        <v>76</v>
      </c>
      <c r="B87" s="9">
        <v>8600259.9700000007</v>
      </c>
    </row>
    <row r="88" spans="1:2" x14ac:dyDescent="0.25">
      <c r="A88" s="7" t="s">
        <v>75</v>
      </c>
      <c r="B88" s="9">
        <v>528000</v>
      </c>
    </row>
    <row r="89" spans="1:2" x14ac:dyDescent="0.25">
      <c r="A89" s="7" t="s">
        <v>253</v>
      </c>
      <c r="B89" s="9">
        <v>6059200</v>
      </c>
    </row>
    <row r="90" spans="1:2" x14ac:dyDescent="0.25">
      <c r="A90" s="7" t="s">
        <v>292</v>
      </c>
      <c r="B90" s="9">
        <v>984000</v>
      </c>
    </row>
    <row r="91" spans="1:2" x14ac:dyDescent="0.25">
      <c r="A91" s="7" t="s">
        <v>328</v>
      </c>
      <c r="B91" s="9">
        <v>1029059.97</v>
      </c>
    </row>
    <row r="92" spans="1:2" x14ac:dyDescent="0.25">
      <c r="A92" s="6" t="s">
        <v>92</v>
      </c>
      <c r="B92" s="9">
        <v>24121199.900000002</v>
      </c>
    </row>
    <row r="93" spans="1:2" x14ac:dyDescent="0.25">
      <c r="A93" s="7" t="s">
        <v>403</v>
      </c>
      <c r="B93" s="9">
        <v>983999.99</v>
      </c>
    </row>
    <row r="94" spans="1:2" x14ac:dyDescent="0.25">
      <c r="A94" s="7" t="s">
        <v>236</v>
      </c>
      <c r="B94" s="9">
        <v>2030000</v>
      </c>
    </row>
    <row r="95" spans="1:2" x14ac:dyDescent="0.25">
      <c r="A95" s="7" t="s">
        <v>160</v>
      </c>
      <c r="B95" s="9">
        <v>16210199.940000001</v>
      </c>
    </row>
    <row r="96" spans="1:2" x14ac:dyDescent="0.25">
      <c r="A96" s="7" t="s">
        <v>175</v>
      </c>
      <c r="B96" s="9">
        <v>2952999.99</v>
      </c>
    </row>
    <row r="97" spans="1:2" x14ac:dyDescent="0.25">
      <c r="A97" s="7" t="s">
        <v>332</v>
      </c>
      <c r="B97" s="9">
        <v>1943999.98</v>
      </c>
    </row>
    <row r="98" spans="1:2" x14ac:dyDescent="0.25">
      <c r="A98" s="6" t="s">
        <v>59</v>
      </c>
      <c r="B98" s="9">
        <v>4862827.9700000007</v>
      </c>
    </row>
    <row r="99" spans="1:2" x14ac:dyDescent="0.25">
      <c r="A99" s="7" t="s">
        <v>185</v>
      </c>
      <c r="B99" s="9">
        <v>372960</v>
      </c>
    </row>
    <row r="100" spans="1:2" x14ac:dyDescent="0.25">
      <c r="A100" s="7" t="s">
        <v>107</v>
      </c>
      <c r="B100" s="9">
        <v>3989867.9700000007</v>
      </c>
    </row>
    <row r="101" spans="1:2" x14ac:dyDescent="0.25">
      <c r="A101" s="7" t="s">
        <v>358</v>
      </c>
      <c r="B101" s="9">
        <v>500000</v>
      </c>
    </row>
    <row r="102" spans="1:2" x14ac:dyDescent="0.25">
      <c r="A102" s="6" t="s">
        <v>429</v>
      </c>
      <c r="B102" s="9">
        <v>178788410.55999994</v>
      </c>
    </row>
    <row r="103" spans="1:2" x14ac:dyDescent="0.25">
      <c r="B103"/>
    </row>
    <row r="104" spans="1:2" x14ac:dyDescent="0.25">
      <c r="B104"/>
    </row>
    <row r="105" spans="1:2" x14ac:dyDescent="0.25">
      <c r="B105"/>
    </row>
    <row r="106" spans="1:2" x14ac:dyDescent="0.25">
      <c r="B106"/>
    </row>
    <row r="107" spans="1:2" x14ac:dyDescent="0.25">
      <c r="B107"/>
    </row>
    <row r="108" spans="1:2" x14ac:dyDescent="0.25">
      <c r="B108"/>
    </row>
    <row r="109" spans="1:2" x14ac:dyDescent="0.25">
      <c r="B109"/>
    </row>
    <row r="110" spans="1:2" x14ac:dyDescent="0.25">
      <c r="B110"/>
    </row>
    <row r="111" spans="1:2" x14ac:dyDescent="0.25">
      <c r="B111"/>
    </row>
    <row r="112" spans="1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14"/>
  <sheetViews>
    <sheetView tabSelected="1" workbookViewId="0">
      <pane ySplit="1" topLeftCell="A195" activePane="bottomLeft" state="frozen"/>
      <selection pane="bottomLeft" activeCell="K214" sqref="K214"/>
    </sheetView>
  </sheetViews>
  <sheetFormatPr defaultRowHeight="15" x14ac:dyDescent="0.25"/>
  <cols>
    <col min="1" max="1" width="12.42578125" style="1" customWidth="1"/>
    <col min="2" max="2" width="19.140625" style="2" customWidth="1"/>
    <col min="3" max="3" width="10.5703125" style="2" customWidth="1"/>
    <col min="4" max="4" width="38.8554687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33.285156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46116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20</v>
      </c>
      <c r="I2" s="2" t="s">
        <v>21</v>
      </c>
      <c r="J2" s="3">
        <v>20</v>
      </c>
      <c r="K2" s="11">
        <v>5559999.9900000002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46116</v>
      </c>
      <c r="B3" s="2" t="s">
        <v>25</v>
      </c>
      <c r="C3" s="2" t="s">
        <v>16</v>
      </c>
      <c r="D3" s="2" t="s">
        <v>26</v>
      </c>
      <c r="E3" s="2" t="s">
        <v>18</v>
      </c>
      <c r="F3" s="2" t="s">
        <v>27</v>
      </c>
      <c r="G3" s="2" t="s">
        <v>28</v>
      </c>
      <c r="H3" s="3">
        <v>16</v>
      </c>
      <c r="I3" s="2" t="s">
        <v>29</v>
      </c>
      <c r="J3" s="3">
        <v>16</v>
      </c>
      <c r="K3" s="11">
        <v>1111086.68</v>
      </c>
      <c r="L3" s="3">
        <v>0</v>
      </c>
      <c r="M3" s="2" t="s">
        <v>22</v>
      </c>
      <c r="N3" s="2" t="s">
        <v>23</v>
      </c>
      <c r="O3" s="2" t="s">
        <v>30</v>
      </c>
    </row>
    <row r="4" spans="1:15" x14ac:dyDescent="0.25">
      <c r="A4" s="1">
        <v>46116</v>
      </c>
      <c r="B4" s="2" t="s">
        <v>25</v>
      </c>
      <c r="C4" s="2" t="s">
        <v>16</v>
      </c>
      <c r="D4" s="2" t="s">
        <v>26</v>
      </c>
      <c r="E4" s="2" t="s">
        <v>18</v>
      </c>
      <c r="F4" s="2" t="s">
        <v>27</v>
      </c>
      <c r="G4" s="2" t="s">
        <v>31</v>
      </c>
      <c r="H4" s="3">
        <v>16</v>
      </c>
      <c r="I4" s="2" t="s">
        <v>29</v>
      </c>
      <c r="J4" s="3">
        <v>16</v>
      </c>
      <c r="K4" s="11">
        <v>1043665.28</v>
      </c>
      <c r="L4" s="3">
        <v>0</v>
      </c>
      <c r="M4" s="2" t="s">
        <v>22</v>
      </c>
      <c r="N4" s="2" t="s">
        <v>23</v>
      </c>
      <c r="O4" s="2" t="s">
        <v>30</v>
      </c>
    </row>
    <row r="5" spans="1:15" x14ac:dyDescent="0.25">
      <c r="A5" s="1">
        <v>46116</v>
      </c>
      <c r="B5" s="2" t="s">
        <v>25</v>
      </c>
      <c r="C5" s="2" t="s">
        <v>16</v>
      </c>
      <c r="D5" s="2" t="s">
        <v>26</v>
      </c>
      <c r="E5" s="2" t="s">
        <v>18</v>
      </c>
      <c r="F5" s="2" t="s">
        <v>27</v>
      </c>
      <c r="G5" s="2" t="s">
        <v>32</v>
      </c>
      <c r="H5" s="3">
        <v>12</v>
      </c>
      <c r="I5" s="2" t="s">
        <v>29</v>
      </c>
      <c r="J5" s="3">
        <v>12</v>
      </c>
      <c r="K5" s="11">
        <v>622633.41</v>
      </c>
      <c r="L5" s="3">
        <v>0</v>
      </c>
      <c r="M5" s="2" t="s">
        <v>22</v>
      </c>
      <c r="N5" s="2" t="s">
        <v>23</v>
      </c>
      <c r="O5" s="2" t="s">
        <v>30</v>
      </c>
    </row>
    <row r="6" spans="1:15" x14ac:dyDescent="0.25">
      <c r="A6" s="1">
        <v>46116</v>
      </c>
      <c r="B6" s="2" t="s">
        <v>25</v>
      </c>
      <c r="C6" s="2" t="s">
        <v>16</v>
      </c>
      <c r="D6" s="2" t="s">
        <v>26</v>
      </c>
      <c r="E6" s="2" t="s">
        <v>18</v>
      </c>
      <c r="F6" s="2" t="s">
        <v>27</v>
      </c>
      <c r="G6" s="2" t="s">
        <v>33</v>
      </c>
      <c r="H6" s="3">
        <v>16</v>
      </c>
      <c r="I6" s="2" t="s">
        <v>29</v>
      </c>
      <c r="J6" s="3">
        <v>16</v>
      </c>
      <c r="K6" s="11">
        <v>1637978.16</v>
      </c>
      <c r="L6" s="3">
        <v>0</v>
      </c>
      <c r="M6" s="2" t="s">
        <v>22</v>
      </c>
      <c r="N6" s="2" t="s">
        <v>23</v>
      </c>
      <c r="O6" s="2" t="s">
        <v>30</v>
      </c>
    </row>
    <row r="7" spans="1:15" x14ac:dyDescent="0.25">
      <c r="A7" s="1">
        <v>46116</v>
      </c>
      <c r="B7" s="2" t="s">
        <v>34</v>
      </c>
      <c r="C7" s="2" t="s">
        <v>16</v>
      </c>
      <c r="D7" s="2" t="s">
        <v>35</v>
      </c>
      <c r="E7" s="2" t="s">
        <v>18</v>
      </c>
      <c r="F7" s="2" t="s">
        <v>36</v>
      </c>
      <c r="G7" s="2" t="s">
        <v>37</v>
      </c>
      <c r="H7" s="3">
        <v>5</v>
      </c>
      <c r="I7" s="2" t="s">
        <v>38</v>
      </c>
      <c r="J7" s="3">
        <v>4.5999999999999996</v>
      </c>
      <c r="K7" s="11">
        <v>482999.97</v>
      </c>
      <c r="L7" s="3">
        <v>-0.4</v>
      </c>
      <c r="M7" s="2" t="s">
        <v>22</v>
      </c>
      <c r="N7" s="2" t="s">
        <v>23</v>
      </c>
      <c r="O7" s="2" t="s">
        <v>39</v>
      </c>
    </row>
    <row r="8" spans="1:15" x14ac:dyDescent="0.25">
      <c r="A8" s="1">
        <v>46116</v>
      </c>
      <c r="B8" s="2" t="s">
        <v>40</v>
      </c>
      <c r="C8" s="2" t="s">
        <v>16</v>
      </c>
      <c r="D8" s="2" t="s">
        <v>35</v>
      </c>
      <c r="E8" s="2" t="s">
        <v>18</v>
      </c>
      <c r="F8" s="2" t="s">
        <v>36</v>
      </c>
      <c r="G8" s="2" t="s">
        <v>41</v>
      </c>
      <c r="H8" s="3">
        <v>6</v>
      </c>
      <c r="I8" s="2" t="s">
        <v>38</v>
      </c>
      <c r="J8" s="3">
        <v>6</v>
      </c>
      <c r="K8" s="11">
        <v>180000.02</v>
      </c>
      <c r="L8" s="3">
        <v>0</v>
      </c>
      <c r="M8" s="2" t="s">
        <v>22</v>
      </c>
      <c r="N8" s="2" t="s">
        <v>23</v>
      </c>
      <c r="O8" s="2" t="s">
        <v>42</v>
      </c>
    </row>
    <row r="9" spans="1:15" x14ac:dyDescent="0.25">
      <c r="A9" s="1">
        <v>46116</v>
      </c>
      <c r="B9" s="2" t="s">
        <v>43</v>
      </c>
      <c r="C9" s="2" t="s">
        <v>16</v>
      </c>
      <c r="D9" s="2" t="s">
        <v>35</v>
      </c>
      <c r="E9" s="2" t="s">
        <v>18</v>
      </c>
      <c r="F9" s="2" t="s">
        <v>36</v>
      </c>
      <c r="G9" s="2" t="s">
        <v>37</v>
      </c>
      <c r="H9" s="3">
        <v>2.2999999999999998</v>
      </c>
      <c r="I9" s="2" t="s">
        <v>38</v>
      </c>
      <c r="J9" s="3">
        <v>2.2999999999999998</v>
      </c>
      <c r="K9" s="11">
        <v>241499.99</v>
      </c>
      <c r="L9" s="3">
        <v>0</v>
      </c>
      <c r="M9" s="2" t="s">
        <v>22</v>
      </c>
      <c r="N9" s="2" t="s">
        <v>23</v>
      </c>
      <c r="O9" s="2" t="s">
        <v>42</v>
      </c>
    </row>
    <row r="10" spans="1:15" x14ac:dyDescent="0.25">
      <c r="A10" s="1">
        <v>46116</v>
      </c>
      <c r="B10" s="2" t="s">
        <v>44</v>
      </c>
      <c r="C10" s="2" t="s">
        <v>16</v>
      </c>
      <c r="D10" s="2" t="s">
        <v>35</v>
      </c>
      <c r="E10" s="2" t="s">
        <v>18</v>
      </c>
      <c r="F10" s="2" t="s">
        <v>36</v>
      </c>
      <c r="G10" s="2" t="s">
        <v>37</v>
      </c>
      <c r="H10" s="3">
        <v>2</v>
      </c>
      <c r="I10" s="2" t="s">
        <v>38</v>
      </c>
      <c r="J10" s="3">
        <v>2.2999999999999998</v>
      </c>
      <c r="K10" s="11">
        <v>241499.99</v>
      </c>
      <c r="L10" s="3">
        <v>0.3</v>
      </c>
      <c r="M10" s="2" t="s">
        <v>22</v>
      </c>
      <c r="N10" s="2" t="s">
        <v>23</v>
      </c>
      <c r="O10" s="2" t="s">
        <v>45</v>
      </c>
    </row>
    <row r="11" spans="1:15" x14ac:dyDescent="0.25">
      <c r="A11" s="1">
        <v>46116</v>
      </c>
      <c r="B11" s="2" t="s">
        <v>46</v>
      </c>
      <c r="C11" s="2" t="s">
        <v>16</v>
      </c>
      <c r="D11" s="2" t="s">
        <v>35</v>
      </c>
      <c r="E11" s="2" t="s">
        <v>18</v>
      </c>
      <c r="F11" s="2" t="s">
        <v>36</v>
      </c>
      <c r="G11" s="2" t="s">
        <v>41</v>
      </c>
      <c r="H11" s="3">
        <v>10</v>
      </c>
      <c r="I11" s="2" t="s">
        <v>38</v>
      </c>
      <c r="J11" s="3">
        <v>10</v>
      </c>
      <c r="K11" s="11">
        <v>300000.03000000003</v>
      </c>
      <c r="L11" s="3">
        <v>0</v>
      </c>
      <c r="M11" s="2" t="s">
        <v>22</v>
      </c>
      <c r="N11" s="2" t="s">
        <v>23</v>
      </c>
      <c r="O11" s="2" t="s">
        <v>47</v>
      </c>
    </row>
    <row r="12" spans="1:15" x14ac:dyDescent="0.25">
      <c r="A12" s="1">
        <v>46116</v>
      </c>
      <c r="B12" s="2" t="s">
        <v>46</v>
      </c>
      <c r="C12" s="2" t="s">
        <v>16</v>
      </c>
      <c r="D12" s="2" t="s">
        <v>35</v>
      </c>
      <c r="E12" s="2" t="s">
        <v>18</v>
      </c>
      <c r="F12" s="2" t="s">
        <v>36</v>
      </c>
      <c r="G12" s="2" t="s">
        <v>20</v>
      </c>
      <c r="H12" s="3">
        <v>1</v>
      </c>
      <c r="I12" s="2" t="s">
        <v>21</v>
      </c>
      <c r="J12" s="3">
        <v>1</v>
      </c>
      <c r="K12" s="11">
        <v>327450</v>
      </c>
      <c r="L12" s="3">
        <v>0</v>
      </c>
      <c r="M12" s="2" t="s">
        <v>22</v>
      </c>
      <c r="N12" s="2" t="s">
        <v>23</v>
      </c>
      <c r="O12" s="2" t="s">
        <v>47</v>
      </c>
    </row>
    <row r="13" spans="1:15" x14ac:dyDescent="0.25">
      <c r="A13" s="1">
        <v>46116</v>
      </c>
      <c r="B13" s="2" t="s">
        <v>48</v>
      </c>
      <c r="C13" s="2" t="s">
        <v>16</v>
      </c>
      <c r="D13" s="2" t="s">
        <v>35</v>
      </c>
      <c r="E13" s="2" t="s">
        <v>18</v>
      </c>
      <c r="F13" s="2" t="s">
        <v>36</v>
      </c>
      <c r="G13" s="2" t="s">
        <v>37</v>
      </c>
      <c r="H13" s="3">
        <v>15</v>
      </c>
      <c r="I13" s="2" t="s">
        <v>38</v>
      </c>
      <c r="J13" s="3">
        <v>13.8</v>
      </c>
      <c r="K13" s="11">
        <v>1448999.93</v>
      </c>
      <c r="L13" s="3">
        <v>-1.2</v>
      </c>
      <c r="M13" s="2" t="s">
        <v>22</v>
      </c>
      <c r="N13" s="2" t="s">
        <v>23</v>
      </c>
      <c r="O13" s="2" t="s">
        <v>47</v>
      </c>
    </row>
    <row r="14" spans="1:15" x14ac:dyDescent="0.25">
      <c r="A14" s="1">
        <v>46116</v>
      </c>
      <c r="B14" s="2" t="s">
        <v>49</v>
      </c>
      <c r="C14" s="2" t="s">
        <v>16</v>
      </c>
      <c r="D14" s="2" t="s">
        <v>50</v>
      </c>
      <c r="E14" s="2" t="s">
        <v>51</v>
      </c>
      <c r="F14" s="2" t="s">
        <v>27</v>
      </c>
      <c r="G14" s="2" t="s">
        <v>52</v>
      </c>
      <c r="H14" s="3">
        <v>3</v>
      </c>
      <c r="I14" s="2" t="s">
        <v>29</v>
      </c>
      <c r="J14" s="3">
        <v>3</v>
      </c>
      <c r="K14" s="11">
        <v>399600</v>
      </c>
      <c r="L14" s="3">
        <v>0</v>
      </c>
      <c r="M14" s="2" t="s">
        <v>22</v>
      </c>
      <c r="N14" s="2" t="s">
        <v>23</v>
      </c>
      <c r="O14" s="2" t="s">
        <v>30</v>
      </c>
    </row>
    <row r="15" spans="1:15" x14ac:dyDescent="0.25">
      <c r="A15" s="1">
        <v>46116</v>
      </c>
      <c r="B15" s="2" t="s">
        <v>53</v>
      </c>
      <c r="C15" s="2" t="s">
        <v>16</v>
      </c>
      <c r="D15" s="2" t="s">
        <v>54</v>
      </c>
      <c r="E15" s="2" t="s">
        <v>51</v>
      </c>
      <c r="F15" s="2" t="s">
        <v>55</v>
      </c>
      <c r="G15" s="2" t="s">
        <v>20</v>
      </c>
      <c r="H15" s="3">
        <v>2</v>
      </c>
      <c r="I15" s="2" t="s">
        <v>21</v>
      </c>
      <c r="J15" s="3">
        <v>2</v>
      </c>
      <c r="K15" s="11">
        <v>654900</v>
      </c>
      <c r="L15" s="3">
        <v>0</v>
      </c>
      <c r="M15" s="2" t="s">
        <v>22</v>
      </c>
      <c r="N15" s="2" t="s">
        <v>23</v>
      </c>
      <c r="O15" s="2" t="s">
        <v>56</v>
      </c>
    </row>
    <row r="16" spans="1:15" x14ac:dyDescent="0.25">
      <c r="A16" s="1">
        <v>46116</v>
      </c>
      <c r="B16" s="2" t="s">
        <v>57</v>
      </c>
      <c r="C16" s="2" t="s">
        <v>16</v>
      </c>
      <c r="D16" s="2" t="s">
        <v>58</v>
      </c>
      <c r="E16" s="2" t="s">
        <v>51</v>
      </c>
      <c r="F16" s="2" t="s">
        <v>59</v>
      </c>
      <c r="G16" s="2" t="s">
        <v>60</v>
      </c>
      <c r="H16" s="3">
        <v>100</v>
      </c>
      <c r="I16" s="2" t="s">
        <v>38</v>
      </c>
      <c r="J16" s="3">
        <v>100</v>
      </c>
      <c r="K16" s="11">
        <v>1549999.56</v>
      </c>
      <c r="L16" s="3">
        <v>0</v>
      </c>
      <c r="M16" s="2" t="s">
        <v>22</v>
      </c>
      <c r="N16" s="2" t="s">
        <v>23</v>
      </c>
      <c r="O16" s="2" t="s">
        <v>30</v>
      </c>
    </row>
    <row r="17" spans="1:15" x14ac:dyDescent="0.25">
      <c r="A17" s="1">
        <v>46116</v>
      </c>
      <c r="B17" s="2" t="s">
        <v>57</v>
      </c>
      <c r="C17" s="2" t="s">
        <v>16</v>
      </c>
      <c r="D17" s="2" t="s">
        <v>58</v>
      </c>
      <c r="E17" s="2" t="s">
        <v>51</v>
      </c>
      <c r="F17" s="2" t="s">
        <v>59</v>
      </c>
      <c r="G17" s="2" t="s">
        <v>20</v>
      </c>
      <c r="H17" s="3">
        <v>5</v>
      </c>
      <c r="I17" s="2" t="s">
        <v>21</v>
      </c>
      <c r="J17" s="3">
        <v>5</v>
      </c>
      <c r="K17" s="11">
        <v>1400000</v>
      </c>
      <c r="L17" s="3">
        <v>0</v>
      </c>
      <c r="M17" s="2" t="s">
        <v>22</v>
      </c>
      <c r="N17" s="2" t="s">
        <v>23</v>
      </c>
      <c r="O17" s="2" t="s">
        <v>30</v>
      </c>
    </row>
    <row r="18" spans="1:15" x14ac:dyDescent="0.25">
      <c r="A18" s="1">
        <v>46116</v>
      </c>
      <c r="B18" s="2" t="s">
        <v>61</v>
      </c>
      <c r="C18" s="2" t="s">
        <v>16</v>
      </c>
      <c r="D18" s="2" t="s">
        <v>62</v>
      </c>
      <c r="E18" s="2" t="s">
        <v>51</v>
      </c>
      <c r="F18" s="2" t="s">
        <v>55</v>
      </c>
      <c r="G18" s="2" t="s">
        <v>63</v>
      </c>
      <c r="H18" s="3">
        <v>5</v>
      </c>
      <c r="I18" s="2" t="s">
        <v>21</v>
      </c>
      <c r="J18" s="3">
        <v>5</v>
      </c>
      <c r="K18" s="11">
        <v>1776000</v>
      </c>
      <c r="L18" s="3">
        <v>0</v>
      </c>
      <c r="M18" s="2" t="s">
        <v>22</v>
      </c>
      <c r="N18" s="2" t="s">
        <v>23</v>
      </c>
      <c r="O18" s="2" t="s">
        <v>30</v>
      </c>
    </row>
    <row r="19" spans="1:15" x14ac:dyDescent="0.25">
      <c r="A19" s="1">
        <v>46116</v>
      </c>
      <c r="B19" s="2" t="s">
        <v>64</v>
      </c>
      <c r="C19" s="2" t="s">
        <v>16</v>
      </c>
      <c r="D19" s="2" t="s">
        <v>65</v>
      </c>
      <c r="E19" s="2" t="s">
        <v>18</v>
      </c>
      <c r="F19" s="2" t="s">
        <v>66</v>
      </c>
      <c r="G19" s="2" t="s">
        <v>67</v>
      </c>
      <c r="H19" s="3">
        <v>24</v>
      </c>
      <c r="I19" s="2" t="s">
        <v>29</v>
      </c>
      <c r="J19" s="3">
        <v>24</v>
      </c>
      <c r="K19" s="11">
        <v>851369.91</v>
      </c>
      <c r="L19" s="3">
        <v>0</v>
      </c>
      <c r="M19" s="2" t="s">
        <v>22</v>
      </c>
      <c r="N19" s="2" t="s">
        <v>23</v>
      </c>
      <c r="O19" s="2" t="s">
        <v>68</v>
      </c>
    </row>
    <row r="20" spans="1:15" x14ac:dyDescent="0.25">
      <c r="A20" s="1">
        <v>46116</v>
      </c>
      <c r="B20" s="2" t="s">
        <v>69</v>
      </c>
      <c r="C20" s="2" t="s">
        <v>16</v>
      </c>
      <c r="D20" s="2" t="s">
        <v>70</v>
      </c>
      <c r="E20" s="2" t="s">
        <v>18</v>
      </c>
      <c r="F20" s="2" t="s">
        <v>71</v>
      </c>
      <c r="G20" s="2" t="s">
        <v>72</v>
      </c>
      <c r="H20" s="3">
        <v>12</v>
      </c>
      <c r="I20" s="2" t="s">
        <v>73</v>
      </c>
      <c r="J20" s="3">
        <v>3</v>
      </c>
      <c r="K20" s="11">
        <v>208350.01</v>
      </c>
      <c r="L20" s="3">
        <v>-9</v>
      </c>
      <c r="M20" s="2" t="s">
        <v>22</v>
      </c>
      <c r="N20" s="2" t="s">
        <v>23</v>
      </c>
      <c r="O20" s="2" t="s">
        <v>30</v>
      </c>
    </row>
    <row r="21" spans="1:15" x14ac:dyDescent="0.25">
      <c r="A21" s="1">
        <v>46116</v>
      </c>
      <c r="B21" s="2" t="s">
        <v>74</v>
      </c>
      <c r="C21" s="2" t="s">
        <v>16</v>
      </c>
      <c r="D21" s="2" t="s">
        <v>75</v>
      </c>
      <c r="E21" s="2" t="s">
        <v>18</v>
      </c>
      <c r="F21" s="2" t="s">
        <v>76</v>
      </c>
      <c r="G21" s="2" t="s">
        <v>77</v>
      </c>
      <c r="H21" s="3">
        <v>4</v>
      </c>
      <c r="I21" s="2" t="s">
        <v>38</v>
      </c>
      <c r="J21" s="3">
        <v>3.3</v>
      </c>
      <c r="K21" s="11">
        <v>528000</v>
      </c>
      <c r="L21" s="3">
        <v>-0.7</v>
      </c>
      <c r="M21" s="2" t="s">
        <v>22</v>
      </c>
      <c r="N21" s="2" t="s">
        <v>23</v>
      </c>
      <c r="O21" s="2" t="s">
        <v>78</v>
      </c>
    </row>
    <row r="22" spans="1:15" x14ac:dyDescent="0.25">
      <c r="A22" s="1">
        <v>46116</v>
      </c>
      <c r="B22" s="2" t="s">
        <v>79</v>
      </c>
      <c r="C22" s="2" t="s">
        <v>16</v>
      </c>
      <c r="D22" s="2" t="s">
        <v>80</v>
      </c>
      <c r="E22" s="2" t="s">
        <v>51</v>
      </c>
      <c r="F22" s="2" t="s">
        <v>81</v>
      </c>
      <c r="G22" s="2" t="s">
        <v>20</v>
      </c>
      <c r="H22" s="3">
        <v>3</v>
      </c>
      <c r="I22" s="2" t="s">
        <v>21</v>
      </c>
      <c r="J22" s="3">
        <v>3</v>
      </c>
      <c r="K22" s="11">
        <v>960000.01</v>
      </c>
      <c r="L22" s="3">
        <v>0</v>
      </c>
      <c r="M22" s="2" t="s">
        <v>22</v>
      </c>
      <c r="N22" s="2" t="s">
        <v>23</v>
      </c>
      <c r="O22" s="2" t="s">
        <v>30</v>
      </c>
    </row>
    <row r="23" spans="1:15" x14ac:dyDescent="0.25">
      <c r="A23" s="1">
        <v>46116</v>
      </c>
      <c r="B23" s="2" t="s">
        <v>82</v>
      </c>
      <c r="C23" s="2" t="s">
        <v>16</v>
      </c>
      <c r="D23" s="2" t="s">
        <v>83</v>
      </c>
      <c r="E23" s="2" t="s">
        <v>51</v>
      </c>
      <c r="F23" s="2" t="s">
        <v>19</v>
      </c>
      <c r="G23" s="2" t="s">
        <v>84</v>
      </c>
      <c r="H23" s="3">
        <v>1</v>
      </c>
      <c r="I23" s="2" t="s">
        <v>21</v>
      </c>
      <c r="J23" s="3">
        <v>1</v>
      </c>
      <c r="K23" s="11">
        <v>280000</v>
      </c>
      <c r="L23" s="3">
        <v>0</v>
      </c>
      <c r="M23" s="2" t="s">
        <v>22</v>
      </c>
      <c r="N23" s="2" t="s">
        <v>23</v>
      </c>
      <c r="O23" s="2" t="s">
        <v>30</v>
      </c>
    </row>
    <row r="24" spans="1:15" x14ac:dyDescent="0.25">
      <c r="A24" s="1">
        <v>46116</v>
      </c>
      <c r="B24" s="2" t="s">
        <v>85</v>
      </c>
      <c r="C24" s="2" t="s">
        <v>16</v>
      </c>
      <c r="D24" s="2" t="s">
        <v>86</v>
      </c>
      <c r="E24" s="2" t="s">
        <v>18</v>
      </c>
      <c r="F24" s="2" t="s">
        <v>87</v>
      </c>
      <c r="G24" s="2" t="s">
        <v>88</v>
      </c>
      <c r="H24" s="3">
        <v>10</v>
      </c>
      <c r="I24" s="2" t="s">
        <v>21</v>
      </c>
      <c r="J24" s="3">
        <v>10</v>
      </c>
      <c r="K24" s="11">
        <v>2879999.99</v>
      </c>
      <c r="L24" s="3">
        <v>0</v>
      </c>
      <c r="M24" s="2" t="s">
        <v>22</v>
      </c>
      <c r="N24" s="2" t="s">
        <v>23</v>
      </c>
      <c r="O24" s="2" t="s">
        <v>30</v>
      </c>
    </row>
    <row r="25" spans="1:15" x14ac:dyDescent="0.25">
      <c r="A25" s="1">
        <v>46116</v>
      </c>
      <c r="B25" s="2" t="s">
        <v>89</v>
      </c>
      <c r="C25" s="2" t="s">
        <v>16</v>
      </c>
      <c r="D25" s="2" t="s">
        <v>90</v>
      </c>
      <c r="E25" s="2" t="s">
        <v>51</v>
      </c>
      <c r="F25" s="2" t="s">
        <v>92</v>
      </c>
      <c r="G25" s="2" t="s">
        <v>93</v>
      </c>
      <c r="H25" s="3">
        <v>1</v>
      </c>
      <c r="I25" s="2" t="s">
        <v>29</v>
      </c>
      <c r="J25" s="3">
        <v>1</v>
      </c>
      <c r="K25" s="11">
        <v>32000</v>
      </c>
      <c r="L25" s="3">
        <v>0</v>
      </c>
      <c r="M25" s="2" t="s">
        <v>22</v>
      </c>
      <c r="N25" s="2" t="s">
        <v>23</v>
      </c>
      <c r="O25" s="2" t="s">
        <v>30</v>
      </c>
    </row>
    <row r="26" spans="1:15" x14ac:dyDescent="0.25">
      <c r="A26" s="1">
        <v>46116</v>
      </c>
      <c r="B26" s="2" t="s">
        <v>94</v>
      </c>
      <c r="C26" s="2" t="s">
        <v>16</v>
      </c>
      <c r="D26" s="2" t="s">
        <v>95</v>
      </c>
      <c r="E26" s="2" t="s">
        <v>51</v>
      </c>
      <c r="F26" s="2" t="s">
        <v>96</v>
      </c>
      <c r="G26" s="2" t="s">
        <v>60</v>
      </c>
      <c r="H26" s="3">
        <v>40</v>
      </c>
      <c r="I26" s="2" t="s">
        <v>38</v>
      </c>
      <c r="J26" s="3">
        <v>40</v>
      </c>
      <c r="K26" s="11">
        <v>666000</v>
      </c>
      <c r="L26" s="3">
        <v>0</v>
      </c>
      <c r="M26" s="2" t="s">
        <v>22</v>
      </c>
      <c r="N26" s="2" t="s">
        <v>23</v>
      </c>
      <c r="O26" s="2" t="s">
        <v>30</v>
      </c>
    </row>
    <row r="27" spans="1:15" x14ac:dyDescent="0.25">
      <c r="A27" s="1">
        <v>46116</v>
      </c>
      <c r="B27" s="2" t="s">
        <v>97</v>
      </c>
      <c r="C27" s="2" t="s">
        <v>16</v>
      </c>
      <c r="D27" s="2" t="s">
        <v>98</v>
      </c>
      <c r="E27" s="2" t="s">
        <v>18</v>
      </c>
      <c r="F27" s="2" t="s">
        <v>99</v>
      </c>
      <c r="G27" s="2" t="s">
        <v>20</v>
      </c>
      <c r="H27" s="3">
        <v>6</v>
      </c>
      <c r="I27" s="2" t="s">
        <v>21</v>
      </c>
      <c r="J27" s="3">
        <v>6</v>
      </c>
      <c r="K27" s="11">
        <v>1800000</v>
      </c>
      <c r="L27" s="3">
        <v>0</v>
      </c>
      <c r="M27" s="2" t="s">
        <v>22</v>
      </c>
      <c r="N27" s="2" t="s">
        <v>23</v>
      </c>
      <c r="O27" s="2" t="s">
        <v>30</v>
      </c>
    </row>
    <row r="28" spans="1:15" x14ac:dyDescent="0.25">
      <c r="A28" s="1">
        <v>46116</v>
      </c>
      <c r="B28" s="2" t="s">
        <v>100</v>
      </c>
      <c r="C28" s="2" t="s">
        <v>16</v>
      </c>
      <c r="D28" s="2" t="s">
        <v>101</v>
      </c>
      <c r="E28" s="2" t="s">
        <v>18</v>
      </c>
      <c r="F28" s="2" t="s">
        <v>102</v>
      </c>
      <c r="G28" s="2" t="s">
        <v>103</v>
      </c>
      <c r="H28" s="3">
        <v>20</v>
      </c>
      <c r="I28" s="2" t="s">
        <v>38</v>
      </c>
      <c r="J28" s="3">
        <v>20</v>
      </c>
      <c r="K28" s="11">
        <v>384060</v>
      </c>
      <c r="L28" s="3">
        <v>0</v>
      </c>
      <c r="M28" s="2" t="s">
        <v>22</v>
      </c>
      <c r="N28" s="2" t="s">
        <v>23</v>
      </c>
      <c r="O28" s="2" t="s">
        <v>30</v>
      </c>
    </row>
    <row r="29" spans="1:15" x14ac:dyDescent="0.25">
      <c r="A29" s="1">
        <v>46116</v>
      </c>
      <c r="B29" s="2" t="s">
        <v>100</v>
      </c>
      <c r="C29" s="2" t="s">
        <v>16</v>
      </c>
      <c r="D29" s="2" t="s">
        <v>101</v>
      </c>
      <c r="E29" s="2" t="s">
        <v>18</v>
      </c>
      <c r="F29" s="2" t="s">
        <v>102</v>
      </c>
      <c r="G29" s="2" t="s">
        <v>60</v>
      </c>
      <c r="H29" s="3">
        <v>20</v>
      </c>
      <c r="I29" s="2" t="s">
        <v>38</v>
      </c>
      <c r="J29" s="3">
        <v>20</v>
      </c>
      <c r="K29" s="11">
        <v>372960</v>
      </c>
      <c r="L29" s="3">
        <v>0</v>
      </c>
      <c r="M29" s="2" t="s">
        <v>22</v>
      </c>
      <c r="N29" s="2" t="s">
        <v>23</v>
      </c>
      <c r="O29" s="2" t="s">
        <v>30</v>
      </c>
    </row>
    <row r="30" spans="1:15" x14ac:dyDescent="0.25">
      <c r="A30" s="1">
        <v>46116</v>
      </c>
      <c r="B30" s="2" t="s">
        <v>100</v>
      </c>
      <c r="C30" s="2" t="s">
        <v>16</v>
      </c>
      <c r="D30" s="2" t="s">
        <v>101</v>
      </c>
      <c r="E30" s="2" t="s">
        <v>18</v>
      </c>
      <c r="F30" s="2" t="s">
        <v>102</v>
      </c>
      <c r="G30" s="2" t="s">
        <v>104</v>
      </c>
      <c r="H30" s="3">
        <v>20</v>
      </c>
      <c r="I30" s="2" t="s">
        <v>38</v>
      </c>
      <c r="J30" s="3">
        <v>20</v>
      </c>
      <c r="K30" s="11">
        <v>361860</v>
      </c>
      <c r="L30" s="3">
        <v>0</v>
      </c>
      <c r="M30" s="2" t="s">
        <v>22</v>
      </c>
      <c r="N30" s="2" t="s">
        <v>23</v>
      </c>
      <c r="O30" s="2" t="s">
        <v>30</v>
      </c>
    </row>
    <row r="31" spans="1:15" x14ac:dyDescent="0.25">
      <c r="A31" s="1">
        <v>46116</v>
      </c>
      <c r="B31" s="2" t="s">
        <v>100</v>
      </c>
      <c r="C31" s="2" t="s">
        <v>16</v>
      </c>
      <c r="D31" s="2" t="s">
        <v>101</v>
      </c>
      <c r="E31" s="2" t="s">
        <v>18</v>
      </c>
      <c r="F31" s="2" t="s">
        <v>102</v>
      </c>
      <c r="G31" s="2" t="s">
        <v>105</v>
      </c>
      <c r="H31" s="3">
        <v>20</v>
      </c>
      <c r="I31" s="2" t="s">
        <v>38</v>
      </c>
      <c r="J31" s="3">
        <v>20</v>
      </c>
      <c r="K31" s="11">
        <v>854700</v>
      </c>
      <c r="L31" s="3">
        <v>0</v>
      </c>
      <c r="M31" s="2" t="s">
        <v>22</v>
      </c>
      <c r="N31" s="2" t="s">
        <v>23</v>
      </c>
      <c r="O31" s="2" t="s">
        <v>30</v>
      </c>
    </row>
    <row r="32" spans="1:15" x14ac:dyDescent="0.25">
      <c r="A32" s="1">
        <v>46116</v>
      </c>
      <c r="B32" s="2" t="s">
        <v>106</v>
      </c>
      <c r="C32" s="2" t="s">
        <v>16</v>
      </c>
      <c r="D32" s="2" t="s">
        <v>107</v>
      </c>
      <c r="E32" s="2" t="s">
        <v>18</v>
      </c>
      <c r="F32" s="2" t="s">
        <v>59</v>
      </c>
      <c r="G32" s="2" t="s">
        <v>109</v>
      </c>
      <c r="H32" s="3">
        <v>72</v>
      </c>
      <c r="I32" s="2" t="s">
        <v>110</v>
      </c>
      <c r="J32" s="3">
        <v>72</v>
      </c>
      <c r="K32" s="11">
        <v>1422000</v>
      </c>
      <c r="L32" s="3">
        <v>0</v>
      </c>
      <c r="M32" s="2" t="s">
        <v>22</v>
      </c>
      <c r="N32" s="2" t="s">
        <v>23</v>
      </c>
      <c r="O32" s="2" t="s">
        <v>30</v>
      </c>
    </row>
    <row r="33" spans="1:15" x14ac:dyDescent="0.25">
      <c r="A33" s="1">
        <v>46116</v>
      </c>
      <c r="B33" s="2" t="s">
        <v>111</v>
      </c>
      <c r="C33" s="2" t="s">
        <v>16</v>
      </c>
      <c r="D33" s="2" t="s">
        <v>107</v>
      </c>
      <c r="E33" s="2" t="s">
        <v>18</v>
      </c>
      <c r="F33" s="2" t="s">
        <v>59</v>
      </c>
      <c r="G33" s="2" t="s">
        <v>112</v>
      </c>
      <c r="H33" s="3">
        <v>96</v>
      </c>
      <c r="I33" s="2" t="s">
        <v>108</v>
      </c>
      <c r="J33" s="3">
        <v>24</v>
      </c>
      <c r="K33" s="11">
        <v>131868</v>
      </c>
      <c r="L33" s="3">
        <v>-72</v>
      </c>
      <c r="M33" s="2" t="s">
        <v>22</v>
      </c>
      <c r="N33" s="2" t="s">
        <v>23</v>
      </c>
      <c r="O33" s="2" t="s">
        <v>30</v>
      </c>
    </row>
    <row r="34" spans="1:15" x14ac:dyDescent="0.25">
      <c r="A34" s="1">
        <v>46116</v>
      </c>
      <c r="B34" s="2" t="s">
        <v>113</v>
      </c>
      <c r="C34" s="2" t="s">
        <v>16</v>
      </c>
      <c r="D34" s="2" t="s">
        <v>114</v>
      </c>
      <c r="E34" s="2" t="s">
        <v>51</v>
      </c>
      <c r="F34" s="2" t="s">
        <v>66</v>
      </c>
      <c r="G34" s="2" t="s">
        <v>115</v>
      </c>
      <c r="H34" s="3">
        <v>3</v>
      </c>
      <c r="I34" s="2" t="s">
        <v>29</v>
      </c>
      <c r="J34" s="3">
        <v>3</v>
      </c>
      <c r="K34" s="11">
        <v>189300</v>
      </c>
      <c r="L34" s="3">
        <v>0</v>
      </c>
      <c r="M34" s="2" t="s">
        <v>22</v>
      </c>
      <c r="N34" s="2" t="s">
        <v>23</v>
      </c>
      <c r="O34" s="2" t="s">
        <v>30</v>
      </c>
    </row>
    <row r="35" spans="1:15" x14ac:dyDescent="0.25">
      <c r="A35" s="1">
        <v>46116</v>
      </c>
      <c r="B35" s="2" t="s">
        <v>113</v>
      </c>
      <c r="C35" s="2" t="s">
        <v>16</v>
      </c>
      <c r="D35" s="2" t="s">
        <v>114</v>
      </c>
      <c r="E35" s="2" t="s">
        <v>51</v>
      </c>
      <c r="F35" s="2" t="s">
        <v>66</v>
      </c>
      <c r="G35" s="2" t="s">
        <v>33</v>
      </c>
      <c r="H35" s="3">
        <v>3</v>
      </c>
      <c r="I35" s="2" t="s">
        <v>29</v>
      </c>
      <c r="J35" s="3">
        <v>3</v>
      </c>
      <c r="K35" s="11">
        <v>314999.99</v>
      </c>
      <c r="L35" s="3">
        <v>0</v>
      </c>
      <c r="M35" s="2" t="s">
        <v>22</v>
      </c>
      <c r="N35" s="2" t="s">
        <v>23</v>
      </c>
      <c r="O35" s="2" t="s">
        <v>30</v>
      </c>
    </row>
    <row r="36" spans="1:15" x14ac:dyDescent="0.25">
      <c r="A36" s="1">
        <v>46116</v>
      </c>
      <c r="B36" s="2" t="s">
        <v>113</v>
      </c>
      <c r="C36" s="2" t="s">
        <v>16</v>
      </c>
      <c r="D36" s="2" t="s">
        <v>114</v>
      </c>
      <c r="E36" s="2" t="s">
        <v>51</v>
      </c>
      <c r="F36" s="2" t="s">
        <v>66</v>
      </c>
      <c r="G36" s="2" t="s">
        <v>116</v>
      </c>
      <c r="H36" s="3">
        <v>3</v>
      </c>
      <c r="I36" s="2" t="s">
        <v>29</v>
      </c>
      <c r="J36" s="3">
        <v>3</v>
      </c>
      <c r="K36" s="11">
        <v>261750</v>
      </c>
      <c r="L36" s="3">
        <v>0</v>
      </c>
      <c r="M36" s="2" t="s">
        <v>22</v>
      </c>
      <c r="N36" s="2" t="s">
        <v>23</v>
      </c>
      <c r="O36" s="2" t="s">
        <v>30</v>
      </c>
    </row>
    <row r="37" spans="1:15" x14ac:dyDescent="0.25">
      <c r="A37" s="1">
        <v>46116</v>
      </c>
      <c r="B37" s="2" t="s">
        <v>117</v>
      </c>
      <c r="C37" s="2" t="s">
        <v>16</v>
      </c>
      <c r="D37" s="2" t="s">
        <v>118</v>
      </c>
      <c r="E37" s="2" t="s">
        <v>18</v>
      </c>
      <c r="F37" s="2" t="s">
        <v>27</v>
      </c>
      <c r="G37" s="2" t="s">
        <v>119</v>
      </c>
      <c r="H37" s="3">
        <v>24</v>
      </c>
      <c r="I37" s="2" t="s">
        <v>29</v>
      </c>
      <c r="J37" s="3">
        <v>24</v>
      </c>
      <c r="K37" s="11">
        <v>1691640</v>
      </c>
      <c r="L37" s="3">
        <v>0</v>
      </c>
      <c r="M37" s="2" t="s">
        <v>22</v>
      </c>
      <c r="N37" s="2" t="s">
        <v>23</v>
      </c>
      <c r="O37" s="2" t="s">
        <v>30</v>
      </c>
    </row>
    <row r="38" spans="1:15" x14ac:dyDescent="0.25">
      <c r="A38" s="1">
        <v>46116</v>
      </c>
      <c r="B38" s="2" t="s">
        <v>117</v>
      </c>
      <c r="C38" s="2" t="s">
        <v>16</v>
      </c>
      <c r="D38" s="2" t="s">
        <v>118</v>
      </c>
      <c r="E38" s="2" t="s">
        <v>18</v>
      </c>
      <c r="F38" s="2" t="s">
        <v>27</v>
      </c>
      <c r="G38" s="2" t="s">
        <v>120</v>
      </c>
      <c r="H38" s="3">
        <v>24</v>
      </c>
      <c r="I38" s="2" t="s">
        <v>29</v>
      </c>
      <c r="J38" s="3">
        <v>24</v>
      </c>
      <c r="K38" s="11">
        <v>1345320</v>
      </c>
      <c r="L38" s="3">
        <v>0</v>
      </c>
      <c r="M38" s="2" t="s">
        <v>22</v>
      </c>
      <c r="N38" s="2" t="s">
        <v>23</v>
      </c>
      <c r="O38" s="2" t="s">
        <v>30</v>
      </c>
    </row>
    <row r="39" spans="1:15" x14ac:dyDescent="0.25">
      <c r="A39" s="1">
        <v>46116</v>
      </c>
      <c r="B39" s="2" t="s">
        <v>117</v>
      </c>
      <c r="C39" s="2" t="s">
        <v>16</v>
      </c>
      <c r="D39" s="2" t="s">
        <v>118</v>
      </c>
      <c r="E39" s="2" t="s">
        <v>18</v>
      </c>
      <c r="F39" s="2" t="s">
        <v>27</v>
      </c>
      <c r="G39" s="2" t="s">
        <v>121</v>
      </c>
      <c r="H39" s="3">
        <v>16</v>
      </c>
      <c r="I39" s="2" t="s">
        <v>29</v>
      </c>
      <c r="J39" s="3">
        <v>16</v>
      </c>
      <c r="K39" s="11">
        <v>1900320</v>
      </c>
      <c r="L39" s="3">
        <v>0</v>
      </c>
      <c r="M39" s="2" t="s">
        <v>22</v>
      </c>
      <c r="N39" s="2" t="s">
        <v>23</v>
      </c>
      <c r="O39" s="2" t="s">
        <v>30</v>
      </c>
    </row>
    <row r="40" spans="1:15" x14ac:dyDescent="0.25">
      <c r="A40" s="1">
        <v>46116</v>
      </c>
      <c r="B40" s="2" t="s">
        <v>117</v>
      </c>
      <c r="C40" s="2" t="s">
        <v>16</v>
      </c>
      <c r="D40" s="2" t="s">
        <v>118</v>
      </c>
      <c r="E40" s="2" t="s">
        <v>18</v>
      </c>
      <c r="F40" s="2" t="s">
        <v>27</v>
      </c>
      <c r="G40" s="2" t="s">
        <v>33</v>
      </c>
      <c r="H40" s="3">
        <v>16</v>
      </c>
      <c r="I40" s="2" t="s">
        <v>29</v>
      </c>
      <c r="J40" s="3">
        <v>16</v>
      </c>
      <c r="K40" s="11">
        <v>1847040</v>
      </c>
      <c r="L40" s="3">
        <v>0</v>
      </c>
      <c r="M40" s="2" t="s">
        <v>22</v>
      </c>
      <c r="N40" s="2" t="s">
        <v>23</v>
      </c>
      <c r="O40" s="2" t="s">
        <v>30</v>
      </c>
    </row>
    <row r="41" spans="1:15" x14ac:dyDescent="0.25">
      <c r="A41" s="1">
        <v>46116</v>
      </c>
      <c r="B41" s="2" t="s">
        <v>122</v>
      </c>
      <c r="C41" s="2" t="s">
        <v>16</v>
      </c>
      <c r="D41" s="2" t="s">
        <v>123</v>
      </c>
      <c r="E41" s="2" t="s">
        <v>18</v>
      </c>
      <c r="F41" s="2" t="s">
        <v>66</v>
      </c>
      <c r="G41" s="2" t="s">
        <v>31</v>
      </c>
      <c r="H41" s="3">
        <v>1</v>
      </c>
      <c r="I41" s="2" t="s">
        <v>29</v>
      </c>
      <c r="J41" s="3">
        <v>1</v>
      </c>
      <c r="K41" s="11">
        <v>68100</v>
      </c>
      <c r="L41" s="3">
        <v>0</v>
      </c>
      <c r="M41" s="2" t="s">
        <v>22</v>
      </c>
      <c r="N41" s="2" t="s">
        <v>23</v>
      </c>
      <c r="O41" s="2" t="s">
        <v>30</v>
      </c>
    </row>
    <row r="42" spans="1:15" x14ac:dyDescent="0.25">
      <c r="A42" s="1">
        <v>46116</v>
      </c>
      <c r="B42" s="2" t="s">
        <v>122</v>
      </c>
      <c r="C42" s="2" t="s">
        <v>16</v>
      </c>
      <c r="D42" s="2" t="s">
        <v>123</v>
      </c>
      <c r="E42" s="2" t="s">
        <v>18</v>
      </c>
      <c r="F42" s="2" t="s">
        <v>66</v>
      </c>
      <c r="G42" s="2" t="s">
        <v>33</v>
      </c>
      <c r="H42" s="3">
        <v>3</v>
      </c>
      <c r="I42" s="2" t="s">
        <v>29</v>
      </c>
      <c r="J42" s="3">
        <v>3</v>
      </c>
      <c r="K42" s="11">
        <v>314999.99</v>
      </c>
      <c r="L42" s="3">
        <v>0</v>
      </c>
      <c r="M42" s="2" t="s">
        <v>22</v>
      </c>
      <c r="N42" s="2" t="s">
        <v>23</v>
      </c>
      <c r="O42" s="2" t="s">
        <v>30</v>
      </c>
    </row>
    <row r="43" spans="1:15" x14ac:dyDescent="0.25">
      <c r="A43" s="1">
        <v>46116</v>
      </c>
      <c r="B43" s="2" t="s">
        <v>124</v>
      </c>
      <c r="C43" s="2" t="s">
        <v>16</v>
      </c>
      <c r="D43" s="2" t="s">
        <v>125</v>
      </c>
      <c r="E43" s="2" t="s">
        <v>18</v>
      </c>
      <c r="F43" s="2" t="s">
        <v>27</v>
      </c>
      <c r="G43" s="2" t="s">
        <v>67</v>
      </c>
      <c r="H43" s="3">
        <v>10</v>
      </c>
      <c r="I43" s="2" t="s">
        <v>29</v>
      </c>
      <c r="J43" s="3">
        <v>10</v>
      </c>
      <c r="K43" s="11">
        <v>322033.76</v>
      </c>
      <c r="L43" s="3">
        <v>0</v>
      </c>
      <c r="M43" s="2" t="s">
        <v>22</v>
      </c>
      <c r="N43" s="2" t="s">
        <v>23</v>
      </c>
      <c r="O43" s="2" t="s">
        <v>30</v>
      </c>
    </row>
    <row r="44" spans="1:15" x14ac:dyDescent="0.25">
      <c r="A44" s="1">
        <v>46116</v>
      </c>
      <c r="B44" s="2" t="s">
        <v>124</v>
      </c>
      <c r="C44" s="2" t="s">
        <v>16</v>
      </c>
      <c r="D44" s="2" t="s">
        <v>125</v>
      </c>
      <c r="E44" s="2" t="s">
        <v>18</v>
      </c>
      <c r="F44" s="2" t="s">
        <v>27</v>
      </c>
      <c r="G44" s="2" t="s">
        <v>119</v>
      </c>
      <c r="H44" s="3">
        <v>2</v>
      </c>
      <c r="I44" s="2" t="s">
        <v>29</v>
      </c>
      <c r="J44" s="3">
        <v>2</v>
      </c>
      <c r="K44" s="11">
        <v>128400</v>
      </c>
      <c r="L44" s="3">
        <v>0</v>
      </c>
      <c r="M44" s="2" t="s">
        <v>22</v>
      </c>
      <c r="N44" s="2" t="s">
        <v>23</v>
      </c>
      <c r="O44" s="2" t="s">
        <v>30</v>
      </c>
    </row>
    <row r="45" spans="1:15" x14ac:dyDescent="0.25">
      <c r="A45" s="1">
        <v>46116</v>
      </c>
      <c r="B45" s="2" t="s">
        <v>126</v>
      </c>
      <c r="C45" s="2" t="s">
        <v>16</v>
      </c>
      <c r="D45" s="2" t="s">
        <v>127</v>
      </c>
      <c r="E45" s="2" t="s">
        <v>18</v>
      </c>
      <c r="F45" s="2" t="s">
        <v>128</v>
      </c>
      <c r="G45" s="2" t="s">
        <v>33</v>
      </c>
      <c r="H45" s="3">
        <v>16</v>
      </c>
      <c r="I45" s="2" t="s">
        <v>29</v>
      </c>
      <c r="J45" s="3">
        <v>16</v>
      </c>
      <c r="K45" s="11">
        <v>1583999.99</v>
      </c>
      <c r="L45" s="3">
        <v>0</v>
      </c>
      <c r="M45" s="2" t="s">
        <v>22</v>
      </c>
      <c r="N45" s="2" t="s">
        <v>23</v>
      </c>
      <c r="O45" s="2" t="s">
        <v>30</v>
      </c>
    </row>
    <row r="46" spans="1:15" x14ac:dyDescent="0.25">
      <c r="A46" s="1">
        <v>46116</v>
      </c>
      <c r="B46" s="2" t="s">
        <v>129</v>
      </c>
      <c r="C46" s="2" t="s">
        <v>16</v>
      </c>
      <c r="D46" s="2" t="s">
        <v>130</v>
      </c>
      <c r="E46" s="2" t="s">
        <v>51</v>
      </c>
      <c r="F46" s="2" t="s">
        <v>92</v>
      </c>
      <c r="G46" s="2" t="s">
        <v>20</v>
      </c>
      <c r="H46" s="3">
        <v>1</v>
      </c>
      <c r="I46" s="2" t="s">
        <v>21</v>
      </c>
      <c r="J46" s="3">
        <v>1</v>
      </c>
      <c r="K46" s="11">
        <v>327450</v>
      </c>
      <c r="L46" s="3">
        <v>0</v>
      </c>
      <c r="M46" s="2" t="s">
        <v>22</v>
      </c>
      <c r="N46" s="2" t="s">
        <v>23</v>
      </c>
      <c r="O46" s="2" t="s">
        <v>30</v>
      </c>
    </row>
    <row r="47" spans="1:15" x14ac:dyDescent="0.25">
      <c r="A47" s="1">
        <v>46116</v>
      </c>
      <c r="B47" s="2" t="s">
        <v>131</v>
      </c>
      <c r="C47" s="2" t="s">
        <v>16</v>
      </c>
      <c r="D47" s="2" t="s">
        <v>132</v>
      </c>
      <c r="E47" s="2" t="s">
        <v>18</v>
      </c>
      <c r="F47" s="2" t="s">
        <v>55</v>
      </c>
      <c r="G47" s="2" t="s">
        <v>20</v>
      </c>
      <c r="H47" s="3">
        <v>1</v>
      </c>
      <c r="I47" s="2" t="s">
        <v>21</v>
      </c>
      <c r="J47" s="3">
        <v>1</v>
      </c>
      <c r="K47" s="11">
        <v>327450</v>
      </c>
      <c r="L47" s="3">
        <v>0</v>
      </c>
      <c r="M47" s="2" t="s">
        <v>22</v>
      </c>
      <c r="N47" s="2" t="s">
        <v>23</v>
      </c>
      <c r="O47" s="2" t="s">
        <v>30</v>
      </c>
    </row>
    <row r="48" spans="1:15" x14ac:dyDescent="0.25">
      <c r="A48" s="1">
        <v>46116</v>
      </c>
      <c r="B48" s="2" t="s">
        <v>133</v>
      </c>
      <c r="C48" s="2" t="s">
        <v>16</v>
      </c>
      <c r="D48" s="2" t="s">
        <v>134</v>
      </c>
      <c r="E48" s="2" t="s">
        <v>18</v>
      </c>
      <c r="F48" s="2" t="s">
        <v>55</v>
      </c>
      <c r="G48" s="2" t="s">
        <v>88</v>
      </c>
      <c r="H48" s="3">
        <v>20</v>
      </c>
      <c r="I48" s="2" t="s">
        <v>21</v>
      </c>
      <c r="J48" s="3">
        <v>20</v>
      </c>
      <c r="K48" s="11">
        <v>5369999.9800000004</v>
      </c>
      <c r="L48" s="3">
        <v>0</v>
      </c>
      <c r="M48" s="2" t="s">
        <v>22</v>
      </c>
      <c r="N48" s="2" t="s">
        <v>23</v>
      </c>
      <c r="O48" s="2" t="s">
        <v>30</v>
      </c>
    </row>
    <row r="49" spans="1:15" x14ac:dyDescent="0.25">
      <c r="A49" s="1">
        <v>46116</v>
      </c>
      <c r="B49" s="2" t="s">
        <v>135</v>
      </c>
      <c r="C49" s="2" t="s">
        <v>16</v>
      </c>
      <c r="D49" s="2" t="s">
        <v>136</v>
      </c>
      <c r="E49" s="2" t="s">
        <v>18</v>
      </c>
      <c r="F49" s="2" t="s">
        <v>102</v>
      </c>
      <c r="G49" s="2" t="s">
        <v>137</v>
      </c>
      <c r="H49" s="3">
        <v>20</v>
      </c>
      <c r="I49" s="2" t="s">
        <v>38</v>
      </c>
      <c r="J49" s="3">
        <v>20</v>
      </c>
      <c r="K49" s="11">
        <v>711421.2</v>
      </c>
      <c r="L49" s="3">
        <v>0</v>
      </c>
      <c r="M49" s="2" t="s">
        <v>22</v>
      </c>
      <c r="N49" s="2" t="s">
        <v>23</v>
      </c>
      <c r="O49" s="2" t="s">
        <v>30</v>
      </c>
    </row>
    <row r="50" spans="1:15" x14ac:dyDescent="0.25">
      <c r="A50" s="1">
        <v>46116</v>
      </c>
      <c r="B50" s="2" t="s">
        <v>135</v>
      </c>
      <c r="C50" s="2" t="s">
        <v>16</v>
      </c>
      <c r="D50" s="2" t="s">
        <v>136</v>
      </c>
      <c r="E50" s="2" t="s">
        <v>18</v>
      </c>
      <c r="F50" s="2" t="s">
        <v>102</v>
      </c>
      <c r="G50" s="2" t="s">
        <v>41</v>
      </c>
      <c r="H50" s="3">
        <v>10</v>
      </c>
      <c r="I50" s="2" t="s">
        <v>38</v>
      </c>
      <c r="J50" s="3">
        <v>10</v>
      </c>
      <c r="K50" s="11">
        <v>320901</v>
      </c>
      <c r="L50" s="3">
        <v>0</v>
      </c>
      <c r="M50" s="2" t="s">
        <v>22</v>
      </c>
      <c r="N50" s="2" t="s">
        <v>23</v>
      </c>
      <c r="O50" s="2" t="s">
        <v>30</v>
      </c>
    </row>
    <row r="51" spans="1:15" x14ac:dyDescent="0.25">
      <c r="A51" s="1">
        <v>46116</v>
      </c>
      <c r="B51" s="2" t="s">
        <v>135</v>
      </c>
      <c r="C51" s="2" t="s">
        <v>16</v>
      </c>
      <c r="D51" s="2" t="s">
        <v>136</v>
      </c>
      <c r="E51" s="2" t="s">
        <v>18</v>
      </c>
      <c r="F51" s="2" t="s">
        <v>102</v>
      </c>
      <c r="G51" s="2" t="s">
        <v>103</v>
      </c>
      <c r="H51" s="3">
        <v>20</v>
      </c>
      <c r="I51" s="2" t="s">
        <v>38</v>
      </c>
      <c r="J51" s="3">
        <v>20</v>
      </c>
      <c r="K51" s="11">
        <v>376378.8</v>
      </c>
      <c r="L51" s="3">
        <v>0</v>
      </c>
      <c r="M51" s="2" t="s">
        <v>22</v>
      </c>
      <c r="N51" s="2" t="s">
        <v>23</v>
      </c>
      <c r="O51" s="2" t="s">
        <v>30</v>
      </c>
    </row>
    <row r="52" spans="1:15" x14ac:dyDescent="0.25">
      <c r="A52" s="1">
        <v>46116</v>
      </c>
      <c r="B52" s="2" t="s">
        <v>138</v>
      </c>
      <c r="C52" s="2" t="s">
        <v>16</v>
      </c>
      <c r="D52" s="2" t="s">
        <v>139</v>
      </c>
      <c r="E52" s="2" t="s">
        <v>18</v>
      </c>
      <c r="F52" s="2" t="s">
        <v>19</v>
      </c>
      <c r="G52" s="2" t="s">
        <v>63</v>
      </c>
      <c r="H52" s="3">
        <v>2</v>
      </c>
      <c r="I52" s="2" t="s">
        <v>21</v>
      </c>
      <c r="J52" s="3">
        <v>2</v>
      </c>
      <c r="K52" s="11">
        <v>620000</v>
      </c>
      <c r="L52" s="3">
        <v>0</v>
      </c>
      <c r="M52" s="2" t="s">
        <v>22</v>
      </c>
      <c r="N52" s="2" t="s">
        <v>23</v>
      </c>
      <c r="O52" s="2" t="s">
        <v>140</v>
      </c>
    </row>
    <row r="53" spans="1:15" x14ac:dyDescent="0.25">
      <c r="A53" s="1">
        <v>46116</v>
      </c>
      <c r="B53" s="2" t="s">
        <v>138</v>
      </c>
      <c r="C53" s="2" t="s">
        <v>16</v>
      </c>
      <c r="D53" s="2" t="s">
        <v>139</v>
      </c>
      <c r="E53" s="2" t="s">
        <v>18</v>
      </c>
      <c r="F53" s="2" t="s">
        <v>19</v>
      </c>
      <c r="G53" s="2" t="s">
        <v>84</v>
      </c>
      <c r="H53" s="3">
        <v>1</v>
      </c>
      <c r="I53" s="2" t="s">
        <v>21</v>
      </c>
      <c r="J53" s="3">
        <v>1</v>
      </c>
      <c r="K53" s="11">
        <v>285000.01</v>
      </c>
      <c r="L53" s="3">
        <v>0</v>
      </c>
      <c r="M53" s="2" t="s">
        <v>22</v>
      </c>
      <c r="N53" s="2" t="s">
        <v>23</v>
      </c>
      <c r="O53" s="2" t="s">
        <v>140</v>
      </c>
    </row>
    <row r="54" spans="1:15" x14ac:dyDescent="0.25">
      <c r="A54" s="1">
        <v>46116</v>
      </c>
      <c r="B54" s="2" t="s">
        <v>141</v>
      </c>
      <c r="C54" s="2" t="s">
        <v>16</v>
      </c>
      <c r="D54" s="2" t="s">
        <v>142</v>
      </c>
      <c r="E54" s="2" t="s">
        <v>51</v>
      </c>
      <c r="F54" s="2" t="s">
        <v>36</v>
      </c>
      <c r="G54" s="2" t="s">
        <v>88</v>
      </c>
      <c r="H54" s="3">
        <v>2</v>
      </c>
      <c r="I54" s="2" t="s">
        <v>21</v>
      </c>
      <c r="J54" s="3">
        <v>2</v>
      </c>
      <c r="K54" s="11">
        <v>540000</v>
      </c>
      <c r="L54" s="3">
        <v>0</v>
      </c>
      <c r="M54" s="2" t="s">
        <v>22</v>
      </c>
      <c r="N54" s="2" t="s">
        <v>23</v>
      </c>
      <c r="O54" s="2" t="s">
        <v>30</v>
      </c>
    </row>
    <row r="55" spans="1:15" x14ac:dyDescent="0.25">
      <c r="A55" s="1">
        <v>46116</v>
      </c>
      <c r="B55" s="2" t="s">
        <v>143</v>
      </c>
      <c r="C55" s="2" t="s">
        <v>16</v>
      </c>
      <c r="D55" s="2" t="s">
        <v>144</v>
      </c>
      <c r="E55" s="2" t="s">
        <v>18</v>
      </c>
      <c r="F55" s="2" t="s">
        <v>36</v>
      </c>
      <c r="G55" s="2" t="s">
        <v>145</v>
      </c>
      <c r="H55" s="3">
        <v>48</v>
      </c>
      <c r="I55" s="2" t="s">
        <v>146</v>
      </c>
      <c r="J55" s="3">
        <v>48</v>
      </c>
      <c r="K55" s="11">
        <v>2237760</v>
      </c>
      <c r="L55" s="3">
        <v>0</v>
      </c>
      <c r="M55" s="2" t="s">
        <v>22</v>
      </c>
      <c r="N55" s="2" t="s">
        <v>23</v>
      </c>
      <c r="O55" s="2" t="s">
        <v>30</v>
      </c>
    </row>
    <row r="56" spans="1:15" x14ac:dyDescent="0.25">
      <c r="A56" s="1">
        <v>46116</v>
      </c>
      <c r="B56" s="2" t="s">
        <v>147</v>
      </c>
      <c r="C56" s="2" t="s">
        <v>16</v>
      </c>
      <c r="D56" s="2" t="s">
        <v>148</v>
      </c>
      <c r="E56" s="2" t="s">
        <v>51</v>
      </c>
      <c r="F56" s="2" t="s">
        <v>87</v>
      </c>
      <c r="G56" s="2" t="s">
        <v>20</v>
      </c>
      <c r="H56" s="3">
        <v>3</v>
      </c>
      <c r="I56" s="2" t="s">
        <v>21</v>
      </c>
      <c r="J56" s="3">
        <v>3</v>
      </c>
      <c r="K56" s="11">
        <v>930000</v>
      </c>
      <c r="L56" s="3">
        <v>0</v>
      </c>
      <c r="M56" s="2" t="s">
        <v>22</v>
      </c>
      <c r="N56" s="2" t="s">
        <v>23</v>
      </c>
      <c r="O56" s="2" t="s">
        <v>149</v>
      </c>
    </row>
    <row r="57" spans="1:15" x14ac:dyDescent="0.25">
      <c r="A57" s="1">
        <v>46116</v>
      </c>
      <c r="B57" s="2" t="s">
        <v>150</v>
      </c>
      <c r="C57" s="2" t="s">
        <v>16</v>
      </c>
      <c r="D57" s="2" t="s">
        <v>35</v>
      </c>
      <c r="E57" s="2" t="s">
        <v>18</v>
      </c>
      <c r="F57" s="2" t="s">
        <v>36</v>
      </c>
      <c r="G57" s="2" t="s">
        <v>41</v>
      </c>
      <c r="H57" s="3">
        <v>3</v>
      </c>
      <c r="I57" s="2" t="s">
        <v>38</v>
      </c>
      <c r="J57" s="3">
        <v>3</v>
      </c>
      <c r="K57" s="11">
        <v>90000.01</v>
      </c>
      <c r="L57" s="3">
        <v>0</v>
      </c>
      <c r="M57" s="2" t="s">
        <v>22</v>
      </c>
      <c r="N57" s="2" t="s">
        <v>23</v>
      </c>
      <c r="O57" s="2" t="s">
        <v>42</v>
      </c>
    </row>
    <row r="58" spans="1:15" x14ac:dyDescent="0.25">
      <c r="A58" s="1">
        <v>46116</v>
      </c>
      <c r="B58" s="2" t="s">
        <v>151</v>
      </c>
      <c r="C58" s="2" t="s">
        <v>16</v>
      </c>
      <c r="D58" s="2" t="s">
        <v>152</v>
      </c>
      <c r="E58" s="2" t="s">
        <v>18</v>
      </c>
      <c r="F58" s="2" t="s">
        <v>36</v>
      </c>
      <c r="G58" s="2" t="s">
        <v>153</v>
      </c>
      <c r="H58" s="3">
        <v>2</v>
      </c>
      <c r="I58" s="2" t="s">
        <v>38</v>
      </c>
      <c r="J58" s="3">
        <v>5.44</v>
      </c>
      <c r="K58" s="11">
        <v>788800</v>
      </c>
      <c r="L58" s="3">
        <v>3.44</v>
      </c>
      <c r="M58" s="2" t="s">
        <v>22</v>
      </c>
      <c r="N58" s="2" t="s">
        <v>23</v>
      </c>
      <c r="O58" s="2" t="s">
        <v>154</v>
      </c>
    </row>
    <row r="59" spans="1:15" x14ac:dyDescent="0.25">
      <c r="A59" s="1">
        <v>46116</v>
      </c>
      <c r="B59" s="2" t="s">
        <v>157</v>
      </c>
      <c r="C59" s="2" t="s">
        <v>16</v>
      </c>
      <c r="D59" s="2" t="s">
        <v>155</v>
      </c>
      <c r="E59" s="2" t="s">
        <v>18</v>
      </c>
      <c r="F59" s="2" t="s">
        <v>55</v>
      </c>
      <c r="G59" s="2" t="s">
        <v>20</v>
      </c>
      <c r="H59" s="3">
        <v>20</v>
      </c>
      <c r="I59" s="2" t="s">
        <v>21</v>
      </c>
      <c r="J59" s="3">
        <v>20</v>
      </c>
      <c r="K59" s="11">
        <v>5999999.9900000002</v>
      </c>
      <c r="L59" s="3">
        <v>0</v>
      </c>
      <c r="M59" s="2" t="s">
        <v>22</v>
      </c>
      <c r="N59" s="2" t="s">
        <v>23</v>
      </c>
      <c r="O59" s="2" t="s">
        <v>30</v>
      </c>
    </row>
    <row r="60" spans="1:15" x14ac:dyDescent="0.25">
      <c r="A60" s="1">
        <v>46116</v>
      </c>
      <c r="B60" s="2" t="s">
        <v>158</v>
      </c>
      <c r="C60" s="2" t="s">
        <v>16</v>
      </c>
      <c r="D60" s="2" t="s">
        <v>127</v>
      </c>
      <c r="E60" s="2" t="s">
        <v>18</v>
      </c>
      <c r="F60" s="2" t="s">
        <v>128</v>
      </c>
      <c r="G60" s="2" t="s">
        <v>33</v>
      </c>
      <c r="H60" s="3">
        <v>16</v>
      </c>
      <c r="I60" s="2" t="s">
        <v>29</v>
      </c>
      <c r="J60" s="3">
        <v>16</v>
      </c>
      <c r="K60" s="11">
        <v>1583999.99</v>
      </c>
      <c r="L60" s="3">
        <v>0</v>
      </c>
      <c r="M60" s="2" t="s">
        <v>22</v>
      </c>
      <c r="N60" s="2" t="s">
        <v>23</v>
      </c>
      <c r="O60" s="2" t="s">
        <v>30</v>
      </c>
    </row>
    <row r="61" spans="1:15" x14ac:dyDescent="0.25">
      <c r="A61" s="1">
        <v>46116</v>
      </c>
      <c r="B61" s="2" t="s">
        <v>159</v>
      </c>
      <c r="C61" s="2" t="s">
        <v>16</v>
      </c>
      <c r="D61" s="2" t="s">
        <v>160</v>
      </c>
      <c r="E61" s="2" t="s">
        <v>18</v>
      </c>
      <c r="F61" s="2" t="s">
        <v>92</v>
      </c>
      <c r="G61" s="2" t="s">
        <v>37</v>
      </c>
      <c r="H61" s="3">
        <v>50</v>
      </c>
      <c r="I61" s="2" t="s">
        <v>38</v>
      </c>
      <c r="J61" s="3">
        <v>50.6</v>
      </c>
      <c r="K61" s="11">
        <v>5059999.99</v>
      </c>
      <c r="L61" s="3">
        <v>0.6</v>
      </c>
      <c r="M61" s="2" t="s">
        <v>22</v>
      </c>
      <c r="N61" s="2" t="s">
        <v>23</v>
      </c>
      <c r="O61" s="2" t="s">
        <v>161</v>
      </c>
    </row>
    <row r="62" spans="1:15" x14ac:dyDescent="0.25">
      <c r="A62" s="1">
        <v>46116</v>
      </c>
      <c r="B62" s="2" t="s">
        <v>162</v>
      </c>
      <c r="C62" s="2" t="s">
        <v>16</v>
      </c>
      <c r="D62" s="2" t="s">
        <v>163</v>
      </c>
      <c r="E62" s="2" t="s">
        <v>18</v>
      </c>
      <c r="F62" s="2" t="s">
        <v>164</v>
      </c>
      <c r="G62" s="2" t="s">
        <v>165</v>
      </c>
      <c r="H62" s="3">
        <v>36</v>
      </c>
      <c r="I62" s="2" t="s">
        <v>146</v>
      </c>
      <c r="J62" s="3">
        <v>36</v>
      </c>
      <c r="K62" s="11">
        <v>104399.97</v>
      </c>
      <c r="L62" s="3">
        <v>0</v>
      </c>
      <c r="M62" s="2" t="s">
        <v>22</v>
      </c>
      <c r="N62" s="2" t="s">
        <v>23</v>
      </c>
      <c r="O62" s="2" t="s">
        <v>30</v>
      </c>
    </row>
    <row r="63" spans="1:15" x14ac:dyDescent="0.25">
      <c r="A63" s="1">
        <v>46116</v>
      </c>
      <c r="B63" s="2" t="s">
        <v>166</v>
      </c>
      <c r="C63" s="2" t="s">
        <v>16</v>
      </c>
      <c r="D63" s="2" t="s">
        <v>163</v>
      </c>
      <c r="E63" s="2" t="s">
        <v>18</v>
      </c>
      <c r="F63" s="2" t="s">
        <v>30</v>
      </c>
      <c r="G63" s="2" t="s">
        <v>33</v>
      </c>
      <c r="H63" s="3">
        <v>16</v>
      </c>
      <c r="I63" s="2" t="s">
        <v>29</v>
      </c>
      <c r="J63" s="3">
        <v>16</v>
      </c>
      <c r="K63" s="11">
        <v>1583999.99</v>
      </c>
      <c r="L63" s="3">
        <v>0</v>
      </c>
      <c r="M63" s="2" t="s">
        <v>22</v>
      </c>
      <c r="N63" s="2" t="s">
        <v>23</v>
      </c>
      <c r="O63" s="2" t="s">
        <v>30</v>
      </c>
    </row>
    <row r="64" spans="1:15" x14ac:dyDescent="0.25">
      <c r="A64" s="1">
        <v>46116</v>
      </c>
      <c r="B64" s="2" t="s">
        <v>167</v>
      </c>
      <c r="C64" s="2" t="s">
        <v>16</v>
      </c>
      <c r="D64" s="2" t="s">
        <v>168</v>
      </c>
      <c r="E64" s="2" t="s">
        <v>51</v>
      </c>
      <c r="F64" s="2" t="s">
        <v>81</v>
      </c>
      <c r="G64" s="2" t="s">
        <v>169</v>
      </c>
      <c r="H64" s="3">
        <v>4</v>
      </c>
      <c r="I64" s="2" t="s">
        <v>38</v>
      </c>
      <c r="J64" s="3">
        <v>4.3099999999999996</v>
      </c>
      <c r="K64" s="11">
        <v>646500.02</v>
      </c>
      <c r="L64" s="3">
        <v>0.31</v>
      </c>
      <c r="M64" s="2" t="s">
        <v>22</v>
      </c>
      <c r="N64" s="2" t="s">
        <v>23</v>
      </c>
      <c r="O64" s="2" t="s">
        <v>170</v>
      </c>
    </row>
    <row r="65" spans="1:15" x14ac:dyDescent="0.25">
      <c r="A65" s="1">
        <v>46116</v>
      </c>
      <c r="B65" s="2" t="s">
        <v>171</v>
      </c>
      <c r="C65" s="2" t="s">
        <v>16</v>
      </c>
      <c r="D65" s="2" t="s">
        <v>172</v>
      </c>
      <c r="E65" s="2" t="s">
        <v>51</v>
      </c>
      <c r="F65" s="2" t="s">
        <v>66</v>
      </c>
      <c r="G65" s="2" t="s">
        <v>173</v>
      </c>
      <c r="H65" s="3">
        <v>36</v>
      </c>
      <c r="I65" s="2" t="s">
        <v>29</v>
      </c>
      <c r="J65" s="3">
        <v>36</v>
      </c>
      <c r="K65" s="11">
        <v>1947600.05</v>
      </c>
      <c r="L65" s="3">
        <v>0</v>
      </c>
      <c r="M65" s="2" t="s">
        <v>22</v>
      </c>
      <c r="N65" s="2" t="s">
        <v>23</v>
      </c>
      <c r="O65" s="2" t="s">
        <v>30</v>
      </c>
    </row>
    <row r="66" spans="1:15" x14ac:dyDescent="0.25">
      <c r="A66" s="1">
        <v>46116</v>
      </c>
      <c r="B66" s="2" t="s">
        <v>171</v>
      </c>
      <c r="C66" s="2" t="s">
        <v>16</v>
      </c>
      <c r="D66" s="2" t="s">
        <v>172</v>
      </c>
      <c r="E66" s="2" t="s">
        <v>51</v>
      </c>
      <c r="F66" s="2" t="s">
        <v>66</v>
      </c>
      <c r="G66" s="2" t="s">
        <v>119</v>
      </c>
      <c r="H66" s="3">
        <v>12</v>
      </c>
      <c r="I66" s="2" t="s">
        <v>29</v>
      </c>
      <c r="J66" s="3">
        <v>12</v>
      </c>
      <c r="K66" s="11">
        <v>770400.03</v>
      </c>
      <c r="L66" s="3">
        <v>0</v>
      </c>
      <c r="M66" s="2" t="s">
        <v>22</v>
      </c>
      <c r="N66" s="2" t="s">
        <v>23</v>
      </c>
      <c r="O66" s="2" t="s">
        <v>30</v>
      </c>
    </row>
    <row r="67" spans="1:15" x14ac:dyDescent="0.25">
      <c r="A67" s="1">
        <v>46116</v>
      </c>
      <c r="B67" s="2" t="s">
        <v>174</v>
      </c>
      <c r="C67" s="2" t="s">
        <v>16</v>
      </c>
      <c r="D67" s="2" t="s">
        <v>175</v>
      </c>
      <c r="E67" s="2" t="s">
        <v>18</v>
      </c>
      <c r="F67" s="2" t="s">
        <v>92</v>
      </c>
      <c r="G67" s="2" t="s">
        <v>20</v>
      </c>
      <c r="H67" s="3">
        <v>1</v>
      </c>
      <c r="I67" s="2" t="s">
        <v>21</v>
      </c>
      <c r="J67" s="3">
        <v>1</v>
      </c>
      <c r="K67" s="11">
        <v>300000</v>
      </c>
      <c r="L67" s="3">
        <v>0</v>
      </c>
      <c r="M67" s="2" t="s">
        <v>22</v>
      </c>
      <c r="N67" s="2" t="s">
        <v>23</v>
      </c>
      <c r="O67" s="2" t="s">
        <v>30</v>
      </c>
    </row>
    <row r="68" spans="1:15" x14ac:dyDescent="0.25">
      <c r="A68" s="1">
        <v>46116</v>
      </c>
      <c r="B68" s="2" t="s">
        <v>174</v>
      </c>
      <c r="C68" s="2" t="s">
        <v>16</v>
      </c>
      <c r="D68" s="2" t="s">
        <v>175</v>
      </c>
      <c r="E68" s="2" t="s">
        <v>18</v>
      </c>
      <c r="F68" s="2" t="s">
        <v>92</v>
      </c>
      <c r="G68" s="2" t="s">
        <v>176</v>
      </c>
      <c r="H68" s="3">
        <v>1</v>
      </c>
      <c r="I68" s="2" t="s">
        <v>21</v>
      </c>
      <c r="J68" s="3">
        <v>1</v>
      </c>
      <c r="K68" s="11">
        <v>565000</v>
      </c>
      <c r="L68" s="3">
        <v>0</v>
      </c>
      <c r="M68" s="2" t="s">
        <v>22</v>
      </c>
      <c r="N68" s="2" t="s">
        <v>23</v>
      </c>
      <c r="O68" s="2" t="s">
        <v>30</v>
      </c>
    </row>
    <row r="69" spans="1:15" x14ac:dyDescent="0.25">
      <c r="A69" s="1">
        <v>46116</v>
      </c>
      <c r="B69" s="2" t="s">
        <v>177</v>
      </c>
      <c r="C69" s="2" t="s">
        <v>16</v>
      </c>
      <c r="D69" s="2" t="s">
        <v>178</v>
      </c>
      <c r="E69" s="2" t="s">
        <v>18</v>
      </c>
      <c r="F69" s="2" t="s">
        <v>164</v>
      </c>
      <c r="G69" s="2" t="s">
        <v>165</v>
      </c>
      <c r="H69" s="3">
        <v>108</v>
      </c>
      <c r="I69" s="2" t="s">
        <v>146</v>
      </c>
      <c r="J69" s="3">
        <v>108</v>
      </c>
      <c r="K69" s="11">
        <v>313199.93</v>
      </c>
      <c r="L69" s="3">
        <v>0</v>
      </c>
      <c r="M69" s="2" t="s">
        <v>22</v>
      </c>
      <c r="N69" s="2" t="s">
        <v>23</v>
      </c>
      <c r="O69" s="2" t="s">
        <v>30</v>
      </c>
    </row>
    <row r="70" spans="1:15" x14ac:dyDescent="0.25">
      <c r="A70" s="1">
        <v>46116</v>
      </c>
      <c r="B70" s="2" t="s">
        <v>179</v>
      </c>
      <c r="C70" s="2" t="s">
        <v>16</v>
      </c>
      <c r="D70" s="2" t="s">
        <v>180</v>
      </c>
      <c r="E70" s="2" t="s">
        <v>18</v>
      </c>
      <c r="F70" s="2" t="s">
        <v>99</v>
      </c>
      <c r="G70" s="2" t="s">
        <v>181</v>
      </c>
      <c r="H70" s="3">
        <v>60</v>
      </c>
      <c r="I70" s="2" t="s">
        <v>38</v>
      </c>
      <c r="J70" s="3">
        <v>61.899900000000002</v>
      </c>
      <c r="K70" s="11">
        <v>8851700</v>
      </c>
      <c r="L70" s="3">
        <v>1.8998999999999999</v>
      </c>
      <c r="M70" s="2" t="s">
        <v>22</v>
      </c>
      <c r="N70" s="2" t="s">
        <v>23</v>
      </c>
      <c r="O70" s="2" t="s">
        <v>30</v>
      </c>
    </row>
    <row r="71" spans="1:15" x14ac:dyDescent="0.25">
      <c r="A71" s="1">
        <v>46116</v>
      </c>
      <c r="B71" s="2" t="s">
        <v>182</v>
      </c>
      <c r="C71" s="2" t="s">
        <v>16</v>
      </c>
      <c r="D71" s="2" t="s">
        <v>183</v>
      </c>
      <c r="E71" s="2" t="s">
        <v>18</v>
      </c>
      <c r="F71" s="2" t="s">
        <v>36</v>
      </c>
      <c r="G71" s="2" t="s">
        <v>20</v>
      </c>
      <c r="H71" s="3">
        <v>3</v>
      </c>
      <c r="I71" s="2" t="s">
        <v>21</v>
      </c>
      <c r="J71" s="3">
        <v>3</v>
      </c>
      <c r="K71" s="11">
        <v>982350</v>
      </c>
      <c r="L71" s="3">
        <v>0</v>
      </c>
      <c r="M71" s="2" t="s">
        <v>22</v>
      </c>
      <c r="N71" s="2" t="s">
        <v>23</v>
      </c>
      <c r="O71" s="2" t="s">
        <v>30</v>
      </c>
    </row>
    <row r="72" spans="1:15" x14ac:dyDescent="0.25">
      <c r="A72" s="1">
        <v>46116</v>
      </c>
      <c r="B72" s="2" t="s">
        <v>184</v>
      </c>
      <c r="C72" s="2" t="s">
        <v>16</v>
      </c>
      <c r="D72" s="2" t="s">
        <v>185</v>
      </c>
      <c r="E72" s="2" t="s">
        <v>18</v>
      </c>
      <c r="F72" s="2" t="s">
        <v>59</v>
      </c>
      <c r="G72" s="2" t="s">
        <v>186</v>
      </c>
      <c r="H72" s="3">
        <v>10</v>
      </c>
      <c r="I72" s="2" t="s">
        <v>38</v>
      </c>
      <c r="J72" s="3">
        <v>10</v>
      </c>
      <c r="K72" s="11">
        <v>372960</v>
      </c>
      <c r="L72" s="3">
        <v>0</v>
      </c>
      <c r="M72" s="2" t="s">
        <v>22</v>
      </c>
      <c r="N72" s="2" t="s">
        <v>23</v>
      </c>
      <c r="O72" s="2" t="s">
        <v>30</v>
      </c>
    </row>
    <row r="73" spans="1:15" x14ac:dyDescent="0.25">
      <c r="A73" s="1">
        <v>46116</v>
      </c>
      <c r="B73" s="2" t="s">
        <v>187</v>
      </c>
      <c r="C73" s="2" t="s">
        <v>16</v>
      </c>
      <c r="D73" s="2" t="s">
        <v>188</v>
      </c>
      <c r="E73" s="2" t="s">
        <v>51</v>
      </c>
      <c r="F73" s="2" t="s">
        <v>92</v>
      </c>
      <c r="G73" s="2" t="s">
        <v>63</v>
      </c>
      <c r="H73" s="3">
        <v>3</v>
      </c>
      <c r="I73" s="2" t="s">
        <v>21</v>
      </c>
      <c r="J73" s="3">
        <v>3</v>
      </c>
      <c r="K73" s="11">
        <v>959999.99</v>
      </c>
      <c r="L73" s="3">
        <v>0</v>
      </c>
      <c r="M73" s="2" t="s">
        <v>22</v>
      </c>
      <c r="N73" s="2" t="s">
        <v>23</v>
      </c>
      <c r="O73" s="2" t="s">
        <v>30</v>
      </c>
    </row>
    <row r="74" spans="1:15" x14ac:dyDescent="0.25">
      <c r="A74" s="1">
        <v>46116</v>
      </c>
      <c r="B74" s="2" t="s">
        <v>187</v>
      </c>
      <c r="C74" s="2" t="s">
        <v>16</v>
      </c>
      <c r="D74" s="2" t="s">
        <v>188</v>
      </c>
      <c r="E74" s="2" t="s">
        <v>51</v>
      </c>
      <c r="F74" s="2" t="s">
        <v>92</v>
      </c>
      <c r="G74" s="2" t="s">
        <v>20</v>
      </c>
      <c r="H74" s="3">
        <v>4</v>
      </c>
      <c r="I74" s="2" t="s">
        <v>21</v>
      </c>
      <c r="J74" s="3">
        <v>4</v>
      </c>
      <c r="K74" s="11">
        <v>1160000</v>
      </c>
      <c r="L74" s="3">
        <v>0</v>
      </c>
      <c r="M74" s="2" t="s">
        <v>22</v>
      </c>
      <c r="N74" s="2" t="s">
        <v>23</v>
      </c>
      <c r="O74" s="2" t="s">
        <v>30</v>
      </c>
    </row>
    <row r="75" spans="1:15" x14ac:dyDescent="0.25">
      <c r="A75" s="1">
        <v>46116</v>
      </c>
      <c r="B75" s="2" t="s">
        <v>189</v>
      </c>
      <c r="C75" s="2" t="s">
        <v>16</v>
      </c>
      <c r="D75" s="2" t="s">
        <v>190</v>
      </c>
      <c r="E75" s="2" t="s">
        <v>18</v>
      </c>
      <c r="F75" s="2" t="s">
        <v>36</v>
      </c>
      <c r="G75" s="2" t="s">
        <v>191</v>
      </c>
      <c r="H75" s="3">
        <v>6</v>
      </c>
      <c r="I75" s="2" t="s">
        <v>38</v>
      </c>
      <c r="J75" s="3">
        <v>5.31</v>
      </c>
      <c r="K75" s="11">
        <v>637200</v>
      </c>
      <c r="L75" s="3">
        <v>-0.69</v>
      </c>
      <c r="M75" s="2" t="s">
        <v>22</v>
      </c>
      <c r="N75" s="2" t="s">
        <v>23</v>
      </c>
      <c r="O75" s="2" t="s">
        <v>30</v>
      </c>
    </row>
    <row r="76" spans="1:15" x14ac:dyDescent="0.25">
      <c r="A76" s="1">
        <v>46116</v>
      </c>
      <c r="B76" s="2" t="s">
        <v>192</v>
      </c>
      <c r="C76" s="2" t="s">
        <v>16</v>
      </c>
      <c r="D76" s="2" t="s">
        <v>193</v>
      </c>
      <c r="E76" s="2" t="s">
        <v>18</v>
      </c>
      <c r="F76" s="2" t="s">
        <v>194</v>
      </c>
      <c r="G76" s="2" t="s">
        <v>60</v>
      </c>
      <c r="H76" s="3">
        <v>5</v>
      </c>
      <c r="I76" s="2" t="s">
        <v>38</v>
      </c>
      <c r="J76" s="3">
        <v>5</v>
      </c>
      <c r="K76" s="11">
        <v>83250</v>
      </c>
      <c r="L76" s="3">
        <v>0</v>
      </c>
      <c r="M76" s="2" t="s">
        <v>22</v>
      </c>
      <c r="N76" s="2" t="s">
        <v>23</v>
      </c>
      <c r="O76" s="2" t="s">
        <v>30</v>
      </c>
    </row>
    <row r="77" spans="1:15" x14ac:dyDescent="0.25">
      <c r="A77" s="1">
        <v>46116</v>
      </c>
      <c r="B77" s="2" t="s">
        <v>195</v>
      </c>
      <c r="C77" s="2" t="s">
        <v>16</v>
      </c>
      <c r="D77" s="2" t="s">
        <v>196</v>
      </c>
      <c r="E77" s="2" t="s">
        <v>18</v>
      </c>
      <c r="F77" s="2" t="s">
        <v>96</v>
      </c>
      <c r="G77" s="2" t="s">
        <v>197</v>
      </c>
      <c r="H77" s="3">
        <v>12</v>
      </c>
      <c r="I77" s="2" t="s">
        <v>146</v>
      </c>
      <c r="J77" s="3">
        <v>12</v>
      </c>
      <c r="K77" s="11">
        <v>461538</v>
      </c>
      <c r="L77" s="3">
        <v>0</v>
      </c>
      <c r="M77" s="2" t="s">
        <v>22</v>
      </c>
      <c r="N77" s="2" t="s">
        <v>23</v>
      </c>
      <c r="O77" s="2" t="s">
        <v>198</v>
      </c>
    </row>
    <row r="78" spans="1:15" x14ac:dyDescent="0.25">
      <c r="A78" s="1">
        <v>46116</v>
      </c>
      <c r="B78" s="2" t="s">
        <v>195</v>
      </c>
      <c r="C78" s="2" t="s">
        <v>16</v>
      </c>
      <c r="D78" s="2" t="s">
        <v>196</v>
      </c>
      <c r="E78" s="2" t="s">
        <v>18</v>
      </c>
      <c r="F78" s="2" t="s">
        <v>96</v>
      </c>
      <c r="G78" s="2" t="s">
        <v>145</v>
      </c>
      <c r="H78" s="3">
        <v>12</v>
      </c>
      <c r="I78" s="2" t="s">
        <v>146</v>
      </c>
      <c r="J78" s="3">
        <v>12</v>
      </c>
      <c r="K78" s="11">
        <v>559440</v>
      </c>
      <c r="L78" s="3">
        <v>0</v>
      </c>
      <c r="M78" s="2" t="s">
        <v>22</v>
      </c>
      <c r="N78" s="2" t="s">
        <v>23</v>
      </c>
      <c r="O78" s="2" t="s">
        <v>198</v>
      </c>
    </row>
    <row r="79" spans="1:15" x14ac:dyDescent="0.25">
      <c r="A79" s="1">
        <v>46116</v>
      </c>
      <c r="B79" s="2" t="s">
        <v>195</v>
      </c>
      <c r="C79" s="2" t="s">
        <v>16</v>
      </c>
      <c r="D79" s="2" t="s">
        <v>196</v>
      </c>
      <c r="E79" s="2" t="s">
        <v>18</v>
      </c>
      <c r="F79" s="2" t="s">
        <v>96</v>
      </c>
      <c r="G79" s="2" t="s">
        <v>199</v>
      </c>
      <c r="H79" s="3">
        <v>6</v>
      </c>
      <c r="I79" s="2" t="s">
        <v>146</v>
      </c>
      <c r="J79" s="3">
        <v>6</v>
      </c>
      <c r="K79" s="11">
        <v>279720</v>
      </c>
      <c r="L79" s="3">
        <v>0</v>
      </c>
      <c r="M79" s="2" t="s">
        <v>22</v>
      </c>
      <c r="N79" s="2" t="s">
        <v>23</v>
      </c>
      <c r="O79" s="2" t="s">
        <v>198</v>
      </c>
    </row>
    <row r="80" spans="1:15" x14ac:dyDescent="0.25">
      <c r="A80" s="1">
        <v>46116</v>
      </c>
      <c r="B80" s="2" t="s">
        <v>200</v>
      </c>
      <c r="C80" s="2" t="s">
        <v>16</v>
      </c>
      <c r="D80" s="2" t="s">
        <v>196</v>
      </c>
      <c r="E80" s="2" t="s">
        <v>18</v>
      </c>
      <c r="F80" s="2" t="s">
        <v>96</v>
      </c>
      <c r="G80" s="2" t="s">
        <v>145</v>
      </c>
      <c r="H80" s="3">
        <v>12</v>
      </c>
      <c r="I80" s="2" t="s">
        <v>146</v>
      </c>
      <c r="J80" s="3">
        <v>12</v>
      </c>
      <c r="K80" s="11">
        <v>559440</v>
      </c>
      <c r="L80" s="3">
        <v>0</v>
      </c>
      <c r="M80" s="2" t="s">
        <v>22</v>
      </c>
      <c r="N80" s="2" t="s">
        <v>23</v>
      </c>
      <c r="O80" s="2" t="s">
        <v>201</v>
      </c>
    </row>
    <row r="81" spans="1:15" x14ac:dyDescent="0.25">
      <c r="A81" s="1">
        <v>46116</v>
      </c>
      <c r="B81" s="2" t="s">
        <v>202</v>
      </c>
      <c r="C81" s="2" t="s">
        <v>16</v>
      </c>
      <c r="D81" s="2" t="s">
        <v>203</v>
      </c>
      <c r="E81" s="2" t="s">
        <v>18</v>
      </c>
      <c r="F81" s="2" t="s">
        <v>55</v>
      </c>
      <c r="G81" s="2" t="s">
        <v>204</v>
      </c>
      <c r="H81" s="3">
        <v>15</v>
      </c>
      <c r="I81" s="2" t="s">
        <v>38</v>
      </c>
      <c r="J81" s="3">
        <v>15</v>
      </c>
      <c r="K81" s="11">
        <v>1904999.93</v>
      </c>
      <c r="L81" s="3">
        <v>0</v>
      </c>
      <c r="M81" s="2" t="s">
        <v>22</v>
      </c>
      <c r="N81" s="2" t="s">
        <v>23</v>
      </c>
      <c r="O81" s="2" t="s">
        <v>30</v>
      </c>
    </row>
    <row r="82" spans="1:15" x14ac:dyDescent="0.25">
      <c r="A82" s="1">
        <v>46116</v>
      </c>
      <c r="B82" s="2" t="s">
        <v>205</v>
      </c>
      <c r="C82" s="2" t="s">
        <v>16</v>
      </c>
      <c r="D82" s="2" t="s">
        <v>206</v>
      </c>
      <c r="E82" s="2" t="s">
        <v>18</v>
      </c>
      <c r="F82" s="2" t="s">
        <v>55</v>
      </c>
      <c r="G82" s="2" t="s">
        <v>63</v>
      </c>
      <c r="H82" s="3">
        <v>6</v>
      </c>
      <c r="I82" s="2" t="s">
        <v>21</v>
      </c>
      <c r="J82" s="3">
        <v>6</v>
      </c>
      <c r="K82" s="11">
        <v>1741590</v>
      </c>
      <c r="L82" s="3">
        <v>0</v>
      </c>
      <c r="M82" s="2" t="s">
        <v>22</v>
      </c>
      <c r="N82" s="2" t="s">
        <v>23</v>
      </c>
      <c r="O82" s="2" t="s">
        <v>30</v>
      </c>
    </row>
    <row r="83" spans="1:15" x14ac:dyDescent="0.25">
      <c r="A83" s="1">
        <v>46116</v>
      </c>
      <c r="B83" s="2" t="s">
        <v>207</v>
      </c>
      <c r="C83" s="2" t="s">
        <v>16</v>
      </c>
      <c r="D83" s="2" t="s">
        <v>206</v>
      </c>
      <c r="E83" s="2" t="s">
        <v>18</v>
      </c>
      <c r="F83" s="2" t="s">
        <v>55</v>
      </c>
      <c r="G83" s="2" t="s">
        <v>204</v>
      </c>
      <c r="H83" s="3">
        <v>5</v>
      </c>
      <c r="I83" s="2" t="s">
        <v>38</v>
      </c>
      <c r="J83" s="3">
        <v>5</v>
      </c>
      <c r="K83" s="11">
        <v>634999.98</v>
      </c>
      <c r="L83" s="3">
        <v>0</v>
      </c>
      <c r="M83" s="2" t="s">
        <v>22</v>
      </c>
      <c r="N83" s="2" t="s">
        <v>23</v>
      </c>
      <c r="O83" s="2" t="s">
        <v>30</v>
      </c>
    </row>
    <row r="84" spans="1:15" x14ac:dyDescent="0.25">
      <c r="A84" s="1">
        <v>46116</v>
      </c>
      <c r="B84" s="2" t="s">
        <v>208</v>
      </c>
      <c r="C84" s="2" t="s">
        <v>16</v>
      </c>
      <c r="D84" s="2" t="s">
        <v>209</v>
      </c>
      <c r="E84" s="2" t="s">
        <v>18</v>
      </c>
      <c r="F84" s="2" t="s">
        <v>19</v>
      </c>
      <c r="G84" s="2" t="s">
        <v>60</v>
      </c>
      <c r="H84" s="3">
        <v>20</v>
      </c>
      <c r="I84" s="2" t="s">
        <v>38</v>
      </c>
      <c r="J84" s="3">
        <v>20</v>
      </c>
      <c r="K84" s="11">
        <v>333000</v>
      </c>
      <c r="L84" s="3">
        <v>0</v>
      </c>
      <c r="M84" s="2" t="s">
        <v>22</v>
      </c>
      <c r="N84" s="2" t="s">
        <v>23</v>
      </c>
      <c r="O84" s="2" t="s">
        <v>30</v>
      </c>
    </row>
    <row r="85" spans="1:15" x14ac:dyDescent="0.25">
      <c r="A85" s="1">
        <v>46116</v>
      </c>
      <c r="B85" s="2" t="s">
        <v>210</v>
      </c>
      <c r="C85" s="2" t="s">
        <v>16</v>
      </c>
      <c r="D85" s="2" t="s">
        <v>211</v>
      </c>
      <c r="E85" s="2" t="s">
        <v>18</v>
      </c>
      <c r="F85" s="2" t="s">
        <v>19</v>
      </c>
      <c r="G85" s="2" t="s">
        <v>20</v>
      </c>
      <c r="H85" s="3">
        <v>7</v>
      </c>
      <c r="I85" s="2" t="s">
        <v>21</v>
      </c>
      <c r="J85" s="3">
        <v>7</v>
      </c>
      <c r="K85" s="11">
        <v>2204999.9900000002</v>
      </c>
      <c r="L85" s="3">
        <v>0</v>
      </c>
      <c r="M85" s="2" t="s">
        <v>22</v>
      </c>
      <c r="N85" s="2" t="s">
        <v>23</v>
      </c>
      <c r="O85" s="2" t="s">
        <v>30</v>
      </c>
    </row>
    <row r="86" spans="1:15" x14ac:dyDescent="0.25">
      <c r="A86" s="1">
        <v>46116</v>
      </c>
      <c r="B86" s="2" t="s">
        <v>212</v>
      </c>
      <c r="C86" s="2" t="s">
        <v>16</v>
      </c>
      <c r="D86" s="2" t="s">
        <v>213</v>
      </c>
      <c r="E86" s="2" t="s">
        <v>18</v>
      </c>
      <c r="F86" s="2" t="s">
        <v>164</v>
      </c>
      <c r="G86" s="2" t="s">
        <v>165</v>
      </c>
      <c r="H86" s="3">
        <v>36</v>
      </c>
      <c r="I86" s="2" t="s">
        <v>146</v>
      </c>
      <c r="J86" s="3">
        <v>36</v>
      </c>
      <c r="K86" s="11">
        <v>104399.97</v>
      </c>
      <c r="L86" s="3">
        <v>0</v>
      </c>
      <c r="M86" s="2" t="s">
        <v>22</v>
      </c>
      <c r="N86" s="2" t="s">
        <v>23</v>
      </c>
      <c r="O86" s="2" t="s">
        <v>30</v>
      </c>
    </row>
    <row r="87" spans="1:15" x14ac:dyDescent="0.25">
      <c r="A87" s="1">
        <v>46116</v>
      </c>
      <c r="B87" s="2" t="s">
        <v>214</v>
      </c>
      <c r="C87" s="2" t="s">
        <v>16</v>
      </c>
      <c r="D87" s="2" t="s">
        <v>213</v>
      </c>
      <c r="E87" s="2" t="s">
        <v>18</v>
      </c>
      <c r="F87" s="2" t="s">
        <v>128</v>
      </c>
      <c r="G87" s="2" t="s">
        <v>115</v>
      </c>
      <c r="H87" s="3">
        <v>30</v>
      </c>
      <c r="I87" s="2" t="s">
        <v>29</v>
      </c>
      <c r="J87" s="3">
        <v>30</v>
      </c>
      <c r="K87" s="11">
        <v>1644260</v>
      </c>
      <c r="L87" s="3">
        <v>0</v>
      </c>
      <c r="M87" s="2" t="s">
        <v>22</v>
      </c>
      <c r="N87" s="2" t="s">
        <v>23</v>
      </c>
      <c r="O87" s="2" t="s">
        <v>30</v>
      </c>
    </row>
    <row r="88" spans="1:15" x14ac:dyDescent="0.25">
      <c r="A88" s="1">
        <v>46116</v>
      </c>
      <c r="B88" s="2" t="s">
        <v>214</v>
      </c>
      <c r="C88" s="2" t="s">
        <v>16</v>
      </c>
      <c r="D88" s="2" t="s">
        <v>213</v>
      </c>
      <c r="E88" s="2" t="s">
        <v>18</v>
      </c>
      <c r="F88" s="2" t="s">
        <v>128</v>
      </c>
      <c r="G88" s="2" t="s">
        <v>33</v>
      </c>
      <c r="H88" s="3">
        <v>16</v>
      </c>
      <c r="I88" s="2" t="s">
        <v>29</v>
      </c>
      <c r="J88" s="3">
        <v>16</v>
      </c>
      <c r="K88" s="11">
        <v>1583999.99</v>
      </c>
      <c r="L88" s="3">
        <v>0</v>
      </c>
      <c r="M88" s="2" t="s">
        <v>22</v>
      </c>
      <c r="N88" s="2" t="s">
        <v>23</v>
      </c>
      <c r="O88" s="2" t="s">
        <v>30</v>
      </c>
    </row>
    <row r="89" spans="1:15" x14ac:dyDescent="0.25">
      <c r="A89" s="1">
        <v>46116</v>
      </c>
      <c r="B89" s="2" t="s">
        <v>215</v>
      </c>
      <c r="C89" s="2" t="s">
        <v>16</v>
      </c>
      <c r="D89" s="2" t="s">
        <v>216</v>
      </c>
      <c r="E89" s="2" t="s">
        <v>18</v>
      </c>
      <c r="F89" s="2" t="s">
        <v>27</v>
      </c>
      <c r="G89" s="2" t="s">
        <v>33</v>
      </c>
      <c r="H89" s="3">
        <v>16</v>
      </c>
      <c r="I89" s="2" t="s">
        <v>29</v>
      </c>
      <c r="J89" s="3">
        <v>16</v>
      </c>
      <c r="K89" s="11">
        <v>1583999.99</v>
      </c>
      <c r="L89" s="3">
        <v>0</v>
      </c>
      <c r="M89" s="2" t="s">
        <v>22</v>
      </c>
      <c r="N89" s="2" t="s">
        <v>23</v>
      </c>
      <c r="O89" s="2" t="s">
        <v>30</v>
      </c>
    </row>
    <row r="90" spans="1:15" x14ac:dyDescent="0.25">
      <c r="A90" s="1">
        <v>46116</v>
      </c>
      <c r="B90" s="2" t="s">
        <v>217</v>
      </c>
      <c r="C90" s="2" t="s">
        <v>16</v>
      </c>
      <c r="D90" s="2" t="s">
        <v>216</v>
      </c>
      <c r="E90" s="2" t="s">
        <v>18</v>
      </c>
      <c r="F90" s="2" t="s">
        <v>164</v>
      </c>
      <c r="G90" s="2" t="s">
        <v>165</v>
      </c>
      <c r="H90" s="3">
        <v>144</v>
      </c>
      <c r="I90" s="2" t="s">
        <v>146</v>
      </c>
      <c r="J90" s="3">
        <v>144</v>
      </c>
      <c r="K90" s="11">
        <v>417599.9</v>
      </c>
      <c r="L90" s="3">
        <v>0</v>
      </c>
      <c r="M90" s="2" t="s">
        <v>22</v>
      </c>
      <c r="N90" s="2" t="s">
        <v>23</v>
      </c>
      <c r="O90" s="2" t="s">
        <v>30</v>
      </c>
    </row>
    <row r="91" spans="1:15" x14ac:dyDescent="0.25">
      <c r="A91" s="1">
        <v>46116</v>
      </c>
      <c r="B91" s="2" t="s">
        <v>218</v>
      </c>
      <c r="C91" s="2" t="s">
        <v>16</v>
      </c>
      <c r="D91" s="2" t="s">
        <v>219</v>
      </c>
      <c r="E91" s="2" t="s">
        <v>51</v>
      </c>
      <c r="F91" s="2" t="s">
        <v>59</v>
      </c>
      <c r="G91" s="2" t="s">
        <v>199</v>
      </c>
      <c r="H91" s="3">
        <v>12</v>
      </c>
      <c r="I91" s="2" t="s">
        <v>146</v>
      </c>
      <c r="J91" s="3">
        <v>12</v>
      </c>
      <c r="K91" s="11">
        <v>559440</v>
      </c>
      <c r="L91" s="3">
        <v>0</v>
      </c>
      <c r="M91" s="2" t="s">
        <v>22</v>
      </c>
      <c r="N91" s="2" t="s">
        <v>23</v>
      </c>
      <c r="O91" s="2" t="s">
        <v>220</v>
      </c>
    </row>
    <row r="92" spans="1:15" x14ac:dyDescent="0.25">
      <c r="A92" s="1">
        <v>46116</v>
      </c>
      <c r="B92" s="2" t="s">
        <v>218</v>
      </c>
      <c r="C92" s="2" t="s">
        <v>16</v>
      </c>
      <c r="D92" s="2" t="s">
        <v>219</v>
      </c>
      <c r="E92" s="2" t="s">
        <v>51</v>
      </c>
      <c r="F92" s="2" t="s">
        <v>59</v>
      </c>
      <c r="G92" s="2" t="s">
        <v>197</v>
      </c>
      <c r="H92" s="3">
        <v>6</v>
      </c>
      <c r="I92" s="2" t="s">
        <v>146</v>
      </c>
      <c r="J92" s="3">
        <v>6</v>
      </c>
      <c r="K92" s="11">
        <v>230769</v>
      </c>
      <c r="L92" s="3">
        <v>0</v>
      </c>
      <c r="M92" s="2" t="s">
        <v>22</v>
      </c>
      <c r="N92" s="2" t="s">
        <v>23</v>
      </c>
      <c r="O92" s="2" t="s">
        <v>220</v>
      </c>
    </row>
    <row r="93" spans="1:15" x14ac:dyDescent="0.25">
      <c r="A93" s="1">
        <v>46116</v>
      </c>
      <c r="B93" s="2" t="s">
        <v>221</v>
      </c>
      <c r="C93" s="2" t="s">
        <v>16</v>
      </c>
      <c r="D93" s="2" t="s">
        <v>219</v>
      </c>
      <c r="E93" s="2" t="s">
        <v>51</v>
      </c>
      <c r="F93" s="2" t="s">
        <v>59</v>
      </c>
      <c r="G93" s="2" t="s">
        <v>169</v>
      </c>
      <c r="H93" s="3">
        <v>4</v>
      </c>
      <c r="I93" s="2" t="s">
        <v>38</v>
      </c>
      <c r="J93" s="3">
        <v>4.0999999999999996</v>
      </c>
      <c r="K93" s="11">
        <v>615000.02</v>
      </c>
      <c r="L93" s="3">
        <v>0.1</v>
      </c>
      <c r="M93" s="2" t="s">
        <v>22</v>
      </c>
      <c r="N93" s="2" t="s">
        <v>23</v>
      </c>
      <c r="O93" s="2" t="s">
        <v>220</v>
      </c>
    </row>
    <row r="94" spans="1:15" x14ac:dyDescent="0.25">
      <c r="A94" s="1">
        <v>46116</v>
      </c>
      <c r="B94" s="2" t="s">
        <v>221</v>
      </c>
      <c r="C94" s="2" t="s">
        <v>16</v>
      </c>
      <c r="D94" s="2" t="s">
        <v>219</v>
      </c>
      <c r="E94" s="2" t="s">
        <v>51</v>
      </c>
      <c r="F94" s="2" t="s">
        <v>59</v>
      </c>
      <c r="G94" s="2" t="s">
        <v>222</v>
      </c>
      <c r="H94" s="3">
        <v>20</v>
      </c>
      <c r="I94" s="2" t="s">
        <v>29</v>
      </c>
      <c r="J94" s="3">
        <v>20</v>
      </c>
      <c r="K94" s="11">
        <v>559999.99</v>
      </c>
      <c r="L94" s="3">
        <v>0</v>
      </c>
      <c r="M94" s="2" t="s">
        <v>22</v>
      </c>
      <c r="N94" s="2" t="s">
        <v>23</v>
      </c>
      <c r="O94" s="2" t="s">
        <v>220</v>
      </c>
    </row>
    <row r="95" spans="1:15" x14ac:dyDescent="0.25">
      <c r="A95" s="1">
        <v>46116</v>
      </c>
      <c r="B95" s="2" t="s">
        <v>223</v>
      </c>
      <c r="C95" s="2" t="s">
        <v>16</v>
      </c>
      <c r="D95" s="2" t="s">
        <v>224</v>
      </c>
      <c r="E95" s="2" t="s">
        <v>18</v>
      </c>
      <c r="F95" s="2" t="s">
        <v>96</v>
      </c>
      <c r="G95" s="2" t="s">
        <v>20</v>
      </c>
      <c r="H95" s="3">
        <v>3</v>
      </c>
      <c r="I95" s="2" t="s">
        <v>21</v>
      </c>
      <c r="J95" s="3">
        <v>3</v>
      </c>
      <c r="K95" s="11">
        <v>945000</v>
      </c>
      <c r="L95" s="3">
        <v>0</v>
      </c>
      <c r="M95" s="2" t="s">
        <v>22</v>
      </c>
      <c r="N95" s="2" t="s">
        <v>23</v>
      </c>
      <c r="O95" s="2" t="s">
        <v>30</v>
      </c>
    </row>
    <row r="96" spans="1:15" x14ac:dyDescent="0.25">
      <c r="A96" s="1">
        <v>46116</v>
      </c>
      <c r="B96" s="2" t="s">
        <v>225</v>
      </c>
      <c r="C96" s="2" t="s">
        <v>16</v>
      </c>
      <c r="D96" s="2" t="s">
        <v>226</v>
      </c>
      <c r="E96" s="2" t="s">
        <v>18</v>
      </c>
      <c r="F96" s="2" t="s">
        <v>71</v>
      </c>
      <c r="G96" s="2" t="s">
        <v>33</v>
      </c>
      <c r="H96" s="3">
        <v>16</v>
      </c>
      <c r="I96" s="2" t="s">
        <v>29</v>
      </c>
      <c r="J96" s="3">
        <v>16</v>
      </c>
      <c r="K96" s="11">
        <v>1679999.99</v>
      </c>
      <c r="L96" s="3">
        <v>0</v>
      </c>
      <c r="M96" s="2" t="s">
        <v>22</v>
      </c>
      <c r="N96" s="2" t="s">
        <v>23</v>
      </c>
      <c r="O96" s="2" t="s">
        <v>30</v>
      </c>
    </row>
    <row r="97" spans="1:15" x14ac:dyDescent="0.25">
      <c r="A97" s="1">
        <v>46116</v>
      </c>
      <c r="B97" s="2" t="s">
        <v>227</v>
      </c>
      <c r="C97" s="2" t="s">
        <v>16</v>
      </c>
      <c r="D97" s="2" t="s">
        <v>228</v>
      </c>
      <c r="E97" s="2" t="s">
        <v>18</v>
      </c>
      <c r="F97" s="2" t="s">
        <v>99</v>
      </c>
      <c r="G97" s="2" t="s">
        <v>229</v>
      </c>
      <c r="H97" s="3">
        <v>3</v>
      </c>
      <c r="I97" s="2" t="s">
        <v>38</v>
      </c>
      <c r="J97" s="3">
        <v>2.19</v>
      </c>
      <c r="K97" s="11">
        <v>289080</v>
      </c>
      <c r="L97" s="3">
        <v>-0.81</v>
      </c>
      <c r="M97" s="2" t="s">
        <v>22</v>
      </c>
      <c r="N97" s="2" t="s">
        <v>23</v>
      </c>
      <c r="O97" s="2" t="s">
        <v>30</v>
      </c>
    </row>
    <row r="98" spans="1:15" x14ac:dyDescent="0.25">
      <c r="A98" s="1">
        <v>46116</v>
      </c>
      <c r="B98" s="2" t="s">
        <v>231</v>
      </c>
      <c r="C98" s="2" t="s">
        <v>16</v>
      </c>
      <c r="D98" s="2" t="s">
        <v>160</v>
      </c>
      <c r="E98" s="2" t="s">
        <v>18</v>
      </c>
      <c r="F98" s="2" t="s">
        <v>92</v>
      </c>
      <c r="G98" s="2" t="s">
        <v>37</v>
      </c>
      <c r="H98" s="3">
        <v>60</v>
      </c>
      <c r="I98" s="2" t="s">
        <v>38</v>
      </c>
      <c r="J98" s="3">
        <v>59.799900000000001</v>
      </c>
      <c r="K98" s="11">
        <v>5979999.9900000002</v>
      </c>
      <c r="L98" s="3">
        <v>-0.2001</v>
      </c>
      <c r="M98" s="2" t="s">
        <v>22</v>
      </c>
      <c r="N98" s="2" t="s">
        <v>23</v>
      </c>
      <c r="O98" s="2" t="s">
        <v>232</v>
      </c>
    </row>
    <row r="99" spans="1:15" x14ac:dyDescent="0.25">
      <c r="A99" s="1">
        <v>46116</v>
      </c>
      <c r="B99" s="2" t="s">
        <v>233</v>
      </c>
      <c r="C99" s="2" t="s">
        <v>16</v>
      </c>
      <c r="D99" s="2" t="s">
        <v>234</v>
      </c>
      <c r="E99" s="2" t="s">
        <v>18</v>
      </c>
      <c r="F99" s="2" t="s">
        <v>87</v>
      </c>
      <c r="G99" s="2" t="s">
        <v>37</v>
      </c>
      <c r="H99" s="3">
        <v>36.799900000000001</v>
      </c>
      <c r="I99" s="2" t="s">
        <v>38</v>
      </c>
      <c r="J99" s="3">
        <v>36.799900000000001</v>
      </c>
      <c r="K99" s="11">
        <v>4014541.44</v>
      </c>
      <c r="L99" s="3">
        <v>0</v>
      </c>
      <c r="M99" s="2" t="s">
        <v>22</v>
      </c>
      <c r="N99" s="2" t="s">
        <v>23</v>
      </c>
      <c r="O99" s="2" t="s">
        <v>30</v>
      </c>
    </row>
    <row r="100" spans="1:15" x14ac:dyDescent="0.25">
      <c r="A100" s="1">
        <v>46116</v>
      </c>
      <c r="B100" s="2" t="s">
        <v>235</v>
      </c>
      <c r="C100" s="2" t="s">
        <v>16</v>
      </c>
      <c r="D100" s="2" t="s">
        <v>236</v>
      </c>
      <c r="E100" s="2" t="s">
        <v>18</v>
      </c>
      <c r="F100" s="2" t="s">
        <v>92</v>
      </c>
      <c r="G100" s="2" t="s">
        <v>88</v>
      </c>
      <c r="H100" s="3">
        <v>7</v>
      </c>
      <c r="I100" s="2" t="s">
        <v>21</v>
      </c>
      <c r="J100" s="3">
        <v>7</v>
      </c>
      <c r="K100" s="11">
        <v>2030000</v>
      </c>
      <c r="L100" s="3">
        <v>0</v>
      </c>
      <c r="M100" s="2" t="s">
        <v>22</v>
      </c>
      <c r="N100" s="2" t="s">
        <v>23</v>
      </c>
      <c r="O100" s="2" t="s">
        <v>30</v>
      </c>
    </row>
    <row r="101" spans="1:15" x14ac:dyDescent="0.25">
      <c r="A101" s="1">
        <v>46116</v>
      </c>
      <c r="B101" s="2" t="s">
        <v>237</v>
      </c>
      <c r="C101" s="2" t="s">
        <v>16</v>
      </c>
      <c r="D101" s="2" t="s">
        <v>238</v>
      </c>
      <c r="E101" s="2" t="s">
        <v>18</v>
      </c>
      <c r="F101" s="2" t="s">
        <v>99</v>
      </c>
      <c r="G101" s="2" t="s">
        <v>84</v>
      </c>
      <c r="H101" s="3">
        <v>2</v>
      </c>
      <c r="I101" s="2" t="s">
        <v>21</v>
      </c>
      <c r="J101" s="3">
        <v>2</v>
      </c>
      <c r="K101" s="11">
        <v>580000</v>
      </c>
      <c r="L101" s="3">
        <v>0</v>
      </c>
      <c r="M101" s="2" t="s">
        <v>22</v>
      </c>
      <c r="N101" s="2" t="s">
        <v>23</v>
      </c>
      <c r="O101" s="2" t="s">
        <v>30</v>
      </c>
    </row>
    <row r="102" spans="1:15" x14ac:dyDescent="0.25">
      <c r="A102" s="1">
        <v>46116</v>
      </c>
      <c r="B102" s="2" t="s">
        <v>237</v>
      </c>
      <c r="C102" s="2" t="s">
        <v>16</v>
      </c>
      <c r="D102" s="2" t="s">
        <v>238</v>
      </c>
      <c r="E102" s="2" t="s">
        <v>18</v>
      </c>
      <c r="F102" s="2" t="s">
        <v>99</v>
      </c>
      <c r="G102" s="2" t="s">
        <v>20</v>
      </c>
      <c r="H102" s="3">
        <v>1</v>
      </c>
      <c r="I102" s="2" t="s">
        <v>21</v>
      </c>
      <c r="J102" s="3">
        <v>1</v>
      </c>
      <c r="K102" s="11">
        <v>300000</v>
      </c>
      <c r="L102" s="3">
        <v>0</v>
      </c>
      <c r="M102" s="2" t="s">
        <v>22</v>
      </c>
      <c r="N102" s="2" t="s">
        <v>23</v>
      </c>
      <c r="O102" s="2" t="s">
        <v>30</v>
      </c>
    </row>
    <row r="103" spans="1:15" x14ac:dyDescent="0.25">
      <c r="A103" s="1">
        <v>46116</v>
      </c>
      <c r="B103" s="2" t="s">
        <v>237</v>
      </c>
      <c r="C103" s="2" t="s">
        <v>16</v>
      </c>
      <c r="D103" s="2" t="s">
        <v>238</v>
      </c>
      <c r="E103" s="2" t="s">
        <v>18</v>
      </c>
      <c r="F103" s="2" t="s">
        <v>99</v>
      </c>
      <c r="G103" s="2" t="s">
        <v>63</v>
      </c>
      <c r="H103" s="3">
        <v>4</v>
      </c>
      <c r="I103" s="2" t="s">
        <v>21</v>
      </c>
      <c r="J103" s="3">
        <v>4</v>
      </c>
      <c r="K103" s="11">
        <v>1220000</v>
      </c>
      <c r="L103" s="3">
        <v>0</v>
      </c>
      <c r="M103" s="2" t="s">
        <v>22</v>
      </c>
      <c r="N103" s="2" t="s">
        <v>23</v>
      </c>
      <c r="O103" s="2" t="s">
        <v>30</v>
      </c>
    </row>
    <row r="104" spans="1:15" x14ac:dyDescent="0.25">
      <c r="A104" s="1">
        <v>46116</v>
      </c>
      <c r="B104" s="2" t="s">
        <v>239</v>
      </c>
      <c r="C104" s="2" t="s">
        <v>16</v>
      </c>
      <c r="D104" s="2" t="s">
        <v>240</v>
      </c>
      <c r="E104" s="2" t="s">
        <v>18</v>
      </c>
      <c r="F104" s="2" t="s">
        <v>27</v>
      </c>
      <c r="G104" s="2" t="s">
        <v>119</v>
      </c>
      <c r="H104" s="3">
        <v>36</v>
      </c>
      <c r="I104" s="2" t="s">
        <v>29</v>
      </c>
      <c r="J104" s="3">
        <v>36</v>
      </c>
      <c r="K104" s="11">
        <v>2311200.09</v>
      </c>
      <c r="L104" s="3">
        <v>0</v>
      </c>
      <c r="M104" s="2" t="s">
        <v>22</v>
      </c>
      <c r="N104" s="2" t="s">
        <v>23</v>
      </c>
      <c r="O104" s="2" t="s">
        <v>30</v>
      </c>
    </row>
    <row r="105" spans="1:15" x14ac:dyDescent="0.25">
      <c r="A105" s="1">
        <v>46116</v>
      </c>
      <c r="B105" s="2" t="s">
        <v>241</v>
      </c>
      <c r="C105" s="2" t="s">
        <v>16</v>
      </c>
      <c r="D105" s="2" t="s">
        <v>240</v>
      </c>
      <c r="E105" s="2" t="s">
        <v>18</v>
      </c>
      <c r="F105" s="2" t="s">
        <v>27</v>
      </c>
      <c r="G105" s="2" t="s">
        <v>120</v>
      </c>
      <c r="H105" s="3">
        <v>36</v>
      </c>
      <c r="I105" s="2" t="s">
        <v>29</v>
      </c>
      <c r="J105" s="3">
        <v>36</v>
      </c>
      <c r="K105" s="11">
        <v>1839600.16</v>
      </c>
      <c r="L105" s="3">
        <v>0</v>
      </c>
      <c r="M105" s="2" t="s">
        <v>22</v>
      </c>
      <c r="N105" s="2" t="s">
        <v>23</v>
      </c>
      <c r="O105" s="2" t="s">
        <v>30</v>
      </c>
    </row>
    <row r="106" spans="1:15" x14ac:dyDescent="0.25">
      <c r="A106" s="1">
        <v>46116</v>
      </c>
      <c r="B106" s="2" t="s">
        <v>242</v>
      </c>
      <c r="C106" s="2" t="s">
        <v>16</v>
      </c>
      <c r="D106" s="2" t="s">
        <v>243</v>
      </c>
      <c r="E106" s="2" t="s">
        <v>51</v>
      </c>
      <c r="F106" s="2" t="s">
        <v>59</v>
      </c>
      <c r="G106" s="2" t="s">
        <v>244</v>
      </c>
      <c r="H106" s="3">
        <v>1</v>
      </c>
      <c r="I106" s="2" t="s">
        <v>29</v>
      </c>
      <c r="J106" s="3">
        <v>1</v>
      </c>
      <c r="K106" s="11">
        <v>100000</v>
      </c>
      <c r="L106" s="3">
        <v>0</v>
      </c>
      <c r="M106" s="2" t="s">
        <v>22</v>
      </c>
      <c r="N106" s="2" t="s">
        <v>23</v>
      </c>
      <c r="O106" s="2" t="s">
        <v>245</v>
      </c>
    </row>
    <row r="107" spans="1:15" x14ac:dyDescent="0.25">
      <c r="A107" s="1">
        <v>46116</v>
      </c>
      <c r="B107" s="2" t="s">
        <v>246</v>
      </c>
      <c r="C107" s="2" t="s">
        <v>16</v>
      </c>
      <c r="D107" s="2" t="s">
        <v>243</v>
      </c>
      <c r="E107" s="2" t="s">
        <v>51</v>
      </c>
      <c r="F107" s="2" t="s">
        <v>59</v>
      </c>
      <c r="G107" s="2" t="s">
        <v>197</v>
      </c>
      <c r="H107" s="3">
        <v>3</v>
      </c>
      <c r="I107" s="2" t="s">
        <v>146</v>
      </c>
      <c r="J107" s="3">
        <v>3</v>
      </c>
      <c r="K107" s="11">
        <v>115384.5</v>
      </c>
      <c r="L107" s="3">
        <v>0</v>
      </c>
      <c r="M107" s="2" t="s">
        <v>22</v>
      </c>
      <c r="N107" s="2" t="s">
        <v>23</v>
      </c>
      <c r="O107" s="2" t="s">
        <v>245</v>
      </c>
    </row>
    <row r="108" spans="1:15" x14ac:dyDescent="0.25">
      <c r="A108" s="1">
        <v>46116</v>
      </c>
      <c r="B108" s="2" t="s">
        <v>246</v>
      </c>
      <c r="C108" s="2" t="s">
        <v>16</v>
      </c>
      <c r="D108" s="2" t="s">
        <v>243</v>
      </c>
      <c r="E108" s="2" t="s">
        <v>51</v>
      </c>
      <c r="F108" s="2" t="s">
        <v>59</v>
      </c>
      <c r="G108" s="2" t="s">
        <v>199</v>
      </c>
      <c r="H108" s="3">
        <v>6</v>
      </c>
      <c r="I108" s="2" t="s">
        <v>146</v>
      </c>
      <c r="J108" s="3">
        <v>6</v>
      </c>
      <c r="K108" s="11">
        <v>279720</v>
      </c>
      <c r="L108" s="3">
        <v>0</v>
      </c>
      <c r="M108" s="2" t="s">
        <v>22</v>
      </c>
      <c r="N108" s="2" t="s">
        <v>23</v>
      </c>
      <c r="O108" s="2" t="s">
        <v>245</v>
      </c>
    </row>
    <row r="109" spans="1:15" x14ac:dyDescent="0.25">
      <c r="A109" s="1">
        <v>46116</v>
      </c>
      <c r="B109" s="2" t="s">
        <v>246</v>
      </c>
      <c r="C109" s="2" t="s">
        <v>16</v>
      </c>
      <c r="D109" s="2" t="s">
        <v>243</v>
      </c>
      <c r="E109" s="2" t="s">
        <v>51</v>
      </c>
      <c r="F109" s="2" t="s">
        <v>59</v>
      </c>
      <c r="G109" s="2" t="s">
        <v>104</v>
      </c>
      <c r="H109" s="3">
        <v>6</v>
      </c>
      <c r="I109" s="2" t="s">
        <v>38</v>
      </c>
      <c r="J109" s="3">
        <v>6</v>
      </c>
      <c r="K109" s="11">
        <v>96570</v>
      </c>
      <c r="L109" s="3">
        <v>0</v>
      </c>
      <c r="M109" s="2" t="s">
        <v>22</v>
      </c>
      <c r="N109" s="2" t="s">
        <v>23</v>
      </c>
      <c r="O109" s="2" t="s">
        <v>245</v>
      </c>
    </row>
    <row r="110" spans="1:15" x14ac:dyDescent="0.25">
      <c r="A110" s="1">
        <v>46116</v>
      </c>
      <c r="B110" s="2" t="s">
        <v>246</v>
      </c>
      <c r="C110" s="2" t="s">
        <v>16</v>
      </c>
      <c r="D110" s="2" t="s">
        <v>243</v>
      </c>
      <c r="E110" s="2" t="s">
        <v>51</v>
      </c>
      <c r="F110" s="2" t="s">
        <v>59</v>
      </c>
      <c r="G110" s="2" t="s">
        <v>60</v>
      </c>
      <c r="H110" s="3">
        <v>10</v>
      </c>
      <c r="I110" s="2" t="s">
        <v>38</v>
      </c>
      <c r="J110" s="3">
        <v>10</v>
      </c>
      <c r="K110" s="11">
        <v>159999.95000000001</v>
      </c>
      <c r="L110" s="3">
        <v>0</v>
      </c>
      <c r="M110" s="2" t="s">
        <v>22</v>
      </c>
      <c r="N110" s="2" t="s">
        <v>23</v>
      </c>
      <c r="O110" s="2" t="s">
        <v>245</v>
      </c>
    </row>
    <row r="111" spans="1:15" x14ac:dyDescent="0.25">
      <c r="A111" s="1">
        <v>46116</v>
      </c>
      <c r="B111" s="2" t="s">
        <v>246</v>
      </c>
      <c r="C111" s="2" t="s">
        <v>16</v>
      </c>
      <c r="D111" s="2" t="s">
        <v>243</v>
      </c>
      <c r="E111" s="2" t="s">
        <v>51</v>
      </c>
      <c r="F111" s="2" t="s">
        <v>59</v>
      </c>
      <c r="G111" s="2" t="s">
        <v>145</v>
      </c>
      <c r="H111" s="3">
        <v>3</v>
      </c>
      <c r="I111" s="2" t="s">
        <v>146</v>
      </c>
      <c r="J111" s="3">
        <v>3</v>
      </c>
      <c r="K111" s="11">
        <v>139860</v>
      </c>
      <c r="L111" s="3">
        <v>0</v>
      </c>
      <c r="M111" s="2" t="s">
        <v>22</v>
      </c>
      <c r="N111" s="2" t="s">
        <v>23</v>
      </c>
      <c r="O111" s="2" t="s">
        <v>245</v>
      </c>
    </row>
    <row r="112" spans="1:15" x14ac:dyDescent="0.25">
      <c r="A112" s="1">
        <v>46116</v>
      </c>
      <c r="B112" s="2" t="s">
        <v>247</v>
      </c>
      <c r="C112" s="2" t="s">
        <v>16</v>
      </c>
      <c r="D112" s="2" t="s">
        <v>243</v>
      </c>
      <c r="E112" s="2" t="s">
        <v>51</v>
      </c>
      <c r="F112" s="2" t="s">
        <v>59</v>
      </c>
      <c r="G112" s="2" t="s">
        <v>37</v>
      </c>
      <c r="H112" s="3">
        <v>4.5999999999999996</v>
      </c>
      <c r="I112" s="2" t="s">
        <v>38</v>
      </c>
      <c r="J112" s="3">
        <v>4.5999999999999996</v>
      </c>
      <c r="K112" s="11">
        <v>482999.97</v>
      </c>
      <c r="L112" s="3">
        <v>0</v>
      </c>
      <c r="M112" s="2" t="s">
        <v>22</v>
      </c>
      <c r="N112" s="2" t="s">
        <v>23</v>
      </c>
      <c r="O112" s="2" t="s">
        <v>245</v>
      </c>
    </row>
    <row r="113" spans="1:15" x14ac:dyDescent="0.25">
      <c r="A113" s="1">
        <v>46116</v>
      </c>
      <c r="B113" s="2" t="s">
        <v>247</v>
      </c>
      <c r="C113" s="2" t="s">
        <v>16</v>
      </c>
      <c r="D113" s="2" t="s">
        <v>243</v>
      </c>
      <c r="E113" s="2" t="s">
        <v>51</v>
      </c>
      <c r="F113" s="2" t="s">
        <v>59</v>
      </c>
      <c r="G113" s="2" t="s">
        <v>169</v>
      </c>
      <c r="H113" s="3">
        <v>2</v>
      </c>
      <c r="I113" s="2" t="s">
        <v>38</v>
      </c>
      <c r="J113" s="3">
        <v>2.0299999999999998</v>
      </c>
      <c r="K113" s="11">
        <v>304500.01</v>
      </c>
      <c r="L113" s="3">
        <v>0.03</v>
      </c>
      <c r="M113" s="2" t="s">
        <v>22</v>
      </c>
      <c r="N113" s="2" t="s">
        <v>23</v>
      </c>
      <c r="O113" s="2" t="s">
        <v>245</v>
      </c>
    </row>
    <row r="114" spans="1:15" x14ac:dyDescent="0.25">
      <c r="A114" s="1">
        <v>46116</v>
      </c>
      <c r="B114" s="2" t="s">
        <v>247</v>
      </c>
      <c r="C114" s="2" t="s">
        <v>16</v>
      </c>
      <c r="D114" s="2" t="s">
        <v>243</v>
      </c>
      <c r="E114" s="2" t="s">
        <v>51</v>
      </c>
      <c r="F114" s="2" t="s">
        <v>59</v>
      </c>
      <c r="G114" s="2" t="s">
        <v>222</v>
      </c>
      <c r="H114" s="3">
        <v>7</v>
      </c>
      <c r="I114" s="2" t="s">
        <v>29</v>
      </c>
      <c r="J114" s="3">
        <v>7</v>
      </c>
      <c r="K114" s="11">
        <v>196000</v>
      </c>
      <c r="L114" s="3">
        <v>0</v>
      </c>
      <c r="M114" s="2" t="s">
        <v>22</v>
      </c>
      <c r="N114" s="2" t="s">
        <v>23</v>
      </c>
      <c r="O114" s="2" t="s">
        <v>245</v>
      </c>
    </row>
    <row r="115" spans="1:15" x14ac:dyDescent="0.25">
      <c r="A115" s="1">
        <v>46116</v>
      </c>
      <c r="B115" s="2" t="s">
        <v>248</v>
      </c>
      <c r="C115" s="2" t="s">
        <v>16</v>
      </c>
      <c r="D115" s="2" t="s">
        <v>249</v>
      </c>
      <c r="E115" s="2" t="s">
        <v>18</v>
      </c>
      <c r="F115" s="2" t="s">
        <v>99</v>
      </c>
      <c r="G115" s="2" t="s">
        <v>20</v>
      </c>
      <c r="H115" s="3">
        <v>3</v>
      </c>
      <c r="I115" s="2" t="s">
        <v>21</v>
      </c>
      <c r="J115" s="3">
        <v>3</v>
      </c>
      <c r="K115" s="11">
        <v>982350</v>
      </c>
      <c r="L115" s="3">
        <v>0</v>
      </c>
      <c r="M115" s="2" t="s">
        <v>22</v>
      </c>
      <c r="N115" s="2" t="s">
        <v>23</v>
      </c>
      <c r="O115" s="2" t="s">
        <v>30</v>
      </c>
    </row>
    <row r="116" spans="1:15" x14ac:dyDescent="0.25">
      <c r="A116" s="1">
        <v>46116</v>
      </c>
      <c r="B116" s="2" t="s">
        <v>251</v>
      </c>
      <c r="C116" s="2" t="s">
        <v>16</v>
      </c>
      <c r="D116" s="2" t="s">
        <v>250</v>
      </c>
      <c r="E116" s="2" t="s">
        <v>18</v>
      </c>
      <c r="F116" s="2" t="s">
        <v>99</v>
      </c>
      <c r="G116" s="2" t="s">
        <v>137</v>
      </c>
      <c r="H116" s="3">
        <v>3</v>
      </c>
      <c r="I116" s="2" t="s">
        <v>38</v>
      </c>
      <c r="J116" s="3">
        <v>3</v>
      </c>
      <c r="K116" s="11">
        <v>103500</v>
      </c>
      <c r="L116" s="3">
        <v>0</v>
      </c>
      <c r="M116" s="2" t="s">
        <v>22</v>
      </c>
      <c r="N116" s="2" t="s">
        <v>23</v>
      </c>
      <c r="O116" s="2" t="s">
        <v>30</v>
      </c>
    </row>
    <row r="117" spans="1:15" x14ac:dyDescent="0.25">
      <c r="A117" s="1">
        <v>46116</v>
      </c>
      <c r="B117" s="2" t="s">
        <v>252</v>
      </c>
      <c r="C117" s="2" t="s">
        <v>16</v>
      </c>
      <c r="D117" s="2" t="s">
        <v>253</v>
      </c>
      <c r="E117" s="2" t="s">
        <v>18</v>
      </c>
      <c r="F117" s="2" t="s">
        <v>76</v>
      </c>
      <c r="G117" s="2" t="s">
        <v>181</v>
      </c>
      <c r="H117" s="3">
        <v>24</v>
      </c>
      <c r="I117" s="2" t="s">
        <v>38</v>
      </c>
      <c r="J117" s="3">
        <v>43.28</v>
      </c>
      <c r="K117" s="11">
        <v>6059200</v>
      </c>
      <c r="L117" s="3">
        <v>19.28</v>
      </c>
      <c r="M117" s="2" t="s">
        <v>22</v>
      </c>
      <c r="N117" s="2" t="s">
        <v>23</v>
      </c>
      <c r="O117" s="2" t="s">
        <v>254</v>
      </c>
    </row>
    <row r="118" spans="1:15" x14ac:dyDescent="0.25">
      <c r="A118" s="1">
        <v>46116</v>
      </c>
      <c r="B118" s="2" t="s">
        <v>255</v>
      </c>
      <c r="C118" s="2" t="s">
        <v>16</v>
      </c>
      <c r="D118" s="2" t="s">
        <v>256</v>
      </c>
      <c r="E118" s="2" t="s">
        <v>51</v>
      </c>
      <c r="F118" s="2" t="s">
        <v>81</v>
      </c>
      <c r="G118" s="2" t="s">
        <v>20</v>
      </c>
      <c r="H118" s="3">
        <v>4</v>
      </c>
      <c r="I118" s="2" t="s">
        <v>21</v>
      </c>
      <c r="J118" s="3">
        <v>4</v>
      </c>
      <c r="K118" s="11">
        <v>1180000</v>
      </c>
      <c r="L118" s="3">
        <v>0</v>
      </c>
      <c r="M118" s="2" t="s">
        <v>22</v>
      </c>
      <c r="N118" s="2" t="s">
        <v>23</v>
      </c>
      <c r="O118" s="2" t="s">
        <v>30</v>
      </c>
    </row>
    <row r="119" spans="1:15" x14ac:dyDescent="0.25">
      <c r="A119" s="1">
        <v>46116</v>
      </c>
      <c r="B119" s="2" t="s">
        <v>257</v>
      </c>
      <c r="C119" s="2" t="s">
        <v>16</v>
      </c>
      <c r="D119" s="2" t="s">
        <v>226</v>
      </c>
      <c r="E119" s="2" t="s">
        <v>18</v>
      </c>
      <c r="F119" s="2" t="s">
        <v>71</v>
      </c>
      <c r="G119" s="2" t="s">
        <v>91</v>
      </c>
      <c r="H119" s="3">
        <v>50</v>
      </c>
      <c r="I119" s="2" t="s">
        <v>29</v>
      </c>
      <c r="J119" s="3">
        <v>50</v>
      </c>
      <c r="K119" s="11">
        <v>3470849.95</v>
      </c>
      <c r="L119" s="3">
        <v>0</v>
      </c>
      <c r="M119" s="2" t="s">
        <v>22</v>
      </c>
      <c r="N119" s="2" t="s">
        <v>23</v>
      </c>
      <c r="O119" s="2" t="s">
        <v>30</v>
      </c>
    </row>
    <row r="120" spans="1:15" x14ac:dyDescent="0.25">
      <c r="A120" s="1">
        <v>46116</v>
      </c>
      <c r="B120" s="2" t="s">
        <v>258</v>
      </c>
      <c r="C120" s="2" t="s">
        <v>16</v>
      </c>
      <c r="D120" s="2" t="s">
        <v>259</v>
      </c>
      <c r="E120" s="2" t="s">
        <v>18</v>
      </c>
      <c r="F120" s="2" t="s">
        <v>99</v>
      </c>
      <c r="G120" s="2" t="s">
        <v>63</v>
      </c>
      <c r="H120" s="3">
        <v>1</v>
      </c>
      <c r="I120" s="2" t="s">
        <v>21</v>
      </c>
      <c r="J120" s="3">
        <v>1</v>
      </c>
      <c r="K120" s="11">
        <v>300000</v>
      </c>
      <c r="L120" s="3">
        <v>0</v>
      </c>
      <c r="M120" s="2" t="s">
        <v>22</v>
      </c>
      <c r="N120" s="2" t="s">
        <v>23</v>
      </c>
      <c r="O120" s="2" t="s">
        <v>30</v>
      </c>
    </row>
    <row r="121" spans="1:15" x14ac:dyDescent="0.25">
      <c r="A121" s="1">
        <v>46116</v>
      </c>
      <c r="B121" s="2" t="s">
        <v>260</v>
      </c>
      <c r="C121" s="2" t="s">
        <v>16</v>
      </c>
      <c r="D121" s="2" t="s">
        <v>261</v>
      </c>
      <c r="E121" s="2" t="s">
        <v>51</v>
      </c>
      <c r="F121" s="2" t="s">
        <v>96</v>
      </c>
      <c r="G121" s="2" t="s">
        <v>60</v>
      </c>
      <c r="H121" s="3">
        <v>20</v>
      </c>
      <c r="I121" s="2" t="s">
        <v>38</v>
      </c>
      <c r="J121" s="3">
        <v>20</v>
      </c>
      <c r="K121" s="11">
        <v>333000</v>
      </c>
      <c r="L121" s="3">
        <v>0</v>
      </c>
      <c r="M121" s="2" t="s">
        <v>22</v>
      </c>
      <c r="N121" s="2" t="s">
        <v>23</v>
      </c>
      <c r="O121" s="2" t="s">
        <v>30</v>
      </c>
    </row>
    <row r="122" spans="1:15" x14ac:dyDescent="0.25">
      <c r="A122" s="1">
        <v>46116</v>
      </c>
      <c r="B122" s="2" t="s">
        <v>262</v>
      </c>
      <c r="C122" s="2" t="s">
        <v>16</v>
      </c>
      <c r="D122" s="2" t="s">
        <v>263</v>
      </c>
      <c r="E122" s="2" t="s">
        <v>18</v>
      </c>
      <c r="F122" s="2" t="s">
        <v>99</v>
      </c>
      <c r="G122" s="2" t="s">
        <v>264</v>
      </c>
      <c r="H122" s="3">
        <v>3</v>
      </c>
      <c r="I122" s="2" t="s">
        <v>38</v>
      </c>
      <c r="J122" s="3">
        <v>3.32</v>
      </c>
      <c r="K122" s="11">
        <v>863200</v>
      </c>
      <c r="L122" s="3">
        <v>0.32</v>
      </c>
      <c r="M122" s="2" t="s">
        <v>22</v>
      </c>
      <c r="N122" s="2" t="s">
        <v>23</v>
      </c>
      <c r="O122" s="2" t="s">
        <v>30</v>
      </c>
    </row>
    <row r="123" spans="1:15" x14ac:dyDescent="0.25">
      <c r="A123" s="1">
        <v>46116</v>
      </c>
      <c r="B123" s="2" t="s">
        <v>265</v>
      </c>
      <c r="C123" s="2" t="s">
        <v>16</v>
      </c>
      <c r="D123" s="2" t="s">
        <v>266</v>
      </c>
      <c r="E123" s="2" t="s">
        <v>18</v>
      </c>
      <c r="F123" s="2" t="s">
        <v>27</v>
      </c>
      <c r="G123" s="2" t="s">
        <v>267</v>
      </c>
      <c r="H123" s="3">
        <v>6</v>
      </c>
      <c r="I123" s="2" t="s">
        <v>29</v>
      </c>
      <c r="J123" s="3">
        <v>6</v>
      </c>
      <c r="K123" s="11">
        <v>361799.99</v>
      </c>
      <c r="L123" s="3">
        <v>0</v>
      </c>
      <c r="M123" s="2" t="s">
        <v>22</v>
      </c>
      <c r="N123" s="2" t="s">
        <v>23</v>
      </c>
      <c r="O123" s="2" t="s">
        <v>30</v>
      </c>
    </row>
    <row r="124" spans="1:15" x14ac:dyDescent="0.25">
      <c r="A124" s="1">
        <v>46116</v>
      </c>
      <c r="B124" s="2" t="s">
        <v>268</v>
      </c>
      <c r="C124" s="2" t="s">
        <v>16</v>
      </c>
      <c r="D124" s="2" t="s">
        <v>269</v>
      </c>
      <c r="E124" s="2" t="s">
        <v>18</v>
      </c>
      <c r="F124" s="2" t="s">
        <v>194</v>
      </c>
      <c r="G124" s="2" t="s">
        <v>153</v>
      </c>
      <c r="H124" s="3">
        <v>25</v>
      </c>
      <c r="I124" s="2" t="s">
        <v>38</v>
      </c>
      <c r="J124" s="3">
        <v>22</v>
      </c>
      <c r="K124" s="11">
        <v>3080000</v>
      </c>
      <c r="L124" s="3">
        <v>-3</v>
      </c>
      <c r="M124" s="2" t="s">
        <v>22</v>
      </c>
      <c r="N124" s="2" t="s">
        <v>23</v>
      </c>
      <c r="O124" s="2" t="s">
        <v>30</v>
      </c>
    </row>
    <row r="125" spans="1:15" x14ac:dyDescent="0.25">
      <c r="A125" s="1">
        <v>46116</v>
      </c>
      <c r="B125" s="2" t="s">
        <v>268</v>
      </c>
      <c r="C125" s="2" t="s">
        <v>16</v>
      </c>
      <c r="D125" s="2" t="s">
        <v>269</v>
      </c>
      <c r="E125" s="2" t="s">
        <v>18</v>
      </c>
      <c r="F125" s="2" t="s">
        <v>194</v>
      </c>
      <c r="G125" s="2" t="s">
        <v>270</v>
      </c>
      <c r="H125" s="3">
        <v>11</v>
      </c>
      <c r="I125" s="2" t="s">
        <v>38</v>
      </c>
      <c r="J125" s="3">
        <v>11.34</v>
      </c>
      <c r="K125" s="11">
        <v>2721600</v>
      </c>
      <c r="L125" s="3">
        <v>0.34</v>
      </c>
      <c r="M125" s="2" t="s">
        <v>22</v>
      </c>
      <c r="N125" s="2" t="s">
        <v>23</v>
      </c>
      <c r="O125" s="2" t="s">
        <v>30</v>
      </c>
    </row>
    <row r="126" spans="1:15" x14ac:dyDescent="0.25">
      <c r="A126" s="1">
        <v>46116</v>
      </c>
      <c r="B126" s="2" t="s">
        <v>271</v>
      </c>
      <c r="C126" s="2" t="s">
        <v>16</v>
      </c>
      <c r="D126" s="2" t="s">
        <v>272</v>
      </c>
      <c r="E126" s="2" t="s">
        <v>51</v>
      </c>
      <c r="F126" s="2" t="s">
        <v>19</v>
      </c>
      <c r="G126" s="2" t="s">
        <v>41</v>
      </c>
      <c r="H126" s="3">
        <v>2</v>
      </c>
      <c r="I126" s="2" t="s">
        <v>38</v>
      </c>
      <c r="J126" s="3">
        <v>2</v>
      </c>
      <c r="K126" s="11">
        <v>65490</v>
      </c>
      <c r="L126" s="3">
        <v>0</v>
      </c>
      <c r="M126" s="2" t="s">
        <v>22</v>
      </c>
      <c r="N126" s="2" t="s">
        <v>23</v>
      </c>
      <c r="O126" s="2" t="s">
        <v>30</v>
      </c>
    </row>
    <row r="127" spans="1:15" x14ac:dyDescent="0.25">
      <c r="A127" s="1">
        <v>46116</v>
      </c>
      <c r="B127" s="2" t="s">
        <v>271</v>
      </c>
      <c r="C127" s="2" t="s">
        <v>16</v>
      </c>
      <c r="D127" s="2" t="s">
        <v>272</v>
      </c>
      <c r="E127" s="2" t="s">
        <v>51</v>
      </c>
      <c r="F127" s="2" t="s">
        <v>19</v>
      </c>
      <c r="G127" s="2" t="s">
        <v>20</v>
      </c>
      <c r="H127" s="3">
        <v>1</v>
      </c>
      <c r="I127" s="2" t="s">
        <v>21</v>
      </c>
      <c r="J127" s="3">
        <v>1</v>
      </c>
      <c r="K127" s="11">
        <v>327450</v>
      </c>
      <c r="L127" s="3">
        <v>0</v>
      </c>
      <c r="M127" s="2" t="s">
        <v>22</v>
      </c>
      <c r="N127" s="2" t="s">
        <v>23</v>
      </c>
      <c r="O127" s="2" t="s">
        <v>30</v>
      </c>
    </row>
    <row r="128" spans="1:15" x14ac:dyDescent="0.25">
      <c r="A128" s="1">
        <v>46116</v>
      </c>
      <c r="B128" s="2" t="s">
        <v>273</v>
      </c>
      <c r="C128" s="2" t="s">
        <v>16</v>
      </c>
      <c r="D128" s="2" t="s">
        <v>274</v>
      </c>
      <c r="E128" s="2" t="s">
        <v>18</v>
      </c>
      <c r="F128" s="2" t="s">
        <v>99</v>
      </c>
      <c r="G128" s="2" t="s">
        <v>77</v>
      </c>
      <c r="H128" s="3">
        <v>4</v>
      </c>
      <c r="I128" s="2" t="s">
        <v>38</v>
      </c>
      <c r="J128" s="3">
        <v>4.0599999999999996</v>
      </c>
      <c r="K128" s="11">
        <v>669900</v>
      </c>
      <c r="L128" s="3">
        <v>0.06</v>
      </c>
      <c r="M128" s="2" t="s">
        <v>22</v>
      </c>
      <c r="N128" s="2" t="s">
        <v>23</v>
      </c>
      <c r="O128" s="2" t="s">
        <v>30</v>
      </c>
    </row>
    <row r="129" spans="1:15" x14ac:dyDescent="0.25">
      <c r="A129" s="1">
        <v>46116</v>
      </c>
      <c r="B129" s="2" t="s">
        <v>275</v>
      </c>
      <c r="C129" s="2" t="s">
        <v>16</v>
      </c>
      <c r="D129" s="2" t="s">
        <v>274</v>
      </c>
      <c r="E129" s="2" t="s">
        <v>18</v>
      </c>
      <c r="F129" s="2" t="s">
        <v>99</v>
      </c>
      <c r="G129" s="2" t="s">
        <v>77</v>
      </c>
      <c r="H129" s="3">
        <v>5</v>
      </c>
      <c r="I129" s="2" t="s">
        <v>38</v>
      </c>
      <c r="J129" s="3">
        <v>6.07</v>
      </c>
      <c r="K129" s="11">
        <v>1001550</v>
      </c>
      <c r="L129" s="3">
        <v>1.07</v>
      </c>
      <c r="M129" s="2" t="s">
        <v>22</v>
      </c>
      <c r="N129" s="2" t="s">
        <v>23</v>
      </c>
      <c r="O129" s="2" t="s">
        <v>30</v>
      </c>
    </row>
    <row r="130" spans="1:15" x14ac:dyDescent="0.25">
      <c r="A130" s="1">
        <v>46116</v>
      </c>
      <c r="B130" s="2" t="s">
        <v>276</v>
      </c>
      <c r="C130" s="2" t="s">
        <v>16</v>
      </c>
      <c r="D130" s="2" t="s">
        <v>274</v>
      </c>
      <c r="E130" s="2" t="s">
        <v>18</v>
      </c>
      <c r="F130" s="2" t="s">
        <v>99</v>
      </c>
      <c r="G130" s="2" t="s">
        <v>77</v>
      </c>
      <c r="H130" s="3">
        <v>10</v>
      </c>
      <c r="I130" s="2" t="s">
        <v>38</v>
      </c>
      <c r="J130" s="3">
        <v>10.06</v>
      </c>
      <c r="K130" s="11">
        <v>1659900</v>
      </c>
      <c r="L130" s="3">
        <v>0.06</v>
      </c>
      <c r="M130" s="2" t="s">
        <v>22</v>
      </c>
      <c r="N130" s="2" t="s">
        <v>23</v>
      </c>
      <c r="O130" s="2" t="s">
        <v>30</v>
      </c>
    </row>
    <row r="131" spans="1:15" x14ac:dyDescent="0.25">
      <c r="A131" s="1">
        <v>46116</v>
      </c>
      <c r="B131" s="2" t="s">
        <v>277</v>
      </c>
      <c r="C131" s="2" t="s">
        <v>16</v>
      </c>
      <c r="D131" s="2" t="s">
        <v>278</v>
      </c>
      <c r="E131" s="2" t="s">
        <v>51</v>
      </c>
      <c r="F131" s="2" t="s">
        <v>59</v>
      </c>
      <c r="G131" s="2" t="s">
        <v>60</v>
      </c>
      <c r="H131" s="3">
        <v>10</v>
      </c>
      <c r="I131" s="2" t="s">
        <v>38</v>
      </c>
      <c r="J131" s="3">
        <v>10</v>
      </c>
      <c r="K131" s="11">
        <v>159999.95000000001</v>
      </c>
      <c r="L131" s="3">
        <v>0</v>
      </c>
      <c r="M131" s="2" t="s">
        <v>22</v>
      </c>
      <c r="N131" s="2" t="s">
        <v>23</v>
      </c>
      <c r="O131" s="2" t="s">
        <v>30</v>
      </c>
    </row>
    <row r="132" spans="1:15" x14ac:dyDescent="0.25">
      <c r="A132" s="1">
        <v>46116</v>
      </c>
      <c r="B132" s="2" t="s">
        <v>277</v>
      </c>
      <c r="C132" s="2" t="s">
        <v>16</v>
      </c>
      <c r="D132" s="2" t="s">
        <v>278</v>
      </c>
      <c r="E132" s="2" t="s">
        <v>51</v>
      </c>
      <c r="F132" s="2" t="s">
        <v>59</v>
      </c>
      <c r="G132" s="2" t="s">
        <v>103</v>
      </c>
      <c r="H132" s="3">
        <v>10</v>
      </c>
      <c r="I132" s="2" t="s">
        <v>38</v>
      </c>
      <c r="J132" s="3">
        <v>10</v>
      </c>
      <c r="K132" s="11">
        <v>172050</v>
      </c>
      <c r="L132" s="3">
        <v>0</v>
      </c>
      <c r="M132" s="2" t="s">
        <v>22</v>
      </c>
      <c r="N132" s="2" t="s">
        <v>23</v>
      </c>
      <c r="O132" s="2" t="s">
        <v>30</v>
      </c>
    </row>
    <row r="133" spans="1:15" x14ac:dyDescent="0.25">
      <c r="A133" s="1">
        <v>46116</v>
      </c>
      <c r="B133" s="2" t="s">
        <v>277</v>
      </c>
      <c r="C133" s="2" t="s">
        <v>16</v>
      </c>
      <c r="D133" s="2" t="s">
        <v>278</v>
      </c>
      <c r="E133" s="2" t="s">
        <v>51</v>
      </c>
      <c r="F133" s="2" t="s">
        <v>59</v>
      </c>
      <c r="G133" s="2" t="s">
        <v>104</v>
      </c>
      <c r="H133" s="3">
        <v>10</v>
      </c>
      <c r="I133" s="2" t="s">
        <v>38</v>
      </c>
      <c r="J133" s="3">
        <v>10</v>
      </c>
      <c r="K133" s="11">
        <v>154999.96</v>
      </c>
      <c r="L133" s="3">
        <v>0</v>
      </c>
      <c r="M133" s="2" t="s">
        <v>22</v>
      </c>
      <c r="N133" s="2" t="s">
        <v>23</v>
      </c>
      <c r="O133" s="2" t="s">
        <v>30</v>
      </c>
    </row>
    <row r="134" spans="1:15" x14ac:dyDescent="0.25">
      <c r="A134" s="1">
        <v>46116</v>
      </c>
      <c r="B134" s="2" t="s">
        <v>279</v>
      </c>
      <c r="C134" s="2" t="s">
        <v>16</v>
      </c>
      <c r="D134" s="2" t="s">
        <v>278</v>
      </c>
      <c r="E134" s="2" t="s">
        <v>51</v>
      </c>
      <c r="F134" s="2" t="s">
        <v>59</v>
      </c>
      <c r="G134" s="2" t="s">
        <v>280</v>
      </c>
      <c r="H134" s="3">
        <v>10</v>
      </c>
      <c r="I134" s="2" t="s">
        <v>29</v>
      </c>
      <c r="J134" s="3">
        <v>10</v>
      </c>
      <c r="K134" s="11">
        <v>166500</v>
      </c>
      <c r="L134" s="3">
        <v>0</v>
      </c>
      <c r="M134" s="2" t="s">
        <v>22</v>
      </c>
      <c r="N134" s="2" t="s">
        <v>23</v>
      </c>
      <c r="O134" s="2" t="s">
        <v>30</v>
      </c>
    </row>
    <row r="135" spans="1:15" x14ac:dyDescent="0.25">
      <c r="A135" s="1">
        <v>46116</v>
      </c>
      <c r="B135" s="2" t="s">
        <v>279</v>
      </c>
      <c r="C135" s="2" t="s">
        <v>16</v>
      </c>
      <c r="D135" s="2" t="s">
        <v>278</v>
      </c>
      <c r="E135" s="2" t="s">
        <v>51</v>
      </c>
      <c r="F135" s="2" t="s">
        <v>59</v>
      </c>
      <c r="G135" s="2" t="s">
        <v>281</v>
      </c>
      <c r="H135" s="3">
        <v>10</v>
      </c>
      <c r="I135" s="2" t="s">
        <v>29</v>
      </c>
      <c r="J135" s="3">
        <v>10</v>
      </c>
      <c r="K135" s="11">
        <v>166500</v>
      </c>
      <c r="L135" s="3">
        <v>0</v>
      </c>
      <c r="M135" s="2" t="s">
        <v>22</v>
      </c>
      <c r="N135" s="2" t="s">
        <v>23</v>
      </c>
      <c r="O135" s="2" t="s">
        <v>30</v>
      </c>
    </row>
    <row r="136" spans="1:15" x14ac:dyDescent="0.25">
      <c r="A136" s="1">
        <v>46116</v>
      </c>
      <c r="B136" s="2" t="s">
        <v>282</v>
      </c>
      <c r="C136" s="2" t="s">
        <v>16</v>
      </c>
      <c r="D136" s="2" t="s">
        <v>269</v>
      </c>
      <c r="E136" s="2" t="s">
        <v>18</v>
      </c>
      <c r="F136" s="2" t="s">
        <v>194</v>
      </c>
      <c r="G136" s="2" t="s">
        <v>153</v>
      </c>
      <c r="H136" s="3">
        <v>15</v>
      </c>
      <c r="I136" s="2" t="s">
        <v>38</v>
      </c>
      <c r="J136" s="3">
        <v>16.53</v>
      </c>
      <c r="K136" s="11">
        <v>2314200</v>
      </c>
      <c r="L136" s="3">
        <v>1.53</v>
      </c>
      <c r="M136" s="2" t="s">
        <v>22</v>
      </c>
      <c r="N136" s="2" t="s">
        <v>23</v>
      </c>
      <c r="O136" s="2" t="s">
        <v>30</v>
      </c>
    </row>
    <row r="137" spans="1:15" x14ac:dyDescent="0.25">
      <c r="A137" s="1">
        <v>46116</v>
      </c>
      <c r="B137" s="2" t="s">
        <v>283</v>
      </c>
      <c r="C137" s="2" t="s">
        <v>16</v>
      </c>
      <c r="D137" s="2" t="s">
        <v>284</v>
      </c>
      <c r="E137" s="2" t="s">
        <v>18</v>
      </c>
      <c r="F137" s="2" t="s">
        <v>194</v>
      </c>
      <c r="G137" s="2" t="s">
        <v>285</v>
      </c>
      <c r="H137" s="3">
        <v>1</v>
      </c>
      <c r="I137" s="2" t="s">
        <v>108</v>
      </c>
      <c r="J137" s="3">
        <v>1</v>
      </c>
      <c r="K137" s="11">
        <v>226000</v>
      </c>
      <c r="L137" s="3">
        <v>0</v>
      </c>
      <c r="M137" s="2" t="s">
        <v>22</v>
      </c>
      <c r="N137" s="2" t="s">
        <v>23</v>
      </c>
      <c r="O137" s="2" t="s">
        <v>30</v>
      </c>
    </row>
    <row r="138" spans="1:15" x14ac:dyDescent="0.25">
      <c r="A138" s="1">
        <v>46116</v>
      </c>
      <c r="B138" s="2" t="s">
        <v>286</v>
      </c>
      <c r="C138" s="2" t="s">
        <v>16</v>
      </c>
      <c r="D138" s="2" t="s">
        <v>287</v>
      </c>
      <c r="E138" s="2" t="s">
        <v>18</v>
      </c>
      <c r="F138" s="2" t="s">
        <v>194</v>
      </c>
      <c r="G138" s="2" t="s">
        <v>63</v>
      </c>
      <c r="H138" s="3">
        <v>5</v>
      </c>
      <c r="I138" s="2" t="s">
        <v>21</v>
      </c>
      <c r="J138" s="3">
        <v>5</v>
      </c>
      <c r="K138" s="11">
        <v>1776000</v>
      </c>
      <c r="L138" s="3">
        <v>0</v>
      </c>
      <c r="M138" s="2" t="s">
        <v>22</v>
      </c>
      <c r="N138" s="2" t="s">
        <v>23</v>
      </c>
      <c r="O138" s="2" t="s">
        <v>30</v>
      </c>
    </row>
    <row r="139" spans="1:15" x14ac:dyDescent="0.25">
      <c r="A139" s="1">
        <v>46116</v>
      </c>
      <c r="B139" s="2" t="s">
        <v>288</v>
      </c>
      <c r="C139" s="2" t="s">
        <v>16</v>
      </c>
      <c r="D139" s="2" t="s">
        <v>289</v>
      </c>
      <c r="E139" s="2" t="s">
        <v>51</v>
      </c>
      <c r="F139" s="2" t="s">
        <v>59</v>
      </c>
      <c r="G139" s="2" t="s">
        <v>60</v>
      </c>
      <c r="H139" s="3">
        <v>50</v>
      </c>
      <c r="I139" s="2" t="s">
        <v>38</v>
      </c>
      <c r="J139" s="3">
        <v>50</v>
      </c>
      <c r="K139" s="11">
        <v>774999.78</v>
      </c>
      <c r="L139" s="3">
        <v>0</v>
      </c>
      <c r="M139" s="2" t="s">
        <v>22</v>
      </c>
      <c r="N139" s="2" t="s">
        <v>23</v>
      </c>
      <c r="O139" s="2" t="s">
        <v>30</v>
      </c>
    </row>
    <row r="140" spans="1:15" x14ac:dyDescent="0.25">
      <c r="A140" s="1">
        <v>46116</v>
      </c>
      <c r="B140" s="2" t="s">
        <v>290</v>
      </c>
      <c r="C140" s="2" t="s">
        <v>16</v>
      </c>
      <c r="D140" s="2" t="s">
        <v>269</v>
      </c>
      <c r="E140" s="2" t="s">
        <v>18</v>
      </c>
      <c r="F140" s="2" t="s">
        <v>194</v>
      </c>
      <c r="G140" s="2" t="s">
        <v>77</v>
      </c>
      <c r="H140" s="3">
        <v>12.5</v>
      </c>
      <c r="I140" s="2" t="s">
        <v>38</v>
      </c>
      <c r="J140" s="3">
        <v>12</v>
      </c>
      <c r="K140" s="11">
        <v>1908000</v>
      </c>
      <c r="L140" s="3">
        <v>-0.5</v>
      </c>
      <c r="M140" s="2" t="s">
        <v>22</v>
      </c>
      <c r="N140" s="2" t="s">
        <v>23</v>
      </c>
      <c r="O140" s="2" t="s">
        <v>30</v>
      </c>
    </row>
    <row r="141" spans="1:15" x14ac:dyDescent="0.25">
      <c r="A141" s="1">
        <v>46116</v>
      </c>
      <c r="B141" s="2" t="s">
        <v>291</v>
      </c>
      <c r="C141" s="2" t="s">
        <v>16</v>
      </c>
      <c r="D141" s="2" t="s">
        <v>292</v>
      </c>
      <c r="E141" s="2" t="s">
        <v>18</v>
      </c>
      <c r="F141" s="2" t="s">
        <v>76</v>
      </c>
      <c r="G141" s="2" t="s">
        <v>77</v>
      </c>
      <c r="H141" s="3">
        <v>6</v>
      </c>
      <c r="I141" s="2" t="s">
        <v>38</v>
      </c>
      <c r="J141" s="3">
        <v>6.15</v>
      </c>
      <c r="K141" s="11">
        <v>984000</v>
      </c>
      <c r="L141" s="3">
        <v>0.15</v>
      </c>
      <c r="M141" s="2" t="s">
        <v>22</v>
      </c>
      <c r="N141" s="2" t="s">
        <v>23</v>
      </c>
      <c r="O141" s="2" t="s">
        <v>293</v>
      </c>
    </row>
    <row r="142" spans="1:15" x14ac:dyDescent="0.25">
      <c r="A142" s="1">
        <v>46116</v>
      </c>
      <c r="B142" s="2" t="s">
        <v>294</v>
      </c>
      <c r="C142" s="2" t="s">
        <v>16</v>
      </c>
      <c r="D142" s="2" t="s">
        <v>295</v>
      </c>
      <c r="E142" s="2" t="s">
        <v>18</v>
      </c>
      <c r="F142" s="2" t="s">
        <v>96</v>
      </c>
      <c r="G142" s="2" t="s">
        <v>296</v>
      </c>
      <c r="H142" s="3">
        <v>3</v>
      </c>
      <c r="I142" s="2" t="s">
        <v>38</v>
      </c>
      <c r="J142" s="3">
        <v>2.52</v>
      </c>
      <c r="K142" s="11">
        <v>856800</v>
      </c>
      <c r="L142" s="3">
        <v>-0.48</v>
      </c>
      <c r="M142" s="2" t="s">
        <v>22</v>
      </c>
      <c r="N142" s="2" t="s">
        <v>23</v>
      </c>
      <c r="O142" s="2" t="s">
        <v>30</v>
      </c>
    </row>
    <row r="143" spans="1:15" x14ac:dyDescent="0.25">
      <c r="A143" s="1">
        <v>46116</v>
      </c>
      <c r="B143" s="2" t="s">
        <v>297</v>
      </c>
      <c r="C143" s="2" t="s">
        <v>16</v>
      </c>
      <c r="D143" s="2" t="s">
        <v>298</v>
      </c>
      <c r="E143" s="2" t="s">
        <v>18</v>
      </c>
      <c r="F143" s="2" t="s">
        <v>99</v>
      </c>
      <c r="G143" s="2" t="s">
        <v>299</v>
      </c>
      <c r="H143" s="3">
        <v>4</v>
      </c>
      <c r="I143" s="2" t="s">
        <v>21</v>
      </c>
      <c r="J143" s="3">
        <v>4</v>
      </c>
      <c r="K143" s="11">
        <v>983999.99</v>
      </c>
      <c r="L143" s="3">
        <v>0</v>
      </c>
      <c r="M143" s="2" t="s">
        <v>22</v>
      </c>
      <c r="N143" s="2" t="s">
        <v>23</v>
      </c>
      <c r="O143" s="2" t="s">
        <v>30</v>
      </c>
    </row>
    <row r="144" spans="1:15" x14ac:dyDescent="0.25">
      <c r="A144" s="1">
        <v>46116</v>
      </c>
      <c r="B144" s="2" t="s">
        <v>300</v>
      </c>
      <c r="C144" s="2" t="s">
        <v>16</v>
      </c>
      <c r="D144" s="2" t="s">
        <v>301</v>
      </c>
      <c r="E144" s="2" t="s">
        <v>18</v>
      </c>
      <c r="F144" s="2" t="s">
        <v>194</v>
      </c>
      <c r="G144" s="2" t="s">
        <v>60</v>
      </c>
      <c r="H144" s="3">
        <v>4</v>
      </c>
      <c r="I144" s="2" t="s">
        <v>38</v>
      </c>
      <c r="J144" s="3">
        <v>4</v>
      </c>
      <c r="K144" s="11">
        <v>66600</v>
      </c>
      <c r="L144" s="3">
        <v>0</v>
      </c>
      <c r="M144" s="2" t="s">
        <v>22</v>
      </c>
      <c r="N144" s="2" t="s">
        <v>23</v>
      </c>
      <c r="O144" s="2" t="s">
        <v>30</v>
      </c>
    </row>
    <row r="145" spans="1:15" x14ac:dyDescent="0.25">
      <c r="A145" s="1">
        <v>46116</v>
      </c>
      <c r="B145" s="2" t="s">
        <v>302</v>
      </c>
      <c r="C145" s="2" t="s">
        <v>16</v>
      </c>
      <c r="D145" s="2" t="s">
        <v>303</v>
      </c>
      <c r="E145" s="2" t="s">
        <v>18</v>
      </c>
      <c r="F145" s="2" t="s">
        <v>55</v>
      </c>
      <c r="G145" s="2" t="s">
        <v>20</v>
      </c>
      <c r="H145" s="3">
        <v>2</v>
      </c>
      <c r="I145" s="2" t="s">
        <v>21</v>
      </c>
      <c r="J145" s="3">
        <v>2</v>
      </c>
      <c r="K145" s="11">
        <v>654900</v>
      </c>
      <c r="L145" s="3">
        <v>0</v>
      </c>
      <c r="M145" s="2" t="s">
        <v>22</v>
      </c>
      <c r="N145" s="2" t="s">
        <v>23</v>
      </c>
      <c r="O145" s="2" t="s">
        <v>30</v>
      </c>
    </row>
    <row r="146" spans="1:15" x14ac:dyDescent="0.25">
      <c r="A146" s="1">
        <v>46116</v>
      </c>
      <c r="B146" s="2" t="s">
        <v>304</v>
      </c>
      <c r="C146" s="2" t="s">
        <v>16</v>
      </c>
      <c r="D146" s="2" t="s">
        <v>305</v>
      </c>
      <c r="E146" s="2" t="s">
        <v>18</v>
      </c>
      <c r="F146" s="2" t="s">
        <v>230</v>
      </c>
      <c r="G146" s="2" t="s">
        <v>109</v>
      </c>
      <c r="H146" s="3">
        <v>12</v>
      </c>
      <c r="I146" s="2" t="s">
        <v>110</v>
      </c>
      <c r="J146" s="3">
        <v>12</v>
      </c>
      <c r="K146" s="11">
        <v>237000</v>
      </c>
      <c r="L146" s="3">
        <v>0</v>
      </c>
      <c r="M146" s="2" t="s">
        <v>22</v>
      </c>
      <c r="N146" s="2" t="s">
        <v>23</v>
      </c>
      <c r="O146" s="2" t="s">
        <v>30</v>
      </c>
    </row>
    <row r="147" spans="1:15" x14ac:dyDescent="0.25">
      <c r="A147" s="1">
        <v>46116</v>
      </c>
      <c r="B147" s="2" t="s">
        <v>306</v>
      </c>
      <c r="C147" s="2" t="s">
        <v>16</v>
      </c>
      <c r="D147" s="2" t="s">
        <v>307</v>
      </c>
      <c r="E147" s="2" t="s">
        <v>18</v>
      </c>
      <c r="F147" s="2" t="s">
        <v>230</v>
      </c>
      <c r="G147" s="2" t="s">
        <v>244</v>
      </c>
      <c r="H147" s="3">
        <v>2</v>
      </c>
      <c r="I147" s="2" t="s">
        <v>29</v>
      </c>
      <c r="J147" s="3">
        <v>2</v>
      </c>
      <c r="K147" s="11">
        <v>148000</v>
      </c>
      <c r="L147" s="3">
        <v>0</v>
      </c>
      <c r="M147" s="2" t="s">
        <v>22</v>
      </c>
      <c r="N147" s="2" t="s">
        <v>23</v>
      </c>
      <c r="O147" s="2" t="s">
        <v>30</v>
      </c>
    </row>
    <row r="148" spans="1:15" x14ac:dyDescent="0.25">
      <c r="A148" s="1">
        <v>46116</v>
      </c>
      <c r="B148" s="2" t="s">
        <v>308</v>
      </c>
      <c r="C148" s="2" t="s">
        <v>309</v>
      </c>
      <c r="D148" s="2" t="s">
        <v>310</v>
      </c>
      <c r="E148" s="2" t="s">
        <v>18</v>
      </c>
      <c r="F148" s="2" t="s">
        <v>87</v>
      </c>
      <c r="G148" s="2" t="s">
        <v>311</v>
      </c>
      <c r="H148" s="3">
        <v>12</v>
      </c>
      <c r="I148" s="2" t="s">
        <v>29</v>
      </c>
      <c r="J148" s="3">
        <v>12</v>
      </c>
      <c r="K148" s="11">
        <v>1125540</v>
      </c>
      <c r="L148" s="3">
        <v>0</v>
      </c>
      <c r="M148" s="2" t="s">
        <v>22</v>
      </c>
      <c r="N148" s="2" t="s">
        <v>23</v>
      </c>
      <c r="O148" s="2" t="s">
        <v>30</v>
      </c>
    </row>
    <row r="149" spans="1:15" x14ac:dyDescent="0.25">
      <c r="A149" s="1">
        <v>46116</v>
      </c>
      <c r="B149" s="2" t="s">
        <v>308</v>
      </c>
      <c r="C149" s="2" t="s">
        <v>309</v>
      </c>
      <c r="D149" s="2" t="s">
        <v>310</v>
      </c>
      <c r="E149" s="2" t="s">
        <v>18</v>
      </c>
      <c r="F149" s="2" t="s">
        <v>87</v>
      </c>
      <c r="G149" s="2" t="s">
        <v>312</v>
      </c>
      <c r="H149" s="3">
        <v>12</v>
      </c>
      <c r="I149" s="2" t="s">
        <v>29</v>
      </c>
      <c r="J149" s="3">
        <v>12</v>
      </c>
      <c r="K149" s="11">
        <v>1116299.99</v>
      </c>
      <c r="L149" s="3">
        <v>0</v>
      </c>
      <c r="M149" s="2" t="s">
        <v>22</v>
      </c>
      <c r="N149" s="2" t="s">
        <v>23</v>
      </c>
      <c r="O149" s="2" t="s">
        <v>30</v>
      </c>
    </row>
    <row r="150" spans="1:15" x14ac:dyDescent="0.25">
      <c r="A150" s="1">
        <v>46116</v>
      </c>
      <c r="B150" s="2" t="s">
        <v>313</v>
      </c>
      <c r="C150" s="2" t="s">
        <v>309</v>
      </c>
      <c r="D150" s="2" t="s">
        <v>314</v>
      </c>
      <c r="E150" s="2" t="s">
        <v>51</v>
      </c>
      <c r="F150" s="2" t="s">
        <v>92</v>
      </c>
      <c r="G150" s="2" t="s">
        <v>315</v>
      </c>
      <c r="H150" s="3">
        <v>2</v>
      </c>
      <c r="I150" s="2" t="s">
        <v>29</v>
      </c>
      <c r="J150" s="3">
        <v>2</v>
      </c>
      <c r="K150" s="11">
        <v>1776000</v>
      </c>
      <c r="L150" s="3">
        <v>0</v>
      </c>
      <c r="M150" s="2" t="s">
        <v>22</v>
      </c>
      <c r="N150" s="2" t="s">
        <v>23</v>
      </c>
      <c r="O150" s="2" t="s">
        <v>30</v>
      </c>
    </row>
    <row r="151" spans="1:15" x14ac:dyDescent="0.25">
      <c r="A151" s="1">
        <v>46116</v>
      </c>
      <c r="B151" s="2" t="s">
        <v>316</v>
      </c>
      <c r="C151" s="2" t="s">
        <v>309</v>
      </c>
      <c r="D151" s="2" t="s">
        <v>317</v>
      </c>
      <c r="E151" s="2" t="s">
        <v>51</v>
      </c>
      <c r="F151" s="2" t="s">
        <v>76</v>
      </c>
      <c r="G151" s="2" t="s">
        <v>318</v>
      </c>
      <c r="H151" s="3">
        <v>6</v>
      </c>
      <c r="I151" s="2" t="s">
        <v>29</v>
      </c>
      <c r="J151" s="3">
        <v>6</v>
      </c>
      <c r="K151" s="11">
        <v>516150</v>
      </c>
      <c r="L151" s="3">
        <v>0</v>
      </c>
      <c r="M151" s="2" t="s">
        <v>22</v>
      </c>
      <c r="N151" s="2" t="s">
        <v>23</v>
      </c>
      <c r="O151" s="2" t="s">
        <v>30</v>
      </c>
    </row>
    <row r="152" spans="1:15" x14ac:dyDescent="0.25">
      <c r="A152" s="1">
        <v>46116</v>
      </c>
      <c r="B152" s="2" t="s">
        <v>319</v>
      </c>
      <c r="C152" s="2" t="s">
        <v>309</v>
      </c>
      <c r="D152" s="2" t="s">
        <v>320</v>
      </c>
      <c r="E152" s="2" t="s">
        <v>51</v>
      </c>
      <c r="F152" s="2" t="s">
        <v>81</v>
      </c>
      <c r="G152" s="2" t="s">
        <v>322</v>
      </c>
      <c r="H152" s="3">
        <v>1</v>
      </c>
      <c r="I152" s="2" t="s">
        <v>73</v>
      </c>
      <c r="J152" s="3">
        <v>1</v>
      </c>
      <c r="K152" s="11">
        <v>99000</v>
      </c>
      <c r="L152" s="3">
        <v>0</v>
      </c>
      <c r="M152" s="2" t="s">
        <v>22</v>
      </c>
      <c r="N152" s="2" t="s">
        <v>23</v>
      </c>
      <c r="O152" s="2" t="s">
        <v>30</v>
      </c>
    </row>
    <row r="153" spans="1:15" x14ac:dyDescent="0.25">
      <c r="A153" s="1">
        <v>46116</v>
      </c>
      <c r="B153" s="2" t="s">
        <v>319</v>
      </c>
      <c r="C153" s="2" t="s">
        <v>309</v>
      </c>
      <c r="D153" s="2" t="s">
        <v>320</v>
      </c>
      <c r="E153" s="2" t="s">
        <v>51</v>
      </c>
      <c r="F153" s="2" t="s">
        <v>81</v>
      </c>
      <c r="G153" s="2" t="s">
        <v>323</v>
      </c>
      <c r="H153" s="3">
        <v>1</v>
      </c>
      <c r="I153" s="2" t="s">
        <v>73</v>
      </c>
      <c r="J153" s="3">
        <v>1</v>
      </c>
      <c r="K153" s="11">
        <v>99000</v>
      </c>
      <c r="L153" s="3">
        <v>0</v>
      </c>
      <c r="M153" s="2" t="s">
        <v>22</v>
      </c>
      <c r="N153" s="2" t="s">
        <v>23</v>
      </c>
      <c r="O153" s="2" t="s">
        <v>30</v>
      </c>
    </row>
    <row r="154" spans="1:15" x14ac:dyDescent="0.25">
      <c r="A154" s="1">
        <v>46116</v>
      </c>
      <c r="B154" s="2" t="s">
        <v>324</v>
      </c>
      <c r="C154" s="2" t="s">
        <v>309</v>
      </c>
      <c r="D154" s="2" t="s">
        <v>90</v>
      </c>
      <c r="E154" s="2" t="s">
        <v>51</v>
      </c>
      <c r="F154" s="2" t="s">
        <v>92</v>
      </c>
      <c r="G154" s="2" t="s">
        <v>326</v>
      </c>
      <c r="H154" s="3">
        <v>2</v>
      </c>
      <c r="I154" s="2" t="s">
        <v>325</v>
      </c>
      <c r="J154" s="3">
        <v>2</v>
      </c>
      <c r="K154" s="11">
        <v>213180.01</v>
      </c>
      <c r="L154" s="3">
        <v>0</v>
      </c>
      <c r="M154" s="2" t="s">
        <v>22</v>
      </c>
      <c r="N154" s="2" t="s">
        <v>23</v>
      </c>
      <c r="O154" s="2" t="s">
        <v>30</v>
      </c>
    </row>
    <row r="155" spans="1:15" x14ac:dyDescent="0.25">
      <c r="A155" s="1">
        <v>46116</v>
      </c>
      <c r="B155" s="2" t="s">
        <v>327</v>
      </c>
      <c r="C155" s="2" t="s">
        <v>309</v>
      </c>
      <c r="D155" s="2" t="s">
        <v>328</v>
      </c>
      <c r="E155" s="2" t="s">
        <v>18</v>
      </c>
      <c r="F155" s="2" t="s">
        <v>76</v>
      </c>
      <c r="G155" s="2" t="s">
        <v>329</v>
      </c>
      <c r="H155" s="3">
        <v>6.9</v>
      </c>
      <c r="I155" s="2" t="s">
        <v>38</v>
      </c>
      <c r="J155" s="3">
        <v>6.52</v>
      </c>
      <c r="K155" s="11">
        <v>753059.98</v>
      </c>
      <c r="L155" s="3">
        <v>-0.38</v>
      </c>
      <c r="M155" s="2" t="s">
        <v>22</v>
      </c>
      <c r="N155" s="2" t="s">
        <v>23</v>
      </c>
      <c r="O155" s="2" t="s">
        <v>330</v>
      </c>
    </row>
    <row r="156" spans="1:15" x14ac:dyDescent="0.25">
      <c r="A156" s="1">
        <v>46116</v>
      </c>
      <c r="B156" s="2" t="s">
        <v>331</v>
      </c>
      <c r="C156" s="2" t="s">
        <v>309</v>
      </c>
      <c r="D156" s="2" t="s">
        <v>332</v>
      </c>
      <c r="E156" s="2" t="s">
        <v>18</v>
      </c>
      <c r="F156" s="2" t="s">
        <v>92</v>
      </c>
      <c r="G156" s="2" t="s">
        <v>333</v>
      </c>
      <c r="H156" s="3">
        <v>24</v>
      </c>
      <c r="I156" s="2" t="s">
        <v>108</v>
      </c>
      <c r="J156" s="3">
        <v>24</v>
      </c>
      <c r="K156" s="11">
        <v>1943999.98</v>
      </c>
      <c r="L156" s="3">
        <v>0</v>
      </c>
      <c r="M156" s="2" t="s">
        <v>22</v>
      </c>
      <c r="N156" s="2" t="s">
        <v>23</v>
      </c>
      <c r="O156" s="2" t="s">
        <v>30</v>
      </c>
    </row>
    <row r="157" spans="1:15" x14ac:dyDescent="0.25">
      <c r="A157" s="1">
        <v>46116</v>
      </c>
      <c r="B157" s="2" t="s">
        <v>334</v>
      </c>
      <c r="C157" s="2" t="s">
        <v>309</v>
      </c>
      <c r="D157" s="2" t="s">
        <v>107</v>
      </c>
      <c r="E157" s="2" t="s">
        <v>18</v>
      </c>
      <c r="F157" s="2" t="s">
        <v>59</v>
      </c>
      <c r="G157" s="2" t="s">
        <v>335</v>
      </c>
      <c r="H157" s="3">
        <v>12</v>
      </c>
      <c r="I157" s="2" t="s">
        <v>29</v>
      </c>
      <c r="J157" s="3">
        <v>12</v>
      </c>
      <c r="K157" s="11">
        <v>659999.99</v>
      </c>
      <c r="L157" s="3">
        <v>0</v>
      </c>
      <c r="M157" s="2" t="s">
        <v>22</v>
      </c>
      <c r="N157" s="2" t="s">
        <v>23</v>
      </c>
      <c r="O157" s="2" t="s">
        <v>30</v>
      </c>
    </row>
    <row r="158" spans="1:15" x14ac:dyDescent="0.25">
      <c r="A158" s="1">
        <v>46116</v>
      </c>
      <c r="B158" s="2" t="s">
        <v>334</v>
      </c>
      <c r="C158" s="2" t="s">
        <v>309</v>
      </c>
      <c r="D158" s="2" t="s">
        <v>107</v>
      </c>
      <c r="E158" s="2" t="s">
        <v>18</v>
      </c>
      <c r="F158" s="2" t="s">
        <v>59</v>
      </c>
      <c r="G158" s="2" t="s">
        <v>336</v>
      </c>
      <c r="H158" s="3">
        <v>18</v>
      </c>
      <c r="I158" s="2" t="s">
        <v>29</v>
      </c>
      <c r="J158" s="3">
        <v>18</v>
      </c>
      <c r="K158" s="11">
        <v>935999.99</v>
      </c>
      <c r="L158" s="3">
        <v>0</v>
      </c>
      <c r="M158" s="2" t="s">
        <v>22</v>
      </c>
      <c r="N158" s="2" t="s">
        <v>23</v>
      </c>
      <c r="O158" s="2" t="s">
        <v>30</v>
      </c>
    </row>
    <row r="159" spans="1:15" x14ac:dyDescent="0.25">
      <c r="A159" s="1">
        <v>46116</v>
      </c>
      <c r="B159" s="2" t="s">
        <v>334</v>
      </c>
      <c r="C159" s="2" t="s">
        <v>309</v>
      </c>
      <c r="D159" s="2" t="s">
        <v>107</v>
      </c>
      <c r="E159" s="2" t="s">
        <v>18</v>
      </c>
      <c r="F159" s="2" t="s">
        <v>59</v>
      </c>
      <c r="G159" s="2" t="s">
        <v>337</v>
      </c>
      <c r="H159" s="3">
        <v>8</v>
      </c>
      <c r="I159" s="2" t="s">
        <v>29</v>
      </c>
      <c r="J159" s="3">
        <v>8</v>
      </c>
      <c r="K159" s="11">
        <v>839999.99</v>
      </c>
      <c r="L159" s="3">
        <v>0</v>
      </c>
      <c r="M159" s="2" t="s">
        <v>22</v>
      </c>
      <c r="N159" s="2" t="s">
        <v>23</v>
      </c>
      <c r="O159" s="2" t="s">
        <v>30</v>
      </c>
    </row>
    <row r="160" spans="1:15" x14ac:dyDescent="0.25">
      <c r="A160" s="1">
        <v>46116</v>
      </c>
      <c r="B160" s="2" t="s">
        <v>338</v>
      </c>
      <c r="C160" s="2" t="s">
        <v>309</v>
      </c>
      <c r="D160" s="2" t="s">
        <v>339</v>
      </c>
      <c r="E160" s="2" t="s">
        <v>51</v>
      </c>
      <c r="F160" s="2" t="s">
        <v>87</v>
      </c>
      <c r="G160" s="2" t="s">
        <v>340</v>
      </c>
      <c r="H160" s="3">
        <v>3</v>
      </c>
      <c r="I160" s="2" t="s">
        <v>29</v>
      </c>
      <c r="J160" s="3">
        <v>3</v>
      </c>
      <c r="K160" s="11">
        <v>378000</v>
      </c>
      <c r="L160" s="3">
        <v>0</v>
      </c>
      <c r="M160" s="2" t="s">
        <v>22</v>
      </c>
      <c r="N160" s="2" t="s">
        <v>23</v>
      </c>
      <c r="O160" s="2" t="s">
        <v>30</v>
      </c>
    </row>
    <row r="161" spans="1:15" x14ac:dyDescent="0.25">
      <c r="A161" s="1">
        <v>46116</v>
      </c>
      <c r="B161" s="2" t="s">
        <v>341</v>
      </c>
      <c r="C161" s="2" t="s">
        <v>309</v>
      </c>
      <c r="D161" s="2" t="s">
        <v>342</v>
      </c>
      <c r="E161" s="2" t="s">
        <v>51</v>
      </c>
      <c r="F161" s="2" t="s">
        <v>19</v>
      </c>
      <c r="G161" s="2" t="s">
        <v>343</v>
      </c>
      <c r="H161" s="3">
        <v>2</v>
      </c>
      <c r="I161" s="2" t="s">
        <v>73</v>
      </c>
      <c r="J161" s="3">
        <v>1</v>
      </c>
      <c r="K161" s="11">
        <v>110000</v>
      </c>
      <c r="L161" s="3">
        <v>-1</v>
      </c>
      <c r="M161" s="2" t="s">
        <v>22</v>
      </c>
      <c r="N161" s="2" t="s">
        <v>23</v>
      </c>
      <c r="O161" s="2" t="s">
        <v>30</v>
      </c>
    </row>
    <row r="162" spans="1:15" x14ac:dyDescent="0.25">
      <c r="A162" s="1">
        <v>46116</v>
      </c>
      <c r="B162" s="2" t="s">
        <v>341</v>
      </c>
      <c r="C162" s="2" t="s">
        <v>309</v>
      </c>
      <c r="D162" s="2" t="s">
        <v>342</v>
      </c>
      <c r="E162" s="2" t="s">
        <v>51</v>
      </c>
      <c r="F162" s="2" t="s">
        <v>19</v>
      </c>
      <c r="G162" s="2" t="s">
        <v>344</v>
      </c>
      <c r="H162" s="3">
        <v>4</v>
      </c>
      <c r="I162" s="2" t="s">
        <v>73</v>
      </c>
      <c r="J162" s="3">
        <v>4</v>
      </c>
      <c r="K162" s="11">
        <v>341521.21</v>
      </c>
      <c r="L162" s="3">
        <v>0</v>
      </c>
      <c r="M162" s="2" t="s">
        <v>22</v>
      </c>
      <c r="N162" s="2" t="s">
        <v>23</v>
      </c>
      <c r="O162" s="2" t="s">
        <v>30</v>
      </c>
    </row>
    <row r="163" spans="1:15" x14ac:dyDescent="0.25">
      <c r="A163" s="1">
        <v>46116</v>
      </c>
      <c r="B163" s="2" t="s">
        <v>341</v>
      </c>
      <c r="C163" s="2" t="s">
        <v>309</v>
      </c>
      <c r="D163" s="2" t="s">
        <v>342</v>
      </c>
      <c r="E163" s="2" t="s">
        <v>51</v>
      </c>
      <c r="F163" s="2" t="s">
        <v>19</v>
      </c>
      <c r="G163" s="2" t="s">
        <v>312</v>
      </c>
      <c r="H163" s="3">
        <v>2</v>
      </c>
      <c r="I163" s="2" t="s">
        <v>29</v>
      </c>
      <c r="J163" s="3">
        <v>2</v>
      </c>
      <c r="K163" s="11">
        <v>176747.51</v>
      </c>
      <c r="L163" s="3">
        <v>0</v>
      </c>
      <c r="M163" s="2" t="s">
        <v>22</v>
      </c>
      <c r="N163" s="2" t="s">
        <v>23</v>
      </c>
      <c r="O163" s="2" t="s">
        <v>30</v>
      </c>
    </row>
    <row r="164" spans="1:15" x14ac:dyDescent="0.25">
      <c r="A164" s="1">
        <v>46116</v>
      </c>
      <c r="B164" s="2" t="s">
        <v>345</v>
      </c>
      <c r="C164" s="2" t="s">
        <v>309</v>
      </c>
      <c r="D164" s="2" t="s">
        <v>346</v>
      </c>
      <c r="E164" s="2" t="s">
        <v>51</v>
      </c>
      <c r="F164" s="2" t="s">
        <v>347</v>
      </c>
      <c r="G164" s="2" t="s">
        <v>333</v>
      </c>
      <c r="H164" s="3">
        <v>12</v>
      </c>
      <c r="I164" s="2" t="s">
        <v>108</v>
      </c>
      <c r="J164" s="3">
        <v>12</v>
      </c>
      <c r="K164" s="11">
        <v>1019999.99</v>
      </c>
      <c r="L164" s="3">
        <v>0</v>
      </c>
      <c r="M164" s="2" t="s">
        <v>22</v>
      </c>
      <c r="N164" s="2" t="s">
        <v>23</v>
      </c>
      <c r="O164" s="2" t="s">
        <v>30</v>
      </c>
    </row>
    <row r="165" spans="1:15" x14ac:dyDescent="0.25">
      <c r="A165" s="1">
        <v>46116</v>
      </c>
      <c r="B165" s="2" t="s">
        <v>348</v>
      </c>
      <c r="C165" s="2" t="s">
        <v>309</v>
      </c>
      <c r="D165" s="2" t="s">
        <v>346</v>
      </c>
      <c r="E165" s="2" t="s">
        <v>51</v>
      </c>
      <c r="F165" s="2" t="s">
        <v>347</v>
      </c>
      <c r="G165" s="2" t="s">
        <v>349</v>
      </c>
      <c r="H165" s="3">
        <v>20</v>
      </c>
      <c r="I165" s="2" t="s">
        <v>38</v>
      </c>
      <c r="J165" s="3">
        <v>20</v>
      </c>
      <c r="K165" s="11">
        <v>1900000</v>
      </c>
      <c r="L165" s="3">
        <v>0</v>
      </c>
      <c r="M165" s="2" t="s">
        <v>22</v>
      </c>
      <c r="N165" s="2" t="s">
        <v>23</v>
      </c>
      <c r="O165" s="2" t="s">
        <v>30</v>
      </c>
    </row>
    <row r="166" spans="1:15" x14ac:dyDescent="0.25">
      <c r="A166" s="1">
        <v>46116</v>
      </c>
      <c r="B166" s="2" t="s">
        <v>350</v>
      </c>
      <c r="C166" s="2" t="s">
        <v>309</v>
      </c>
      <c r="D166" s="2" t="s">
        <v>351</v>
      </c>
      <c r="E166" s="2" t="s">
        <v>51</v>
      </c>
      <c r="F166" s="2" t="s">
        <v>87</v>
      </c>
      <c r="G166" s="2" t="s">
        <v>352</v>
      </c>
      <c r="H166" s="3">
        <v>1</v>
      </c>
      <c r="I166" s="2" t="s">
        <v>156</v>
      </c>
      <c r="J166" s="3">
        <v>1</v>
      </c>
      <c r="K166" s="11">
        <v>350000.01</v>
      </c>
      <c r="L166" s="3">
        <v>0</v>
      </c>
      <c r="M166" s="2" t="s">
        <v>22</v>
      </c>
      <c r="N166" s="2" t="s">
        <v>23</v>
      </c>
      <c r="O166" s="2" t="s">
        <v>353</v>
      </c>
    </row>
    <row r="167" spans="1:15" x14ac:dyDescent="0.25">
      <c r="A167" s="1">
        <v>46116</v>
      </c>
      <c r="B167" s="2" t="s">
        <v>350</v>
      </c>
      <c r="C167" s="2" t="s">
        <v>309</v>
      </c>
      <c r="D167" s="2" t="s">
        <v>351</v>
      </c>
      <c r="E167" s="2" t="s">
        <v>51</v>
      </c>
      <c r="F167" s="2" t="s">
        <v>87</v>
      </c>
      <c r="G167" s="2" t="s">
        <v>354</v>
      </c>
      <c r="H167" s="3">
        <v>5</v>
      </c>
      <c r="I167" s="2" t="s">
        <v>38</v>
      </c>
      <c r="J167" s="3">
        <v>9.08</v>
      </c>
      <c r="K167" s="11">
        <v>1089600</v>
      </c>
      <c r="L167" s="3">
        <v>4.08</v>
      </c>
      <c r="M167" s="2" t="s">
        <v>22</v>
      </c>
      <c r="N167" s="2" t="s">
        <v>23</v>
      </c>
      <c r="O167" s="2" t="s">
        <v>353</v>
      </c>
    </row>
    <row r="168" spans="1:15" x14ac:dyDescent="0.25">
      <c r="A168" s="1">
        <v>46116</v>
      </c>
      <c r="B168" s="2" t="s">
        <v>355</v>
      </c>
      <c r="C168" s="2" t="s">
        <v>309</v>
      </c>
      <c r="D168" s="2" t="s">
        <v>136</v>
      </c>
      <c r="E168" s="2" t="s">
        <v>18</v>
      </c>
      <c r="F168" s="2" t="s">
        <v>102</v>
      </c>
      <c r="G168" s="2" t="s">
        <v>356</v>
      </c>
      <c r="H168" s="3">
        <v>10</v>
      </c>
      <c r="I168" s="2" t="s">
        <v>73</v>
      </c>
      <c r="J168" s="3">
        <v>8</v>
      </c>
      <c r="K168" s="11">
        <v>593345.47</v>
      </c>
      <c r="L168" s="3">
        <v>-2</v>
      </c>
      <c r="M168" s="2" t="s">
        <v>22</v>
      </c>
      <c r="N168" s="2" t="s">
        <v>23</v>
      </c>
      <c r="O168" s="2" t="s">
        <v>30</v>
      </c>
    </row>
    <row r="169" spans="1:15" x14ac:dyDescent="0.25">
      <c r="A169" s="1">
        <v>46116</v>
      </c>
      <c r="B169" s="2" t="s">
        <v>357</v>
      </c>
      <c r="C169" s="2" t="s">
        <v>309</v>
      </c>
      <c r="D169" s="2" t="s">
        <v>358</v>
      </c>
      <c r="E169" s="2" t="s">
        <v>18</v>
      </c>
      <c r="F169" s="2" t="s">
        <v>59</v>
      </c>
      <c r="G169" s="2" t="s">
        <v>359</v>
      </c>
      <c r="H169" s="3">
        <v>1</v>
      </c>
      <c r="I169" s="2" t="s">
        <v>156</v>
      </c>
      <c r="J169" s="3">
        <v>1</v>
      </c>
      <c r="K169" s="11">
        <v>500000</v>
      </c>
      <c r="L169" s="3">
        <v>0</v>
      </c>
      <c r="M169" s="2" t="s">
        <v>22</v>
      </c>
      <c r="N169" s="2" t="s">
        <v>23</v>
      </c>
      <c r="O169" s="2" t="s">
        <v>30</v>
      </c>
    </row>
    <row r="170" spans="1:15" x14ac:dyDescent="0.25">
      <c r="A170" s="1">
        <v>46116</v>
      </c>
      <c r="B170" s="2" t="s">
        <v>360</v>
      </c>
      <c r="C170" s="2" t="s">
        <v>309</v>
      </c>
      <c r="D170" s="2" t="s">
        <v>361</v>
      </c>
      <c r="E170" s="2" t="s">
        <v>18</v>
      </c>
      <c r="F170" s="2" t="s">
        <v>81</v>
      </c>
      <c r="G170" s="2" t="s">
        <v>329</v>
      </c>
      <c r="H170" s="3">
        <v>26.28</v>
      </c>
      <c r="I170" s="2" t="s">
        <v>38</v>
      </c>
      <c r="J170" s="3">
        <v>26.03</v>
      </c>
      <c r="K170" s="11">
        <v>2472850.13</v>
      </c>
      <c r="L170" s="3">
        <v>-0.25</v>
      </c>
      <c r="M170" s="2" t="s">
        <v>22</v>
      </c>
      <c r="N170" s="2" t="s">
        <v>23</v>
      </c>
      <c r="O170" s="2" t="s">
        <v>362</v>
      </c>
    </row>
    <row r="171" spans="1:15" x14ac:dyDescent="0.25">
      <c r="A171" s="1">
        <v>46116</v>
      </c>
      <c r="B171" s="2" t="s">
        <v>363</v>
      </c>
      <c r="C171" s="2" t="s">
        <v>309</v>
      </c>
      <c r="D171" s="2" t="s">
        <v>364</v>
      </c>
      <c r="E171" s="2" t="s">
        <v>18</v>
      </c>
      <c r="F171" s="2" t="s">
        <v>96</v>
      </c>
      <c r="G171" s="2" t="s">
        <v>365</v>
      </c>
      <c r="H171" s="3">
        <v>20</v>
      </c>
      <c r="I171" s="2" t="s">
        <v>38</v>
      </c>
      <c r="J171" s="3">
        <v>20</v>
      </c>
      <c r="K171" s="11">
        <v>2560000.1</v>
      </c>
      <c r="L171" s="3">
        <v>0</v>
      </c>
      <c r="M171" s="2" t="s">
        <v>22</v>
      </c>
      <c r="N171" s="2" t="s">
        <v>23</v>
      </c>
      <c r="O171" s="2" t="s">
        <v>30</v>
      </c>
    </row>
    <row r="172" spans="1:15" x14ac:dyDescent="0.25">
      <c r="A172" s="1">
        <v>46116</v>
      </c>
      <c r="B172" s="2" t="s">
        <v>366</v>
      </c>
      <c r="C172" s="2" t="s">
        <v>309</v>
      </c>
      <c r="D172" s="2" t="s">
        <v>160</v>
      </c>
      <c r="E172" s="2" t="s">
        <v>18</v>
      </c>
      <c r="F172" s="2" t="s">
        <v>92</v>
      </c>
      <c r="G172" s="2" t="s">
        <v>349</v>
      </c>
      <c r="H172" s="3">
        <v>15</v>
      </c>
      <c r="I172" s="2" t="s">
        <v>38</v>
      </c>
      <c r="J172" s="3">
        <v>15</v>
      </c>
      <c r="K172" s="11">
        <v>1425000</v>
      </c>
      <c r="L172" s="3">
        <v>0</v>
      </c>
      <c r="M172" s="2" t="s">
        <v>22</v>
      </c>
      <c r="N172" s="2" t="s">
        <v>23</v>
      </c>
      <c r="O172" s="2" t="s">
        <v>161</v>
      </c>
    </row>
    <row r="173" spans="1:15" x14ac:dyDescent="0.25">
      <c r="A173" s="1">
        <v>46116</v>
      </c>
      <c r="B173" s="2" t="s">
        <v>367</v>
      </c>
      <c r="C173" s="2" t="s">
        <v>309</v>
      </c>
      <c r="D173" s="2" t="s">
        <v>175</v>
      </c>
      <c r="E173" s="2" t="s">
        <v>18</v>
      </c>
      <c r="F173" s="2" t="s">
        <v>92</v>
      </c>
      <c r="G173" s="2" t="s">
        <v>333</v>
      </c>
      <c r="H173" s="3">
        <v>24</v>
      </c>
      <c r="I173" s="2" t="s">
        <v>108</v>
      </c>
      <c r="J173" s="3">
        <v>24</v>
      </c>
      <c r="K173" s="11">
        <v>2087999.99</v>
      </c>
      <c r="L173" s="3">
        <v>0</v>
      </c>
      <c r="M173" s="2" t="s">
        <v>22</v>
      </c>
      <c r="N173" s="2" t="s">
        <v>23</v>
      </c>
      <c r="O173" s="2" t="s">
        <v>30</v>
      </c>
    </row>
    <row r="174" spans="1:15" x14ac:dyDescent="0.25">
      <c r="A174" s="1">
        <v>46116</v>
      </c>
      <c r="B174" s="2" t="s">
        <v>368</v>
      </c>
      <c r="C174" s="2" t="s">
        <v>309</v>
      </c>
      <c r="D174" s="2" t="s">
        <v>180</v>
      </c>
      <c r="E174" s="2" t="s">
        <v>18</v>
      </c>
      <c r="F174" s="2" t="s">
        <v>99</v>
      </c>
      <c r="G174" s="2" t="s">
        <v>333</v>
      </c>
      <c r="H174" s="3">
        <v>2</v>
      </c>
      <c r="I174" s="2" t="s">
        <v>108</v>
      </c>
      <c r="J174" s="3">
        <v>2</v>
      </c>
      <c r="K174" s="11">
        <v>146000</v>
      </c>
      <c r="L174" s="3">
        <v>0</v>
      </c>
      <c r="M174" s="2" t="s">
        <v>22</v>
      </c>
      <c r="N174" s="2" t="s">
        <v>23</v>
      </c>
      <c r="O174" s="2" t="s">
        <v>30</v>
      </c>
    </row>
    <row r="175" spans="1:15" x14ac:dyDescent="0.25">
      <c r="A175" s="1">
        <v>46116</v>
      </c>
      <c r="B175" s="2" t="s">
        <v>369</v>
      </c>
      <c r="C175" s="2" t="s">
        <v>309</v>
      </c>
      <c r="D175" s="2" t="s">
        <v>180</v>
      </c>
      <c r="E175" s="2" t="s">
        <v>18</v>
      </c>
      <c r="F175" s="2" t="s">
        <v>99</v>
      </c>
      <c r="G175" s="2" t="s">
        <v>370</v>
      </c>
      <c r="H175" s="3">
        <v>1</v>
      </c>
      <c r="I175" s="2" t="s">
        <v>29</v>
      </c>
      <c r="J175" s="3">
        <v>1</v>
      </c>
      <c r="K175" s="11">
        <v>435000</v>
      </c>
      <c r="L175" s="3">
        <v>0</v>
      </c>
      <c r="M175" s="2" t="s">
        <v>22</v>
      </c>
      <c r="N175" s="2" t="s">
        <v>23</v>
      </c>
      <c r="O175" s="2" t="s">
        <v>30</v>
      </c>
    </row>
    <row r="176" spans="1:15" x14ac:dyDescent="0.25">
      <c r="A176" s="1">
        <v>46116</v>
      </c>
      <c r="B176" s="2" t="s">
        <v>371</v>
      </c>
      <c r="C176" s="2" t="s">
        <v>309</v>
      </c>
      <c r="D176" s="2" t="s">
        <v>180</v>
      </c>
      <c r="E176" s="2" t="s">
        <v>18</v>
      </c>
      <c r="F176" s="2" t="s">
        <v>99</v>
      </c>
      <c r="G176" s="2" t="s">
        <v>333</v>
      </c>
      <c r="H176" s="3">
        <v>1</v>
      </c>
      <c r="I176" s="2" t="s">
        <v>108</v>
      </c>
      <c r="J176" s="3">
        <v>1</v>
      </c>
      <c r="K176" s="11">
        <v>73000</v>
      </c>
      <c r="L176" s="3">
        <v>0</v>
      </c>
      <c r="M176" s="2" t="s">
        <v>22</v>
      </c>
      <c r="N176" s="2" t="s">
        <v>23</v>
      </c>
      <c r="O176" s="2" t="s">
        <v>30</v>
      </c>
    </row>
    <row r="177" spans="1:15" x14ac:dyDescent="0.25">
      <c r="A177" s="1">
        <v>46116</v>
      </c>
      <c r="B177" s="2" t="s">
        <v>372</v>
      </c>
      <c r="C177" s="2" t="s">
        <v>309</v>
      </c>
      <c r="D177" s="2" t="s">
        <v>180</v>
      </c>
      <c r="E177" s="2" t="s">
        <v>18</v>
      </c>
      <c r="F177" s="2" t="s">
        <v>99</v>
      </c>
      <c r="G177" s="2" t="s">
        <v>370</v>
      </c>
      <c r="H177" s="3">
        <v>1.4</v>
      </c>
      <c r="I177" s="2" t="s">
        <v>29</v>
      </c>
      <c r="J177" s="3">
        <v>1</v>
      </c>
      <c r="K177" s="11">
        <v>435000</v>
      </c>
      <c r="L177" s="3">
        <v>-0.4</v>
      </c>
      <c r="M177" s="2" t="s">
        <v>22</v>
      </c>
      <c r="N177" s="2" t="s">
        <v>23</v>
      </c>
      <c r="O177" s="2" t="s">
        <v>30</v>
      </c>
    </row>
    <row r="178" spans="1:15" x14ac:dyDescent="0.25">
      <c r="A178" s="1">
        <v>46116</v>
      </c>
      <c r="B178" s="2" t="s">
        <v>372</v>
      </c>
      <c r="C178" s="2" t="s">
        <v>309</v>
      </c>
      <c r="D178" s="2" t="s">
        <v>180</v>
      </c>
      <c r="E178" s="2" t="s">
        <v>18</v>
      </c>
      <c r="F178" s="2" t="s">
        <v>99</v>
      </c>
      <c r="G178" s="2" t="s">
        <v>365</v>
      </c>
      <c r="H178" s="3">
        <v>2</v>
      </c>
      <c r="I178" s="2" t="s">
        <v>38</v>
      </c>
      <c r="J178" s="3">
        <v>1.5</v>
      </c>
      <c r="K178" s="11">
        <v>169500</v>
      </c>
      <c r="L178" s="3">
        <v>-0.5</v>
      </c>
      <c r="M178" s="2" t="s">
        <v>22</v>
      </c>
      <c r="N178" s="2" t="s">
        <v>23</v>
      </c>
      <c r="O178" s="2" t="s">
        <v>30</v>
      </c>
    </row>
    <row r="179" spans="1:15" x14ac:dyDescent="0.25">
      <c r="A179" s="1">
        <v>46116</v>
      </c>
      <c r="B179" s="2" t="s">
        <v>373</v>
      </c>
      <c r="C179" s="2" t="s">
        <v>309</v>
      </c>
      <c r="D179" s="2" t="s">
        <v>374</v>
      </c>
      <c r="E179" s="2" t="s">
        <v>51</v>
      </c>
      <c r="F179" s="2" t="s">
        <v>87</v>
      </c>
      <c r="G179" s="2" t="s">
        <v>375</v>
      </c>
      <c r="H179" s="3">
        <v>1</v>
      </c>
      <c r="I179" s="2" t="s">
        <v>73</v>
      </c>
      <c r="J179" s="3">
        <v>1</v>
      </c>
      <c r="K179" s="11">
        <v>110000</v>
      </c>
      <c r="L179" s="3">
        <v>0</v>
      </c>
      <c r="M179" s="2" t="s">
        <v>22</v>
      </c>
      <c r="N179" s="2" t="s">
        <v>23</v>
      </c>
      <c r="O179" s="2" t="s">
        <v>30</v>
      </c>
    </row>
    <row r="180" spans="1:15" x14ac:dyDescent="0.25">
      <c r="A180" s="1">
        <v>46116</v>
      </c>
      <c r="B180" s="2" t="s">
        <v>373</v>
      </c>
      <c r="C180" s="2" t="s">
        <v>309</v>
      </c>
      <c r="D180" s="2" t="s">
        <v>374</v>
      </c>
      <c r="E180" s="2" t="s">
        <v>51</v>
      </c>
      <c r="F180" s="2" t="s">
        <v>87</v>
      </c>
      <c r="G180" s="2" t="s">
        <v>376</v>
      </c>
      <c r="H180" s="3">
        <v>1</v>
      </c>
      <c r="I180" s="2" t="s">
        <v>73</v>
      </c>
      <c r="J180" s="3">
        <v>1</v>
      </c>
      <c r="K180" s="11">
        <v>110000</v>
      </c>
      <c r="L180" s="3">
        <v>0</v>
      </c>
      <c r="M180" s="2" t="s">
        <v>22</v>
      </c>
      <c r="N180" s="2" t="s">
        <v>23</v>
      </c>
      <c r="O180" s="2" t="s">
        <v>30</v>
      </c>
    </row>
    <row r="181" spans="1:15" x14ac:dyDescent="0.25">
      <c r="A181" s="1">
        <v>46116</v>
      </c>
      <c r="B181" s="2" t="s">
        <v>373</v>
      </c>
      <c r="C181" s="2" t="s">
        <v>309</v>
      </c>
      <c r="D181" s="2" t="s">
        <v>374</v>
      </c>
      <c r="E181" s="2" t="s">
        <v>51</v>
      </c>
      <c r="F181" s="2" t="s">
        <v>87</v>
      </c>
      <c r="G181" s="2" t="s">
        <v>377</v>
      </c>
      <c r="H181" s="3">
        <v>1</v>
      </c>
      <c r="I181" s="2" t="s">
        <v>321</v>
      </c>
      <c r="J181" s="3">
        <v>1</v>
      </c>
      <c r="K181" s="11">
        <v>58000</v>
      </c>
      <c r="L181" s="3">
        <v>0</v>
      </c>
      <c r="M181" s="2" t="s">
        <v>22</v>
      </c>
      <c r="N181" s="2" t="s">
        <v>23</v>
      </c>
      <c r="O181" s="2" t="s">
        <v>30</v>
      </c>
    </row>
    <row r="182" spans="1:15" x14ac:dyDescent="0.25">
      <c r="A182" s="1">
        <v>46116</v>
      </c>
      <c r="B182" s="2" t="s">
        <v>373</v>
      </c>
      <c r="C182" s="2" t="s">
        <v>309</v>
      </c>
      <c r="D182" s="2" t="s">
        <v>374</v>
      </c>
      <c r="E182" s="2" t="s">
        <v>51</v>
      </c>
      <c r="F182" s="2" t="s">
        <v>87</v>
      </c>
      <c r="G182" s="2" t="s">
        <v>318</v>
      </c>
      <c r="H182" s="3">
        <v>1</v>
      </c>
      <c r="I182" s="2" t="s">
        <v>29</v>
      </c>
      <c r="J182" s="3">
        <v>1</v>
      </c>
      <c r="K182" s="11">
        <v>86025</v>
      </c>
      <c r="L182" s="3">
        <v>0</v>
      </c>
      <c r="M182" s="2" t="s">
        <v>22</v>
      </c>
      <c r="N182" s="2" t="s">
        <v>23</v>
      </c>
      <c r="O182" s="2" t="s">
        <v>30</v>
      </c>
    </row>
    <row r="183" spans="1:15" x14ac:dyDescent="0.25">
      <c r="A183" s="1">
        <v>46116</v>
      </c>
      <c r="B183" s="2" t="s">
        <v>378</v>
      </c>
      <c r="C183" s="2" t="s">
        <v>309</v>
      </c>
      <c r="D183" s="2" t="s">
        <v>211</v>
      </c>
      <c r="E183" s="2" t="s">
        <v>18</v>
      </c>
      <c r="F183" s="2" t="s">
        <v>19</v>
      </c>
      <c r="G183" s="2" t="s">
        <v>333</v>
      </c>
      <c r="H183" s="3">
        <v>18</v>
      </c>
      <c r="I183" s="2" t="s">
        <v>108</v>
      </c>
      <c r="J183" s="3">
        <v>18</v>
      </c>
      <c r="K183" s="11">
        <v>1439999.96</v>
      </c>
      <c r="L183" s="3">
        <v>0</v>
      </c>
      <c r="M183" s="2" t="s">
        <v>22</v>
      </c>
      <c r="N183" s="2" t="s">
        <v>23</v>
      </c>
      <c r="O183" s="2" t="s">
        <v>30</v>
      </c>
    </row>
    <row r="184" spans="1:15" x14ac:dyDescent="0.25">
      <c r="A184" s="1">
        <v>46116</v>
      </c>
      <c r="B184" s="2" t="s">
        <v>379</v>
      </c>
      <c r="C184" s="2" t="s">
        <v>309</v>
      </c>
      <c r="D184" s="2" t="s">
        <v>380</v>
      </c>
      <c r="E184" s="2" t="s">
        <v>51</v>
      </c>
      <c r="F184" s="2" t="s">
        <v>36</v>
      </c>
      <c r="G184" s="2" t="s">
        <v>349</v>
      </c>
      <c r="H184" s="3">
        <v>5</v>
      </c>
      <c r="I184" s="2" t="s">
        <v>38</v>
      </c>
      <c r="J184" s="3">
        <v>5</v>
      </c>
      <c r="K184" s="11">
        <v>475000</v>
      </c>
      <c r="L184" s="3">
        <v>0</v>
      </c>
      <c r="M184" s="2" t="s">
        <v>22</v>
      </c>
      <c r="N184" s="2" t="s">
        <v>23</v>
      </c>
      <c r="O184" s="2" t="s">
        <v>30</v>
      </c>
    </row>
    <row r="185" spans="1:15" x14ac:dyDescent="0.25">
      <c r="A185" s="1">
        <v>46116</v>
      </c>
      <c r="B185" s="2" t="s">
        <v>381</v>
      </c>
      <c r="C185" s="2" t="s">
        <v>309</v>
      </c>
      <c r="D185" s="2" t="s">
        <v>382</v>
      </c>
      <c r="E185" s="2" t="s">
        <v>18</v>
      </c>
      <c r="F185" s="2" t="s">
        <v>55</v>
      </c>
      <c r="G185" s="2" t="s">
        <v>333</v>
      </c>
      <c r="H185" s="3">
        <v>18</v>
      </c>
      <c r="I185" s="2" t="s">
        <v>108</v>
      </c>
      <c r="J185" s="3">
        <v>18</v>
      </c>
      <c r="K185" s="11">
        <v>1439999.96</v>
      </c>
      <c r="L185" s="3">
        <v>0</v>
      </c>
      <c r="M185" s="2" t="s">
        <v>22</v>
      </c>
      <c r="N185" s="2" t="s">
        <v>23</v>
      </c>
      <c r="O185" s="2" t="s">
        <v>30</v>
      </c>
    </row>
    <row r="186" spans="1:15" x14ac:dyDescent="0.25">
      <c r="A186" s="1">
        <v>46116</v>
      </c>
      <c r="B186" s="2" t="s">
        <v>383</v>
      </c>
      <c r="C186" s="2" t="s">
        <v>309</v>
      </c>
      <c r="D186" s="2" t="s">
        <v>384</v>
      </c>
      <c r="E186" s="2" t="s">
        <v>51</v>
      </c>
      <c r="F186" s="2" t="s">
        <v>347</v>
      </c>
      <c r="G186" s="2" t="s">
        <v>359</v>
      </c>
      <c r="H186" s="3">
        <v>1</v>
      </c>
      <c r="I186" s="2" t="s">
        <v>156</v>
      </c>
      <c r="J186" s="3">
        <v>1</v>
      </c>
      <c r="K186" s="11">
        <v>500000</v>
      </c>
      <c r="L186" s="3">
        <v>0</v>
      </c>
      <c r="M186" s="2" t="s">
        <v>22</v>
      </c>
      <c r="N186" s="2" t="s">
        <v>23</v>
      </c>
      <c r="O186" s="2" t="s">
        <v>30</v>
      </c>
    </row>
    <row r="187" spans="1:15" x14ac:dyDescent="0.25">
      <c r="A187" s="1">
        <v>46116</v>
      </c>
      <c r="B187" s="2" t="s">
        <v>385</v>
      </c>
      <c r="C187" s="2" t="s">
        <v>309</v>
      </c>
      <c r="D187" s="2" t="s">
        <v>160</v>
      </c>
      <c r="E187" s="2" t="s">
        <v>18</v>
      </c>
      <c r="F187" s="2" t="s">
        <v>92</v>
      </c>
      <c r="G187" s="2" t="s">
        <v>333</v>
      </c>
      <c r="H187" s="3">
        <v>12</v>
      </c>
      <c r="I187" s="2" t="s">
        <v>108</v>
      </c>
      <c r="J187" s="3">
        <v>12</v>
      </c>
      <c r="K187" s="11">
        <v>971999.98</v>
      </c>
      <c r="L187" s="3">
        <v>0</v>
      </c>
      <c r="M187" s="2" t="s">
        <v>22</v>
      </c>
      <c r="N187" s="2" t="s">
        <v>23</v>
      </c>
      <c r="O187" s="2" t="s">
        <v>232</v>
      </c>
    </row>
    <row r="188" spans="1:15" x14ac:dyDescent="0.25">
      <c r="A188" s="1">
        <v>46116</v>
      </c>
      <c r="B188" s="2" t="s">
        <v>386</v>
      </c>
      <c r="C188" s="2" t="s">
        <v>309</v>
      </c>
      <c r="D188" s="2" t="s">
        <v>160</v>
      </c>
      <c r="E188" s="2" t="s">
        <v>18</v>
      </c>
      <c r="F188" s="2" t="s">
        <v>92</v>
      </c>
      <c r="G188" s="2" t="s">
        <v>354</v>
      </c>
      <c r="H188" s="3">
        <v>15</v>
      </c>
      <c r="I188" s="2" t="s">
        <v>38</v>
      </c>
      <c r="J188" s="3">
        <v>15.01</v>
      </c>
      <c r="K188" s="11">
        <v>1801200</v>
      </c>
      <c r="L188" s="3">
        <v>0.01</v>
      </c>
      <c r="M188" s="2" t="s">
        <v>22</v>
      </c>
      <c r="N188" s="2" t="s">
        <v>23</v>
      </c>
      <c r="O188" s="2" t="s">
        <v>232</v>
      </c>
    </row>
    <row r="189" spans="1:15" x14ac:dyDescent="0.25">
      <c r="A189" s="1">
        <v>46116</v>
      </c>
      <c r="B189" s="2" t="s">
        <v>387</v>
      </c>
      <c r="C189" s="2" t="s">
        <v>309</v>
      </c>
      <c r="D189" s="2" t="s">
        <v>388</v>
      </c>
      <c r="E189" s="2" t="s">
        <v>18</v>
      </c>
      <c r="F189" s="2" t="s">
        <v>96</v>
      </c>
      <c r="G189" s="2" t="s">
        <v>329</v>
      </c>
      <c r="H189" s="3">
        <v>5</v>
      </c>
      <c r="I189" s="2" t="s">
        <v>38</v>
      </c>
      <c r="J189" s="3">
        <v>4.34</v>
      </c>
      <c r="K189" s="11">
        <v>434000</v>
      </c>
      <c r="L189" s="3">
        <v>-0.66</v>
      </c>
      <c r="M189" s="2" t="s">
        <v>22</v>
      </c>
      <c r="N189" s="2" t="s">
        <v>23</v>
      </c>
      <c r="O189" s="2" t="s">
        <v>30</v>
      </c>
    </row>
    <row r="190" spans="1:15" x14ac:dyDescent="0.25">
      <c r="A190" s="1">
        <v>46116</v>
      </c>
      <c r="B190" s="2" t="s">
        <v>389</v>
      </c>
      <c r="C190" s="2" t="s">
        <v>309</v>
      </c>
      <c r="D190" s="2" t="s">
        <v>160</v>
      </c>
      <c r="E190" s="2" t="s">
        <v>18</v>
      </c>
      <c r="F190" s="2" t="s">
        <v>92</v>
      </c>
      <c r="G190" s="2" t="s">
        <v>333</v>
      </c>
      <c r="H190" s="3">
        <v>12</v>
      </c>
      <c r="I190" s="2" t="s">
        <v>108</v>
      </c>
      <c r="J190" s="3">
        <v>12</v>
      </c>
      <c r="K190" s="11">
        <v>971999.98</v>
      </c>
      <c r="L190" s="3">
        <v>0</v>
      </c>
      <c r="M190" s="2" t="s">
        <v>22</v>
      </c>
      <c r="N190" s="2" t="s">
        <v>23</v>
      </c>
      <c r="O190" s="2" t="s">
        <v>390</v>
      </c>
    </row>
    <row r="191" spans="1:15" x14ac:dyDescent="0.25">
      <c r="A191" s="1">
        <v>46116</v>
      </c>
      <c r="B191" s="2" t="s">
        <v>391</v>
      </c>
      <c r="C191" s="2" t="s">
        <v>309</v>
      </c>
      <c r="D191" s="2" t="s">
        <v>274</v>
      </c>
      <c r="E191" s="2" t="s">
        <v>18</v>
      </c>
      <c r="F191" s="2" t="s">
        <v>99</v>
      </c>
      <c r="G191" s="2" t="s">
        <v>329</v>
      </c>
      <c r="H191" s="3">
        <v>10</v>
      </c>
      <c r="I191" s="2" t="s">
        <v>38</v>
      </c>
      <c r="J191" s="3">
        <v>10.88</v>
      </c>
      <c r="K191" s="11">
        <v>1088000</v>
      </c>
      <c r="L191" s="3">
        <v>0.88</v>
      </c>
      <c r="M191" s="2" t="s">
        <v>22</v>
      </c>
      <c r="N191" s="2" t="s">
        <v>23</v>
      </c>
      <c r="O191" s="2" t="s">
        <v>30</v>
      </c>
    </row>
    <row r="192" spans="1:15" x14ac:dyDescent="0.25">
      <c r="A192" s="1">
        <v>46116</v>
      </c>
      <c r="B192" s="2" t="s">
        <v>392</v>
      </c>
      <c r="C192" s="2" t="s">
        <v>309</v>
      </c>
      <c r="D192" s="2" t="s">
        <v>243</v>
      </c>
      <c r="E192" s="2" t="s">
        <v>51</v>
      </c>
      <c r="F192" s="2" t="s">
        <v>59</v>
      </c>
      <c r="G192" s="2" t="s">
        <v>393</v>
      </c>
      <c r="H192" s="3">
        <v>1</v>
      </c>
      <c r="I192" s="2" t="s">
        <v>29</v>
      </c>
      <c r="J192" s="3">
        <v>1</v>
      </c>
      <c r="K192" s="11">
        <v>206000</v>
      </c>
      <c r="L192" s="3">
        <v>0</v>
      </c>
      <c r="M192" s="2" t="s">
        <v>22</v>
      </c>
      <c r="N192" s="2" t="s">
        <v>23</v>
      </c>
      <c r="O192" s="2" t="s">
        <v>30</v>
      </c>
    </row>
    <row r="193" spans="1:15" x14ac:dyDescent="0.25">
      <c r="A193" s="1">
        <v>46116</v>
      </c>
      <c r="B193" s="2" t="s">
        <v>394</v>
      </c>
      <c r="C193" s="2" t="s">
        <v>309</v>
      </c>
      <c r="D193" s="2" t="s">
        <v>243</v>
      </c>
      <c r="E193" s="2" t="s">
        <v>51</v>
      </c>
      <c r="F193" s="2" t="s">
        <v>59</v>
      </c>
      <c r="G193" s="2" t="s">
        <v>395</v>
      </c>
      <c r="H193" s="3">
        <v>1</v>
      </c>
      <c r="I193" s="2" t="s">
        <v>156</v>
      </c>
      <c r="J193" s="3">
        <v>1</v>
      </c>
      <c r="K193" s="11">
        <v>360000</v>
      </c>
      <c r="L193" s="3">
        <v>0</v>
      </c>
      <c r="M193" s="2" t="s">
        <v>22</v>
      </c>
      <c r="N193" s="2" t="s">
        <v>23</v>
      </c>
      <c r="O193" s="2" t="s">
        <v>30</v>
      </c>
    </row>
    <row r="194" spans="1:15" x14ac:dyDescent="0.25">
      <c r="A194" s="1">
        <v>46116</v>
      </c>
      <c r="B194" s="2" t="s">
        <v>396</v>
      </c>
      <c r="C194" s="2" t="s">
        <v>309</v>
      </c>
      <c r="D194" s="2" t="s">
        <v>250</v>
      </c>
      <c r="E194" s="2" t="s">
        <v>18</v>
      </c>
      <c r="F194" s="2" t="s">
        <v>99</v>
      </c>
      <c r="G194" s="2" t="s">
        <v>397</v>
      </c>
      <c r="H194" s="3">
        <v>20</v>
      </c>
      <c r="I194" s="2" t="s">
        <v>38</v>
      </c>
      <c r="J194" s="3">
        <v>23.76</v>
      </c>
      <c r="K194" s="11">
        <v>2732400</v>
      </c>
      <c r="L194" s="3">
        <v>3.76</v>
      </c>
      <c r="M194" s="2" t="s">
        <v>22</v>
      </c>
      <c r="N194" s="2" t="s">
        <v>23</v>
      </c>
      <c r="O194" s="2" t="s">
        <v>30</v>
      </c>
    </row>
    <row r="195" spans="1:15" x14ac:dyDescent="0.25">
      <c r="A195" s="1">
        <v>46116</v>
      </c>
      <c r="B195" s="2" t="s">
        <v>398</v>
      </c>
      <c r="C195" s="2" t="s">
        <v>309</v>
      </c>
      <c r="D195" s="2" t="s">
        <v>250</v>
      </c>
      <c r="E195" s="2" t="s">
        <v>18</v>
      </c>
      <c r="F195" s="2" t="s">
        <v>99</v>
      </c>
      <c r="G195" s="2" t="s">
        <v>329</v>
      </c>
      <c r="H195" s="3">
        <v>6</v>
      </c>
      <c r="I195" s="2" t="s">
        <v>38</v>
      </c>
      <c r="J195" s="3">
        <v>6.49</v>
      </c>
      <c r="K195" s="11">
        <v>681449.97</v>
      </c>
      <c r="L195" s="3">
        <v>0.49</v>
      </c>
      <c r="M195" s="2" t="s">
        <v>22</v>
      </c>
      <c r="N195" s="2" t="s">
        <v>23</v>
      </c>
      <c r="O195" s="2" t="s">
        <v>30</v>
      </c>
    </row>
    <row r="196" spans="1:15" x14ac:dyDescent="0.25">
      <c r="A196" s="1">
        <v>46116</v>
      </c>
      <c r="B196" s="2" t="s">
        <v>399</v>
      </c>
      <c r="C196" s="2" t="s">
        <v>309</v>
      </c>
      <c r="D196" s="2" t="s">
        <v>328</v>
      </c>
      <c r="E196" s="2" t="s">
        <v>18</v>
      </c>
      <c r="F196" s="2" t="s">
        <v>76</v>
      </c>
      <c r="G196" s="2" t="s">
        <v>333</v>
      </c>
      <c r="H196" s="3">
        <v>3</v>
      </c>
      <c r="I196" s="2" t="s">
        <v>108</v>
      </c>
      <c r="J196" s="3">
        <v>3</v>
      </c>
      <c r="K196" s="11">
        <v>275999.99</v>
      </c>
      <c r="L196" s="3">
        <v>0</v>
      </c>
      <c r="M196" s="2" t="s">
        <v>22</v>
      </c>
      <c r="N196" s="2" t="s">
        <v>23</v>
      </c>
      <c r="O196" s="2" t="s">
        <v>30</v>
      </c>
    </row>
    <row r="197" spans="1:15" x14ac:dyDescent="0.25">
      <c r="A197" s="1">
        <v>46116</v>
      </c>
      <c r="B197" s="2" t="s">
        <v>400</v>
      </c>
      <c r="C197" s="2" t="s">
        <v>309</v>
      </c>
      <c r="D197" s="2" t="s">
        <v>168</v>
      </c>
      <c r="E197" s="2" t="s">
        <v>51</v>
      </c>
      <c r="F197" s="2" t="s">
        <v>81</v>
      </c>
      <c r="G197" s="2" t="s">
        <v>401</v>
      </c>
      <c r="H197" s="3">
        <v>2</v>
      </c>
      <c r="I197" s="2" t="s">
        <v>108</v>
      </c>
      <c r="J197" s="3">
        <v>2</v>
      </c>
      <c r="K197" s="11">
        <v>290000</v>
      </c>
      <c r="L197" s="3">
        <v>0</v>
      </c>
      <c r="M197" s="2" t="s">
        <v>22</v>
      </c>
      <c r="N197" s="2" t="s">
        <v>23</v>
      </c>
      <c r="O197" s="2" t="s">
        <v>30</v>
      </c>
    </row>
    <row r="198" spans="1:15" x14ac:dyDescent="0.25">
      <c r="A198" s="1">
        <v>46116</v>
      </c>
      <c r="B198" s="2" t="s">
        <v>402</v>
      </c>
      <c r="C198" s="2" t="s">
        <v>309</v>
      </c>
      <c r="D198" s="2" t="s">
        <v>403</v>
      </c>
      <c r="E198" s="2" t="s">
        <v>18</v>
      </c>
      <c r="F198" s="2" t="s">
        <v>92</v>
      </c>
      <c r="G198" s="2" t="s">
        <v>333</v>
      </c>
      <c r="H198" s="3">
        <v>12</v>
      </c>
      <c r="I198" s="2" t="s">
        <v>108</v>
      </c>
      <c r="J198" s="3">
        <v>12</v>
      </c>
      <c r="K198" s="11">
        <v>983999.99</v>
      </c>
      <c r="L198" s="3">
        <v>0</v>
      </c>
      <c r="M198" s="2" t="s">
        <v>22</v>
      </c>
      <c r="N198" s="2" t="s">
        <v>23</v>
      </c>
      <c r="O198" s="2" t="s">
        <v>30</v>
      </c>
    </row>
    <row r="199" spans="1:15" x14ac:dyDescent="0.25">
      <c r="A199" s="1">
        <v>46116</v>
      </c>
      <c r="B199" s="2" t="s">
        <v>404</v>
      </c>
      <c r="C199" s="2" t="s">
        <v>309</v>
      </c>
      <c r="D199" s="2" t="s">
        <v>405</v>
      </c>
      <c r="E199" s="2" t="s">
        <v>18</v>
      </c>
      <c r="F199" s="2" t="s">
        <v>96</v>
      </c>
      <c r="G199" s="2" t="s">
        <v>329</v>
      </c>
      <c r="H199" s="3">
        <v>15</v>
      </c>
      <c r="I199" s="2" t="s">
        <v>38</v>
      </c>
      <c r="J199" s="3">
        <v>15.09</v>
      </c>
      <c r="K199" s="11">
        <v>1388279.95</v>
      </c>
      <c r="L199" s="3">
        <v>0.09</v>
      </c>
      <c r="M199" s="2" t="s">
        <v>22</v>
      </c>
      <c r="N199" s="2" t="s">
        <v>23</v>
      </c>
      <c r="O199" s="2" t="s">
        <v>406</v>
      </c>
    </row>
    <row r="200" spans="1:15" x14ac:dyDescent="0.25">
      <c r="A200" s="1">
        <v>46116</v>
      </c>
      <c r="B200" s="2" t="s">
        <v>407</v>
      </c>
      <c r="C200" s="2" t="s">
        <v>309</v>
      </c>
      <c r="D200" s="2" t="s">
        <v>408</v>
      </c>
      <c r="E200" s="2" t="s">
        <v>18</v>
      </c>
      <c r="F200" s="2" t="s">
        <v>81</v>
      </c>
      <c r="G200" s="2" t="s">
        <v>315</v>
      </c>
      <c r="H200" s="3">
        <v>1</v>
      </c>
      <c r="I200" s="2" t="s">
        <v>29</v>
      </c>
      <c r="J200" s="3">
        <v>1</v>
      </c>
      <c r="K200" s="11">
        <v>888000</v>
      </c>
      <c r="L200" s="3">
        <v>0</v>
      </c>
      <c r="M200" s="2" t="s">
        <v>22</v>
      </c>
      <c r="N200" s="2" t="s">
        <v>23</v>
      </c>
      <c r="O200" s="2" t="s">
        <v>30</v>
      </c>
    </row>
    <row r="201" spans="1:15" x14ac:dyDescent="0.25">
      <c r="A201" s="1">
        <v>46116</v>
      </c>
      <c r="B201" s="2" t="s">
        <v>407</v>
      </c>
      <c r="C201" s="2" t="s">
        <v>309</v>
      </c>
      <c r="D201" s="2" t="s">
        <v>408</v>
      </c>
      <c r="E201" s="2" t="s">
        <v>18</v>
      </c>
      <c r="F201" s="2" t="s">
        <v>81</v>
      </c>
      <c r="G201" s="2" t="s">
        <v>409</v>
      </c>
      <c r="H201" s="3">
        <v>1</v>
      </c>
      <c r="I201" s="2" t="s">
        <v>321</v>
      </c>
      <c r="J201" s="3">
        <v>1</v>
      </c>
      <c r="K201" s="11">
        <v>164835</v>
      </c>
      <c r="L201" s="3">
        <v>0</v>
      </c>
      <c r="M201" s="2" t="s">
        <v>22</v>
      </c>
      <c r="N201" s="2" t="s">
        <v>23</v>
      </c>
      <c r="O201" s="2" t="s">
        <v>30</v>
      </c>
    </row>
    <row r="202" spans="1:15" x14ac:dyDescent="0.25">
      <c r="A202" s="1">
        <v>46116</v>
      </c>
      <c r="B202" s="2" t="s">
        <v>410</v>
      </c>
      <c r="C202" s="2" t="s">
        <v>309</v>
      </c>
      <c r="D202" s="2" t="s">
        <v>278</v>
      </c>
      <c r="E202" s="2" t="s">
        <v>51</v>
      </c>
      <c r="F202" s="2" t="s">
        <v>59</v>
      </c>
      <c r="G202" s="2" t="s">
        <v>411</v>
      </c>
      <c r="H202" s="3">
        <v>5</v>
      </c>
      <c r="I202" s="2" t="s">
        <v>38</v>
      </c>
      <c r="J202" s="3">
        <v>5.04</v>
      </c>
      <c r="K202" s="11">
        <v>554400</v>
      </c>
      <c r="L202" s="3">
        <v>0.04</v>
      </c>
      <c r="M202" s="2" t="s">
        <v>22</v>
      </c>
      <c r="N202" s="2" t="s">
        <v>23</v>
      </c>
      <c r="O202" s="2" t="s">
        <v>30</v>
      </c>
    </row>
    <row r="203" spans="1:15" x14ac:dyDescent="0.25">
      <c r="A203" s="1">
        <v>46116</v>
      </c>
      <c r="B203" s="2" t="s">
        <v>410</v>
      </c>
      <c r="C203" s="2" t="s">
        <v>309</v>
      </c>
      <c r="D203" s="2" t="s">
        <v>278</v>
      </c>
      <c r="E203" s="2" t="s">
        <v>51</v>
      </c>
      <c r="F203" s="2" t="s">
        <v>59</v>
      </c>
      <c r="G203" s="2" t="s">
        <v>335</v>
      </c>
      <c r="H203" s="3">
        <v>3</v>
      </c>
      <c r="I203" s="2" t="s">
        <v>29</v>
      </c>
      <c r="J203" s="3">
        <v>3</v>
      </c>
      <c r="K203" s="11">
        <v>202500</v>
      </c>
      <c r="L203" s="3">
        <v>0</v>
      </c>
      <c r="M203" s="2" t="s">
        <v>22</v>
      </c>
      <c r="N203" s="2" t="s">
        <v>23</v>
      </c>
      <c r="O203" s="2" t="s">
        <v>30</v>
      </c>
    </row>
    <row r="204" spans="1:15" x14ac:dyDescent="0.25">
      <c r="A204" s="1">
        <v>46116</v>
      </c>
      <c r="B204" s="2" t="s">
        <v>412</v>
      </c>
      <c r="C204" s="2" t="s">
        <v>309</v>
      </c>
      <c r="D204" s="2" t="s">
        <v>413</v>
      </c>
      <c r="E204" s="2" t="s">
        <v>18</v>
      </c>
      <c r="F204" s="2" t="s">
        <v>87</v>
      </c>
      <c r="G204" s="2" t="s">
        <v>414</v>
      </c>
      <c r="H204" s="3">
        <v>1</v>
      </c>
      <c r="I204" s="2" t="s">
        <v>29</v>
      </c>
      <c r="J204" s="3">
        <v>1</v>
      </c>
      <c r="K204" s="11">
        <v>248000</v>
      </c>
      <c r="L204" s="3">
        <v>0</v>
      </c>
      <c r="M204" s="2" t="s">
        <v>22</v>
      </c>
      <c r="N204" s="2" t="s">
        <v>23</v>
      </c>
      <c r="O204" s="2" t="s">
        <v>30</v>
      </c>
    </row>
    <row r="205" spans="1:15" x14ac:dyDescent="0.25">
      <c r="A205" s="1">
        <v>46116</v>
      </c>
      <c r="B205" s="2" t="s">
        <v>415</v>
      </c>
      <c r="C205" s="2" t="s">
        <v>309</v>
      </c>
      <c r="D205" s="2" t="s">
        <v>269</v>
      </c>
      <c r="E205" s="2" t="s">
        <v>18</v>
      </c>
      <c r="F205" s="2" t="s">
        <v>194</v>
      </c>
      <c r="G205" s="2" t="s">
        <v>329</v>
      </c>
      <c r="H205" s="3">
        <v>30</v>
      </c>
      <c r="I205" s="2" t="s">
        <v>38</v>
      </c>
      <c r="J205" s="3">
        <v>30.23</v>
      </c>
      <c r="K205" s="11">
        <v>2781159.9</v>
      </c>
      <c r="L205" s="3">
        <v>0.23</v>
      </c>
      <c r="M205" s="2" t="s">
        <v>22</v>
      </c>
      <c r="N205" s="2" t="s">
        <v>23</v>
      </c>
      <c r="O205" s="2" t="s">
        <v>30</v>
      </c>
    </row>
    <row r="206" spans="1:15" x14ac:dyDescent="0.25">
      <c r="A206" s="1">
        <v>46116</v>
      </c>
      <c r="B206" s="2" t="s">
        <v>416</v>
      </c>
      <c r="C206" s="2" t="s">
        <v>309</v>
      </c>
      <c r="D206" s="2" t="s">
        <v>417</v>
      </c>
      <c r="E206" s="2" t="s">
        <v>18</v>
      </c>
      <c r="F206" s="2" t="s">
        <v>99</v>
      </c>
      <c r="G206" s="2" t="s">
        <v>376</v>
      </c>
      <c r="H206" s="3">
        <v>1</v>
      </c>
      <c r="I206" s="2" t="s">
        <v>73</v>
      </c>
      <c r="J206" s="3">
        <v>1</v>
      </c>
      <c r="K206" s="11">
        <v>110000</v>
      </c>
      <c r="L206" s="3">
        <v>0</v>
      </c>
      <c r="M206" s="2" t="s">
        <v>22</v>
      </c>
      <c r="N206" s="2" t="s">
        <v>23</v>
      </c>
      <c r="O206" s="2" t="s">
        <v>30</v>
      </c>
    </row>
    <row r="207" spans="1:15" x14ac:dyDescent="0.25">
      <c r="A207" s="1">
        <v>46116</v>
      </c>
      <c r="B207" s="2" t="s">
        <v>416</v>
      </c>
      <c r="C207" s="2" t="s">
        <v>309</v>
      </c>
      <c r="D207" s="2" t="s">
        <v>417</v>
      </c>
      <c r="E207" s="2" t="s">
        <v>18</v>
      </c>
      <c r="F207" s="2" t="s">
        <v>99</v>
      </c>
      <c r="G207" s="2" t="s">
        <v>418</v>
      </c>
      <c r="H207" s="3">
        <v>1</v>
      </c>
      <c r="I207" s="2" t="s">
        <v>325</v>
      </c>
      <c r="J207" s="3">
        <v>1</v>
      </c>
      <c r="K207" s="11">
        <v>166500</v>
      </c>
      <c r="L207" s="3">
        <v>0</v>
      </c>
      <c r="M207" s="2" t="s">
        <v>22</v>
      </c>
      <c r="N207" s="2" t="s">
        <v>23</v>
      </c>
      <c r="O207" s="2" t="s">
        <v>30</v>
      </c>
    </row>
    <row r="208" spans="1:15" x14ac:dyDescent="0.25">
      <c r="A208" s="1">
        <v>46116</v>
      </c>
      <c r="B208" s="2" t="s">
        <v>419</v>
      </c>
      <c r="C208" s="2" t="s">
        <v>309</v>
      </c>
      <c r="D208" s="2" t="s">
        <v>420</v>
      </c>
      <c r="E208" s="2" t="s">
        <v>18</v>
      </c>
      <c r="F208" s="2" t="s">
        <v>96</v>
      </c>
      <c r="G208" s="2" t="s">
        <v>337</v>
      </c>
      <c r="H208" s="3">
        <v>2</v>
      </c>
      <c r="I208" s="2" t="s">
        <v>29</v>
      </c>
      <c r="J208" s="3">
        <v>2</v>
      </c>
      <c r="K208" s="11">
        <v>275000</v>
      </c>
      <c r="L208" s="3">
        <v>0</v>
      </c>
      <c r="M208" s="2" t="s">
        <v>22</v>
      </c>
      <c r="N208" s="2" t="s">
        <v>23</v>
      </c>
      <c r="O208" s="2" t="s">
        <v>30</v>
      </c>
    </row>
    <row r="209" spans="1:15" x14ac:dyDescent="0.25">
      <c r="A209" s="1">
        <v>46116</v>
      </c>
      <c r="B209" s="2" t="s">
        <v>419</v>
      </c>
      <c r="C209" s="2" t="s">
        <v>309</v>
      </c>
      <c r="D209" s="2" t="s">
        <v>420</v>
      </c>
      <c r="E209" s="2" t="s">
        <v>18</v>
      </c>
      <c r="F209" s="2" t="s">
        <v>96</v>
      </c>
      <c r="G209" s="2" t="s">
        <v>421</v>
      </c>
      <c r="H209" s="3">
        <v>1</v>
      </c>
      <c r="I209" s="2" t="s">
        <v>29</v>
      </c>
      <c r="J209" s="3">
        <v>1</v>
      </c>
      <c r="K209" s="11">
        <v>140000.01</v>
      </c>
      <c r="L209" s="3">
        <v>0</v>
      </c>
      <c r="M209" s="2" t="s">
        <v>22</v>
      </c>
      <c r="N209" s="2" t="s">
        <v>23</v>
      </c>
      <c r="O209" s="2" t="s">
        <v>30</v>
      </c>
    </row>
    <row r="210" spans="1:15" x14ac:dyDescent="0.25">
      <c r="A210" s="1">
        <v>46116</v>
      </c>
      <c r="B210" s="2" t="s">
        <v>422</v>
      </c>
      <c r="C210" s="2" t="s">
        <v>309</v>
      </c>
      <c r="D210" s="2" t="s">
        <v>305</v>
      </c>
      <c r="E210" s="2" t="s">
        <v>18</v>
      </c>
      <c r="F210" s="2" t="s">
        <v>230</v>
      </c>
      <c r="G210" s="2" t="s">
        <v>349</v>
      </c>
      <c r="H210" s="3">
        <v>3</v>
      </c>
      <c r="I210" s="2" t="s">
        <v>38</v>
      </c>
      <c r="J210" s="3">
        <v>3</v>
      </c>
      <c r="K210" s="11">
        <v>285000</v>
      </c>
      <c r="L210" s="3">
        <v>0</v>
      </c>
      <c r="M210" s="2" t="s">
        <v>22</v>
      </c>
      <c r="N210" s="2" t="s">
        <v>23</v>
      </c>
      <c r="O210" s="2" t="s">
        <v>30</v>
      </c>
    </row>
    <row r="211" spans="1:15" x14ac:dyDescent="0.25">
      <c r="A211" s="1">
        <v>46116</v>
      </c>
      <c r="B211" s="2" t="s">
        <v>423</v>
      </c>
      <c r="C211" s="2" t="s">
        <v>309</v>
      </c>
      <c r="D211" s="2" t="s">
        <v>305</v>
      </c>
      <c r="E211" s="2" t="s">
        <v>18</v>
      </c>
      <c r="F211" s="2" t="s">
        <v>230</v>
      </c>
      <c r="G211" s="2" t="s">
        <v>397</v>
      </c>
      <c r="H211" s="3">
        <v>7</v>
      </c>
      <c r="I211" s="2" t="s">
        <v>38</v>
      </c>
      <c r="J211" s="3">
        <v>5.75</v>
      </c>
      <c r="K211" s="11">
        <v>629625</v>
      </c>
      <c r="L211" s="3">
        <v>-1.25</v>
      </c>
      <c r="M211" s="2" t="s">
        <v>22</v>
      </c>
      <c r="N211" s="2" t="s">
        <v>23</v>
      </c>
      <c r="O211" s="2" t="s">
        <v>30</v>
      </c>
    </row>
    <row r="212" spans="1:15" x14ac:dyDescent="0.25">
      <c r="A212" s="1">
        <v>46116</v>
      </c>
      <c r="B212" s="2" t="s">
        <v>423</v>
      </c>
      <c r="C212" s="2" t="s">
        <v>309</v>
      </c>
      <c r="D212" s="2" t="s">
        <v>305</v>
      </c>
      <c r="E212" s="2" t="s">
        <v>18</v>
      </c>
      <c r="F212" s="2" t="s">
        <v>230</v>
      </c>
      <c r="G212" s="2" t="s">
        <v>424</v>
      </c>
      <c r="H212" s="3">
        <v>2</v>
      </c>
      <c r="I212" s="2" t="s">
        <v>156</v>
      </c>
      <c r="J212" s="3">
        <v>2</v>
      </c>
      <c r="K212" s="11">
        <v>849999.99</v>
      </c>
      <c r="L212" s="3">
        <v>0</v>
      </c>
      <c r="M212" s="2" t="s">
        <v>22</v>
      </c>
      <c r="N212" s="2" t="s">
        <v>23</v>
      </c>
      <c r="O212" s="2" t="s">
        <v>30</v>
      </c>
    </row>
    <row r="213" spans="1:15" x14ac:dyDescent="0.25">
      <c r="A213" s="1">
        <v>46116</v>
      </c>
      <c r="B213" s="2" t="s">
        <v>425</v>
      </c>
      <c r="C213" s="2" t="s">
        <v>309</v>
      </c>
      <c r="D213" s="2" t="s">
        <v>426</v>
      </c>
      <c r="E213" s="2" t="s">
        <v>18</v>
      </c>
      <c r="F213" s="2" t="s">
        <v>36</v>
      </c>
      <c r="G213" s="2" t="s">
        <v>427</v>
      </c>
      <c r="H213" s="3">
        <v>25</v>
      </c>
      <c r="I213" s="2" t="s">
        <v>38</v>
      </c>
      <c r="J213" s="3">
        <v>25</v>
      </c>
      <c r="K213" s="11">
        <v>3374999.96</v>
      </c>
      <c r="L213" s="3">
        <v>0</v>
      </c>
      <c r="M213" s="2" t="s">
        <v>22</v>
      </c>
      <c r="N213" s="2" t="s">
        <v>23</v>
      </c>
      <c r="O213" s="2" t="s">
        <v>30</v>
      </c>
    </row>
    <row r="214" spans="1:15" x14ac:dyDescent="0.25">
      <c r="K214" s="12">
        <f>SUM(K2:K213)</f>
        <v>212917267.07000002</v>
      </c>
    </row>
  </sheetData>
  <autoFilter ref="A1:O213" xr:uid="{00000000-0009-0000-0000-000000000000}"/>
  <pageMargins left="0.7" right="0.7" top="0.75" bottom="0.75" header="0.3" footer="0.3"/>
  <ignoredErrors>
    <ignoredError sqref="A1:O24 A116:O147 A100:O115 A98:O99 A76:O97 A69:O75 A59:O68 A32:O58 A25:O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2026-04-04T00:03:53Z</dcterms:created>
  <dcterms:modified xsi:type="dcterms:W3CDTF">2026-04-04T00:39:42Z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