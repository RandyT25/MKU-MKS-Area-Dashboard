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DB9E39F9-A2DF-7442-8149-5D7C68001962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Sheet!$A$1:$Q$102</definedName>
  </definedName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<sst xmlns="http://schemas.openxmlformats.org/spreadsheetml/2006/main" count="1155" uniqueCount="228">
  <si>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</si>
  <si>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</si>
  <si>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</si>
  <si>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</si>
  <si>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</si>
  <si>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</si>
  <si>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</si>
  <si>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</si>
  <si>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</si>
  <si>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</si>
  <si>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</si>
  <si>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</si>
  <si>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</si>
  <si>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</si>
  <si>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</si>
  <si>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</si>
  <si>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</si>
  <si>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SO-KS/2606/170001</t>
  </si>
  <si>
    <t>MKS Bali</t>
  </si>
  <si>
    <t>PT LOLOAN BALI / MEXICOLLA</t>
  </si>
  <si>
    <t>Credit</t>
  </si>
  <si>
    <t>Sujana</t>
  </si>
  <si>
    <t>PBA0250</t>
  </si>
  <si>
    <t>BALIAN Glass Still (750 ml x 12)</t>
  </si>
  <si>
    <t>CRT</t>
  </si>
  <si>
    <t>Invoice</t>
  </si>
  <si>
    <t>Sudah Jadi FJ</t>
  </si>
  <si>
    <t/>
  </si>
  <si>
    <t>PBA0251</t>
  </si>
  <si>
    <t>BALIAN Glass Sparkling (750 ml x 12)</t>
  </si>
  <si>
    <t>SO-KS/2606/170002</t>
  </si>
  <si>
    <t>PT. AMAN BALI NUSA LAUT (LUIGIS HOT PIZZA)</t>
  </si>
  <si>
    <t>Taufik</t>
  </si>
  <si>
    <t>SFM007</t>
  </si>
  <si>
    <t>Tepung Double Zero @25Kg/Sack</t>
  </si>
  <si>
    <t>SACK</t>
  </si>
  <si>
    <t>kirim KAMIS keluigis</t>
  </si>
  <si>
    <t>SO-KS/2606/170003</t>
  </si>
  <si>
    <t>PT BUMI CANGGU NUSANTARA ( MEXICOLA CANGGU )</t>
  </si>
  <si>
    <t>Tutup SO</t>
  </si>
  <si>
    <t>SO-KS/2606/170004</t>
  </si>
  <si>
    <t>OSTERIA LUNA ULUWATU</t>
  </si>
  <si>
    <t>Juni</t>
  </si>
  <si>
    <t>PBA0248</t>
  </si>
  <si>
    <t>BALIAN Glass Still (330 ml x 20)</t>
  </si>
  <si>
    <t>SO-KS/2606/170005</t>
  </si>
  <si>
    <t>SO-KS/2606/170006</t>
  </si>
  <si>
    <t>SO-KS/2606/170007</t>
  </si>
  <si>
    <t>NUMERO QUATTRO ECHO BEACH</t>
  </si>
  <si>
    <t>SO-KS/2606/170010</t>
  </si>
  <si>
    <t>SAYAN POINT</t>
  </si>
  <si>
    <t>Cash</t>
  </si>
  <si>
    <t>Picrom Stalyon</t>
  </si>
  <si>
    <t>PSJ0187</t>
  </si>
  <si>
    <t>Borello Topside</t>
  </si>
  <si>
    <t>KG</t>
  </si>
  <si>
    <t>SO-KS/2606/170011</t>
  </si>
  <si>
    <t>ROOM FOR DESSERT</t>
  </si>
  <si>
    <t>SO-KS/2606/170012</t>
  </si>
  <si>
    <t>SAIGON EXPRESS</t>
  </si>
  <si>
    <t>SFM009</t>
  </si>
  <si>
    <t>Tepung Hime @25Kg/Sack</t>
  </si>
  <si>
    <t>SO-KS/2606/170013</t>
  </si>
  <si>
    <t>MIE LEE</t>
  </si>
  <si>
    <t>PSF0003</t>
  </si>
  <si>
    <t>Tepung Tali Emas SP 022 @25kg/sack</t>
  </si>
  <si>
    <t>SO-KS/2606/170014</t>
  </si>
  <si>
    <t>LE CROISSANT</t>
  </si>
  <si>
    <t>I MADE LUIH</t>
  </si>
  <si>
    <t>SO-KS/2606/170016</t>
  </si>
  <si>
    <t>SO-KS/2606/170019</t>
  </si>
  <si>
    <t>PT VISTA  PADANG ASRI (SUARGA)</t>
  </si>
  <si>
    <t>Monica</t>
  </si>
  <si>
    <t>PBA0249</t>
  </si>
  <si>
    <t>BALIAN Glass Sparkling (330 ml x 20)</t>
  </si>
  <si>
    <t>SO-KS/2606/170020</t>
  </si>
  <si>
    <t>TEJA ULUWATU</t>
  </si>
  <si>
    <t>SO-KS/2606/170021</t>
  </si>
  <si>
    <t>SANUR RESORT WATU JIMBAR</t>
  </si>
  <si>
    <t>I Made Luih (Sanur)</t>
  </si>
  <si>
    <t>PLN0005</t>
  </si>
  <si>
    <t>RICH CRÈME ND 08 1000G POUCH</t>
  </si>
  <si>
    <t>POU</t>
  </si>
  <si>
    <t>SO-KS/2606/170022</t>
  </si>
  <si>
    <t>LOSTERIA LABUAN SAIT</t>
  </si>
  <si>
    <t>SO-KS/2606/170023</t>
  </si>
  <si>
    <t>ARTE UBUD</t>
  </si>
  <si>
    <t>PBA0001</t>
  </si>
  <si>
    <t>BALIAN Glass Still (330 ml x 12)</t>
  </si>
  <si>
    <t>KTN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</si>
  <si>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</si>
  <si>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</si>
  <si>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</si>
  <si>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</si>
  <si>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</si>
  <si>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</si>
  <si>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SO-KS/2606/170024</t>
  </si>
  <si>
    <t>SANGSAKA RESTAURANT</t>
  </si>
  <si>
    <t>SO-KS/2606/170025</t>
  </si>
  <si>
    <t>BALI RANI HOTEL</t>
  </si>
  <si>
    <t>LANI</t>
  </si>
  <si>
    <t>120007</t>
  </si>
  <si>
    <t>Tepung Double Zero 1kg/pack</t>
  </si>
  <si>
    <t>SO-KS/2606/170029</t>
  </si>
  <si>
    <t>BALI MANDIRA</t>
  </si>
  <si>
    <t>SO-KS/2606/170032</t>
  </si>
  <si>
    <t>INTERCONTINENTAL BALI RESORT</t>
  </si>
  <si>
    <t>080241</t>
  </si>
  <si>
    <t>THE ALTERNATIVE Barista Almond Milk 1 Lt</t>
  </si>
  <si>
    <t>PCS</t>
  </si>
  <si>
    <t>SO-KS/2606/170035</t>
  </si>
  <si>
    <t>RAJAKLANA</t>
  </si>
  <si>
    <t>SFM018</t>
  </si>
  <si>
    <t>Tepung Ninja @25Kg/Sack</t>
  </si>
  <si>
    <t>SO-KS/2606/170038</t>
  </si>
  <si>
    <t>MASONRY CANGGU</t>
  </si>
  <si>
    <t>SO-KS/2606/170059</t>
  </si>
  <si>
    <t>UNO GROUP</t>
  </si>
  <si>
    <t>dikirim ke Uno sanur, jalan danau Tamblingan</t>
  </si>
  <si>
    <t>SO-KS/2606/170060</t>
  </si>
  <si>
    <t>PIXEL PLAYSTATION RENTAL</t>
  </si>
  <si>
    <t>NP1</t>
  </si>
  <si>
    <t>020011</t>
  </si>
  <si>
    <t>Nestle Dark Cocoa Drink Npro 1kg/Pack</t>
  </si>
  <si>
    <t>PACK</t>
  </si>
  <si>
    <t>060013</t>
  </si>
  <si>
    <t>Nestea Lemon Tea 1kg/Pack</t>
  </si>
  <si>
    <t>060015</t>
  </si>
  <si>
    <t>Nestea Lychee Tea Npro 560gr/Pack</t>
  </si>
  <si>
    <t>SO-KS/2606/170063</t>
  </si>
  <si>
    <t>FOUR SEASON RESORT BALI</t>
  </si>
  <si>
    <t>PBA0005</t>
  </si>
  <si>
    <t>BALIAN Crate Still 330 ml (Deposit)</t>
  </si>
  <si>
    <t>PBA0006</t>
  </si>
  <si>
    <t>BALIAN Crate Sparkling 330 ml (Deposit)</t>
  </si>
  <si>
    <t>PBA0008</t>
  </si>
  <si>
    <t>BALIAN Crate Sparkling 750 ml (Deposit)</t>
  </si>
  <si>
    <t>PBA0009</t>
  </si>
  <si>
    <t>BALIAN Return Bottle Glass 330 ml (Deposit)</t>
  </si>
  <si>
    <t>PBA0252</t>
  </si>
  <si>
    <t>BALIAN Return Bottle Glass 750 ml (Deposit)</t>
  </si>
  <si>
    <t>SO-KS/2606/170064</t>
  </si>
  <si>
    <t>BALI SILENT RETREAT TABANAN</t>
  </si>
  <si>
    <t>SO-KS/2606/170065</t>
  </si>
  <si>
    <t>AKASA KINTAMANI</t>
  </si>
  <si>
    <t>120006</t>
  </si>
  <si>
    <t>Tepung Crispy Ala Kentucky 1kg/pack</t>
  </si>
  <si>
    <t xml:space="preserve"> KIRIM KINTAMANI</t>
  </si>
  <si>
    <t>SO-KS/2606/170066</t>
  </si>
  <si>
    <t>DAENG BURGER UMALAS</t>
  </si>
  <si>
    <t>Dewi Kristiani</t>
  </si>
  <si>
    <t>SO-KS/2606/170067</t>
  </si>
  <si>
    <t>PAPERHILLS</t>
  </si>
  <si>
    <t>SFM052</t>
  </si>
  <si>
    <t>Inofa Heat Treated Wheat Flour SF 346 @25kg/sack</t>
  </si>
  <si>
    <t>KIRIM KINTAMANI</t>
  </si>
  <si>
    <t>SO-KS/2606/170068</t>
  </si>
  <si>
    <t>HARMONY HEALTH AND WELNESS</t>
  </si>
  <si>
    <t>PLN0003</t>
  </si>
  <si>
    <t>ELLENKA BARISTA COCONUT MILK 1000ML APL</t>
  </si>
  <si>
    <t>SO-KS/2606/170069</t>
  </si>
  <si>
    <t>OMNI GYM &amp; WELLNESS</t>
  </si>
  <si>
    <t>SO-KS/2606/170071</t>
  </si>
  <si>
    <t>FEBRIS HOTEL</t>
  </si>
  <si>
    <t>PPA0092</t>
  </si>
  <si>
    <t>Emborg Pizza Topping 2.3 Kg</t>
  </si>
  <si>
    <t>2 loaf</t>
  </si>
  <si>
    <t>SO-KS/2606/170072</t>
  </si>
  <si>
    <t>SULIS HOTEL</t>
  </si>
  <si>
    <t>SO-KS/2606/170074</t>
  </si>
  <si>
    <t>GRANDLUCKY UDAYANA</t>
  </si>
  <si>
    <t>Ni Ketut Sriasih (MT)</t>
  </si>
  <si>
    <t>SO-KS/2606/170075</t>
  </si>
  <si>
    <t>GRANDLUCKY SUNSET ROAD</t>
  </si>
  <si>
    <t>Ni Ketut Sriasih (GT)</t>
  </si>
  <si>
    <t>SO-KS/2606/170076</t>
  </si>
  <si>
    <t>GRANDLUCKY SANUR</t>
  </si>
  <si>
    <t>SO-KS/2606/170077</t>
  </si>
  <si>
    <t>OCULUS HOTEL KINTAMANI</t>
  </si>
  <si>
    <t xml:space="preserve"> KIRIM KINTAMANI
</t>
  </si>
  <si>
    <t>SO-KS/2606/170079</t>
  </si>
  <si>
    <t>CAPRI BALI</t>
  </si>
  <si>
    <t>SO-KS/2606/170081</t>
  </si>
  <si>
    <t>060019</t>
  </si>
  <si>
    <t>Nestle Orange Pouch NP 560gr/Pack</t>
  </si>
  <si>
    <t>Dikirim jalur kintamani</t>
  </si>
  <si>
    <t>SO-KS/2606/170082</t>
  </si>
  <si>
    <t>ELOK CAFE ULUWATU</t>
  </si>
  <si>
    <t>SO-KS/2606/170083</t>
  </si>
  <si>
    <t>WAPA DI UMA SIDEMEN</t>
  </si>
  <si>
    <t>SO-KS/2606/170084</t>
  </si>
  <si>
    <t>NYOMAN'S COFFEE</t>
  </si>
  <si>
    <t>KIRIM KE SANUR
(Jl. Batur Sari No.34, Sanur Kauh)</t>
  </si>
  <si>
    <t>SO-KS/2606/170085</t>
  </si>
  <si>
    <t>BAMBU BALI ULUWATU</t>
  </si>
  <si>
    <t>PSJ0228</t>
  </si>
  <si>
    <t>Premium Minced Beef (2.5kg/pack)</t>
  </si>
  <si>
    <t>cafe 9 loaf</t>
  </si>
  <si>
    <t>PSJ0007</t>
  </si>
  <si>
    <t>Friboi Brazil Tenderloin Whole</t>
  </si>
  <si>
    <t>SO-KS/2606/170086</t>
  </si>
  <si>
    <t xml:space="preserve"> oasis 9 loaf</t>
  </si>
  <si>
    <t>SO-KS/2606/170087</t>
  </si>
  <si>
    <t>SO-KS/2606/170088</t>
  </si>
  <si>
    <t>GIGI SUSU</t>
  </si>
  <si>
    <t>SO-KS/2606/170089</t>
  </si>
  <si>
    <t>TABU ULUWATU</t>
  </si>
  <si>
    <t>PSJ0046</t>
  </si>
  <si>
    <t>Allana Tenderloin Whole</t>
  </si>
  <si>
    <t>SO-KS/2606/170090</t>
  </si>
  <si>
    <t>MERUSAKA NUSA DUA</t>
  </si>
  <si>
    <t>SO-KS/2606/170091</t>
  </si>
  <si>
    <t>SO-KS/2606/170092</t>
  </si>
  <si>
    <t>CRYPTO CAFE BALI</t>
  </si>
  <si>
    <t>SO-KS/2606/170093</t>
  </si>
  <si>
    <t>PT. MADE BALLIE KOPI ( DAILY BAGUETTE ICON MALL )</t>
  </si>
  <si>
    <t>DAILY BAGUETTE ICON MALL</t>
  </si>
  <si>
    <t>SO-RT/2606/180001</t>
  </si>
  <si>
    <t>RETAIL DAS BISTRO</t>
  </si>
  <si>
    <t>SALES RETAIL</t>
  </si>
  <si>
    <t>PPB0110</t>
  </si>
  <si>
    <t>Rye Sourdough (Bakery)</t>
  </si>
  <si>
    <t>SO-RT/2606/180002</t>
  </si>
  <si>
    <t>KCL0020</t>
  </si>
  <si>
    <t>Andros FMU Strawberry Pink Guava 90 Gr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</si>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</sst>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91.38952326389" createdVersion="8" refreshedVersion="8" minRefreshableVersion="3" recordCount="101" xr:uid="{8AB9B48E-0ADD-474D-AB75-4738E563187D}">
  <cacheSource type="worksheet">
    <worksheetSource ref="A1:Q102" sheet="Sheet"/>
  </cacheSource>
  <cacheFields count="17">
    <cacheField name="Tgl Kirim" numFmtId="164">
      <sharedItems containsSemiMixedTypes="0" containsNonDate="0" containsDate="1" containsString="0" minDate="2026-06-18T00:00:00" maxDate="2026-06-19T00:00:00"/>
    </cacheField>
    <cacheField name="Tgl SO" numFmtId="164">
      <sharedItems containsSemiMixedTypes="0" containsNonDate="0" containsDate="1" containsString="0" minDate="2026-06-17T00:00:00" maxDate="2026-06-19T00:00:00"/>
    </cacheField>
    <cacheField name="No SO" numFmtId="0">
      <sharedItems/>
    </cacheField>
    <cacheField name="Nama Divisi" numFmtId="0">
      <sharedItems/>
    </cacheField>
    <cacheField name="Nama Customer" numFmtId="0">
      <sharedItems count="47">
        <s v="PT LOLOAN BALI / MEXICOLLA"/>
        <s v="PT. AMAN BALI NUSA LAUT (LUIGIS HOT PIZZA)"/>
        <s v="PT BUMI CANGGU NUSANTARA ( MEXICOLA CANGGU )"/>
        <s v="OSTERIA LUNA ULUWATU"/>
        <s v="NUMERO QUATTRO ECHO BEACH"/>
        <s v="SAYAN POINT"/>
        <s v="ROOM FOR DESSERT"/>
        <s v="SAIGON EXPRESS"/>
        <s v="MIE LEE"/>
        <s v="LE CROISSANT"/>
        <s v="PT VISTA  PADANG ASRI (SUARGA)"/>
        <s v="TEJA ULUWATU"/>
        <s v="SANUR RESORT WATU JIMBAR"/>
        <s v="LOSTERIA LABUAN SAIT"/>
        <s v="ARTE UBUD"/>
        <s v="SANGSAKA RESTAURANT"/>
        <s v="BALI RANI HOTEL"/>
        <s v="BALI MANDIRA"/>
        <s v="INTERCONTINENTAL BALI RESORT"/>
        <s v="RAJAKLANA"/>
        <s v="MASONRY CANGGU"/>
        <s v="UNO GROUP"/>
        <s v="PIXEL PLAYSTATION RENTAL"/>
        <s v="FOUR SEASON RESORT BALI"/>
        <s v="BALI SILENT RETREAT TABANAN"/>
        <s v="AKASA KINTAMANI"/>
        <s v="DAENG BURGER UMALAS"/>
        <s v="PAPERHILLS"/>
        <s v="HARMONY HEALTH AND WELNESS"/>
        <s v="OMNI GYM &amp; WELLNESS"/>
        <s v="FEBRIS HOTEL"/>
        <s v="SULIS HOTEL"/>
        <s v="GRANDLUCKY UDAYANA"/>
        <s v="GRANDLUCKY SUNSET ROAD"/>
        <s v="GRANDLUCKY SANUR"/>
        <s v="OCULUS HOTEL KINTAMANI"/>
        <s v="CAPRI BALI"/>
        <s v="ELOK CAFE ULUWATU"/>
        <s v="WAPA DI UMA SIDEMEN"/>
        <s v="NYOMAN'S COFFEE"/>
        <s v="BAMBU BALI ULUWATU"/>
        <s v="GIGI SUSU"/>
        <s v="TABU ULUWATU"/>
        <s v="MERUSAKA NUSA DUA"/>
        <s v="CRYPTO CAFE BALI"/>
        <s v="PT. MADE BALLIE KOPI ( DAILY BAGUETTE ICON MALL )"/>
        <s v="RETAIL 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3">
        <s v="Sujana"/>
        <s v="Taufik"/>
        <s v="Juni"/>
        <s v="Picrom Stalyon"/>
        <s v="I MADE LUIH"/>
        <s v="Monica"/>
        <s v="I Made Luih (Sanur)"/>
        <s v="LANI"/>
        <s v="NP1"/>
        <s v="Dewi Kristiani"/>
        <s v="Ni Ketut Sriasih (MT)"/>
        <s v="Ni Ketut Sriasih (GT)"/>
        <s v="SALES RETAIL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00"/>
    </cacheField>
    <cacheField name="Satuan" numFmtId="0">
      <sharedItems/>
    </cacheField>
    <cacheField name="FJ (Pcs)" numFmtId="165">
      <sharedItems containsSemiMixedTypes="0" containsString="0" containsNumber="1" minValue="0" maxValue="600"/>
    </cacheField>
    <cacheField name="Sub T.Jual(Rp)" numFmtId="165">
      <sharedItems containsSemiMixedTypes="0" containsString="0" containsNumber="1" minValue="0" maxValue="15040000"/>
    </cacheField>
    <cacheField name="BS-SO(Pcs)" numFmtId="165">
      <sharedItems containsSemiMixedTypes="0" containsString="0" containsNumber="1" minValue="-30" maxValue="8.379899999999999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6-06-18T00:00:00"/>
    <d v="2026-06-17T00:00:00"/>
    <s v="SO-KS/2606/170001"/>
    <s v="MKS Bali"/>
    <x v="0"/>
    <x v="0"/>
    <x v="0"/>
    <s v="PBA0250"/>
    <s v="BALIAN Glass Still (750 ml x 12)"/>
    <n v="50"/>
    <s v="CRT"/>
    <n v="50"/>
    <n v="7800000.5300000003"/>
    <n v="0"/>
    <s v="Invoice"/>
    <s v="Sudah Jadi FJ"/>
    <s v=""/>
  </r>
  <r>
    <d v="2026-06-18T00:00:00"/>
    <d v="2026-06-17T00:00:00"/>
    <s v="SO-KS/2606/170001"/>
    <s v="MKS Bali"/>
    <x v="0"/>
    <x v="0"/>
    <x v="0"/>
    <s v="PBA0251"/>
    <s v="BALIAN Glass Sparkling (750 ml x 12)"/>
    <n v="5"/>
    <s v="CRT"/>
    <n v="5"/>
    <n v="780000.05"/>
    <n v="0"/>
    <s v="Invoice"/>
    <s v="Sudah Jadi FJ"/>
    <s v=""/>
  </r>
  <r>
    <d v="2026-06-18T00:00:00"/>
    <d v="2026-06-17T00:00:00"/>
    <s v="SO-KS/2606/170002"/>
    <s v="MKS Bali"/>
    <x v="1"/>
    <x v="0"/>
    <x v="1"/>
    <s v="SFM007"/>
    <s v="Tepung Double Zero @25Kg/Sack"/>
    <n v="3"/>
    <s v="SACK"/>
    <n v="3"/>
    <n v="900000"/>
    <n v="0"/>
    <s v="Invoice"/>
    <s v="Sudah Jadi FJ"/>
    <s v="kirim KAMIS keluigis"/>
  </r>
  <r>
    <d v="2026-06-18T00:00:00"/>
    <d v="2026-06-17T00:00:00"/>
    <s v="SO-KS/2606/170003"/>
    <s v="MKS Bali"/>
    <x v="2"/>
    <x v="0"/>
    <x v="1"/>
    <s v="PBA0250"/>
    <s v="BALIAN Glass Still (750 ml x 12)"/>
    <n v="30"/>
    <s v="CRT"/>
    <n v="0"/>
    <n v="0"/>
    <n v="-30"/>
    <s v="Invoice"/>
    <s v="Tutup SO"/>
    <s v=""/>
  </r>
  <r>
    <d v="2026-06-18T00:00:00"/>
    <d v="2026-06-17T00:00:00"/>
    <s v="SO-KS/2606/170003"/>
    <s v="MKS Bali"/>
    <x v="2"/>
    <x v="0"/>
    <x v="1"/>
    <s v="PBA0251"/>
    <s v="BALIAN Glass Sparkling (750 ml x 12)"/>
    <n v="5"/>
    <s v="CRT"/>
    <n v="0"/>
    <n v="0"/>
    <n v="-5"/>
    <s v="Invoice"/>
    <s v="Tutup SO"/>
    <s v=""/>
  </r>
  <r>
    <d v="2026-06-18T00:00:00"/>
    <d v="2026-06-17T00:00:00"/>
    <s v="SO-KS/2606/170004"/>
    <s v="MKS Bali"/>
    <x v="3"/>
    <x v="0"/>
    <x v="2"/>
    <s v="PBA0248"/>
    <s v="BALIAN Glass Still (330 ml x 20)"/>
    <n v="3"/>
    <s v="CRT"/>
    <n v="3"/>
    <n v="486000"/>
    <n v="0"/>
    <s v="Invoice"/>
    <s v="Sudah Jadi FJ"/>
    <s v=""/>
  </r>
  <r>
    <d v="2026-06-18T00:00:00"/>
    <d v="2026-06-17T00:00:00"/>
    <s v="SO-KS/2606/170004"/>
    <s v="MKS Bali"/>
    <x v="3"/>
    <x v="0"/>
    <x v="2"/>
    <s v="PBA0250"/>
    <s v="BALIAN Glass Still (750 ml x 12)"/>
    <n v="11"/>
    <s v="CRT"/>
    <n v="11"/>
    <n v="1861200.09"/>
    <n v="0"/>
    <s v="Invoice"/>
    <s v="Sudah Jadi FJ"/>
    <s v=""/>
  </r>
  <r>
    <d v="2026-06-18T00:00:00"/>
    <d v="2026-06-17T00:00:00"/>
    <s v="SO-KS/2606/170004"/>
    <s v="MKS Bali"/>
    <x v="3"/>
    <x v="0"/>
    <x v="2"/>
    <s v="PBA0251"/>
    <s v="BALIAN Glass Sparkling (750 ml x 12)"/>
    <n v="5"/>
    <s v="CRT"/>
    <n v="5"/>
    <n v="899999.99"/>
    <n v="0"/>
    <s v="Invoice"/>
    <s v="Sudah Jadi FJ"/>
    <s v=""/>
  </r>
  <r>
    <d v="2026-06-18T00:00:00"/>
    <d v="2026-06-17T00:00:00"/>
    <s v="SO-KS/2606/170005"/>
    <s v="MKS Bali"/>
    <x v="2"/>
    <x v="0"/>
    <x v="1"/>
    <s v="PBA0250"/>
    <s v="BALIAN Glass Still (750 ml x 12)"/>
    <n v="30"/>
    <s v="CRT"/>
    <n v="30"/>
    <n v="4680000.32"/>
    <n v="0"/>
    <s v="Invoice"/>
    <s v="Sudah Jadi FJ"/>
    <s v=""/>
  </r>
  <r>
    <d v="2026-06-18T00:00:00"/>
    <d v="2026-06-17T00:00:00"/>
    <s v="SO-KS/2606/170006"/>
    <s v="MKS Bali"/>
    <x v="2"/>
    <x v="0"/>
    <x v="1"/>
    <s v="PBA0251"/>
    <s v="BALIAN Glass Sparkling (750 ml x 12)"/>
    <n v="5"/>
    <s v="CRT"/>
    <n v="5"/>
    <n v="780000.05"/>
    <n v="0"/>
    <s v="Invoice"/>
    <s v="Sudah Jadi FJ"/>
    <s v=""/>
  </r>
  <r>
    <d v="2026-06-18T00:00:00"/>
    <d v="2026-06-17T00:00:00"/>
    <s v="SO-KS/2606/170007"/>
    <s v="MKS Bali"/>
    <x v="4"/>
    <x v="0"/>
    <x v="1"/>
    <s v="PBA0251"/>
    <s v="BALIAN Glass Sparkling (750 ml x 12)"/>
    <n v="4"/>
    <s v="CRT"/>
    <n v="4"/>
    <n v="719999.99"/>
    <n v="0"/>
    <s v="Invoice"/>
    <s v="Sudah Jadi FJ"/>
    <s v=""/>
  </r>
  <r>
    <d v="2026-06-18T00:00:00"/>
    <d v="2026-06-17T00:00:00"/>
    <s v="SO-KS/2606/170007"/>
    <s v="MKS Bali"/>
    <x v="4"/>
    <x v="0"/>
    <x v="1"/>
    <s v="PBA0250"/>
    <s v="BALIAN Glass Still (750 ml x 12)"/>
    <n v="7"/>
    <s v="CRT"/>
    <n v="7"/>
    <n v="1259999.98"/>
    <n v="0"/>
    <s v="Invoice"/>
    <s v="Sudah Jadi FJ"/>
    <s v=""/>
  </r>
  <r>
    <d v="2026-06-18T00:00:00"/>
    <d v="2026-06-17T00:00:00"/>
    <s v="SO-KS/2606/170010"/>
    <s v="MKS Bali"/>
    <x v="5"/>
    <x v="1"/>
    <x v="3"/>
    <s v="PSJ0187"/>
    <s v="Borello Topside"/>
    <n v="8"/>
    <s v="KG"/>
    <n v="14.3599"/>
    <n v="2513000"/>
    <n v="6.3598999999999997"/>
    <s v="Invoice"/>
    <s v="Sudah Jadi FJ"/>
    <s v=""/>
  </r>
  <r>
    <d v="2026-06-18T00:00:00"/>
    <d v="2026-06-17T00:00:00"/>
    <s v="SO-KS/2606/170011"/>
    <s v="MKS Bali"/>
    <x v="6"/>
    <x v="1"/>
    <x v="3"/>
    <s v="SFM007"/>
    <s v="Tepung Double Zero @25Kg/Sack"/>
    <n v="2"/>
    <s v="SACK"/>
    <n v="2"/>
    <n v="654900"/>
    <n v="0"/>
    <s v="Invoice"/>
    <s v="Sudah Jadi FJ"/>
    <s v=""/>
  </r>
  <r>
    <d v="2026-06-18T00:00:00"/>
    <d v="2026-06-17T00:00:00"/>
    <s v="SO-KS/2606/170012"/>
    <s v="MKS Bali"/>
    <x v="7"/>
    <x v="1"/>
    <x v="2"/>
    <s v="SFM009"/>
    <s v="Tepung Hime @25Kg/Sack"/>
    <n v="1"/>
    <s v="SACK"/>
    <n v="1"/>
    <n v="355200"/>
    <n v="0"/>
    <s v="Invoice"/>
    <s v="Sudah Jadi FJ"/>
    <s v=""/>
  </r>
  <r>
    <d v="2026-06-18T00:00:00"/>
    <d v="2026-06-17T00:00:00"/>
    <s v="SO-KS/2606/170013"/>
    <s v="MKS Bali"/>
    <x v="8"/>
    <x v="1"/>
    <x v="2"/>
    <s v="PSF0003"/>
    <s v="Tepung Tali Emas SP 022 @25kg/sack"/>
    <n v="2"/>
    <s v="SACK"/>
    <n v="2"/>
    <n v="470000.02"/>
    <n v="0"/>
    <s v="Invoice"/>
    <s v="Sudah Jadi FJ"/>
    <s v=""/>
  </r>
  <r>
    <d v="2026-06-18T00:00:00"/>
    <d v="2026-06-17T00:00:00"/>
    <s v="SO-KS/2606/170014"/>
    <s v="MKS Bali"/>
    <x v="9"/>
    <x v="1"/>
    <x v="4"/>
    <s v="SFM007"/>
    <s v="Tepung Double Zero @25Kg/Sack"/>
    <n v="1"/>
    <s v="SACK"/>
    <n v="1"/>
    <n v="285000"/>
    <n v="0"/>
    <s v="Invoice"/>
    <s v="Sudah Jadi FJ"/>
    <s v=""/>
  </r>
  <r>
    <d v="2026-06-18T00:00:00"/>
    <d v="2026-06-17T00:00:00"/>
    <s v="SO-KS/2606/170016"/>
    <s v="MKS Bali"/>
    <x v="4"/>
    <x v="0"/>
    <x v="1"/>
    <s v="PBA0250"/>
    <s v="BALIAN Glass Still (750 ml x 12)"/>
    <n v="7"/>
    <s v="CRT"/>
    <n v="0"/>
    <n v="0"/>
    <n v="-7"/>
    <s v="Invoice"/>
    <s v="Tutup SO"/>
    <s v=""/>
  </r>
  <r>
    <d v="2026-06-18T00:00:00"/>
    <d v="2026-06-17T00:00:00"/>
    <s v="SO-KS/2606/170016"/>
    <s v="MKS Bali"/>
    <x v="4"/>
    <x v="0"/>
    <x v="1"/>
    <s v="PBA0251"/>
    <s v="BALIAN Glass Sparkling (750 ml x 12)"/>
    <n v="4"/>
    <s v="CRT"/>
    <n v="0"/>
    <n v="0"/>
    <n v="-4"/>
    <s v="Invoice"/>
    <s v="Tutup SO"/>
    <s v=""/>
  </r>
  <r>
    <d v="2026-06-18T00:00:00"/>
    <d v="2026-06-17T00:00:00"/>
    <s v="SO-KS/2606/170019"/>
    <s v="MKS Bali"/>
    <x v="10"/>
    <x v="0"/>
    <x v="5"/>
    <s v="PBA0251"/>
    <s v="BALIAN Glass Sparkling (750 ml x 12)"/>
    <n v="1"/>
    <s v="CRT"/>
    <n v="1"/>
    <n v="180000"/>
    <n v="0"/>
    <s v="Invoice"/>
    <s v="Sudah Jadi FJ"/>
    <s v=""/>
  </r>
  <r>
    <d v="2026-06-18T00:00:00"/>
    <d v="2026-06-17T00:00:00"/>
    <s v="SO-KS/2606/170019"/>
    <s v="MKS Bali"/>
    <x v="10"/>
    <x v="0"/>
    <x v="5"/>
    <s v="PBA0250"/>
    <s v="BALIAN Glass Still (750 ml x 12)"/>
    <n v="3"/>
    <s v="CRT"/>
    <n v="3"/>
    <n v="539999.99"/>
    <n v="0"/>
    <s v="Invoice"/>
    <s v="Sudah Jadi FJ"/>
    <s v=""/>
  </r>
  <r>
    <d v="2026-06-18T00:00:00"/>
    <d v="2026-06-17T00:00:00"/>
    <s v="SO-KS/2606/170019"/>
    <s v="MKS Bali"/>
    <x v="10"/>
    <x v="0"/>
    <x v="5"/>
    <s v="PBA0249"/>
    <s v="BALIAN Glass Sparkling (330 ml x 20)"/>
    <n v="1"/>
    <s v="CRT"/>
    <n v="1"/>
    <n v="180000"/>
    <n v="0"/>
    <s v="Invoice"/>
    <s v="Sudah Jadi FJ"/>
    <s v=""/>
  </r>
  <r>
    <d v="2026-06-18T00:00:00"/>
    <d v="2026-06-17T00:00:00"/>
    <s v="SO-KS/2606/170020"/>
    <s v="MKS Bali"/>
    <x v="11"/>
    <x v="1"/>
    <x v="2"/>
    <s v="PBA0250"/>
    <s v="BALIAN Glass Still (750 ml x 12)"/>
    <n v="20"/>
    <s v="CRT"/>
    <n v="20"/>
    <n v="3599999.95"/>
    <n v="0"/>
    <s v="Invoice"/>
    <s v="Sudah Jadi FJ"/>
    <s v=""/>
  </r>
  <r>
    <d v="2026-06-18T00:00:00"/>
    <d v="2026-06-17T00:00:00"/>
    <s v="SO-KS/2606/170021"/>
    <s v="MKS Bali"/>
    <x v="12"/>
    <x v="0"/>
    <x v="6"/>
    <s v="PLN0005"/>
    <s v="RICH CRÈME ND 08 1000G POUCH"/>
    <n v="12"/>
    <s v="POU"/>
    <n v="12"/>
    <n v="719280"/>
    <n v="0"/>
    <s v="Invoice"/>
    <s v="Sudah Jadi FJ"/>
    <s v=""/>
  </r>
  <r>
    <d v="2026-06-18T00:00:00"/>
    <d v="2026-06-17T00:00:00"/>
    <s v="SO-KS/2606/170022"/>
    <s v="MKS Bali"/>
    <x v="13"/>
    <x v="0"/>
    <x v="2"/>
    <s v="PBA0249"/>
    <s v="BALIAN Glass Sparkling (330 ml x 20)"/>
    <n v="1"/>
    <s v="CRT"/>
    <n v="1"/>
    <n v="180000"/>
    <n v="0"/>
    <s v="Invoice"/>
    <s v="Sudah Jadi FJ"/>
    <s v=""/>
  </r>
  <r>
    <d v="2026-06-18T00:00:00"/>
    <d v="2026-06-17T00:00:00"/>
    <s v="SO-KS/2606/170022"/>
    <s v="MKS Bali"/>
    <x v="13"/>
    <x v="0"/>
    <x v="2"/>
    <s v="PBA0248"/>
    <s v="BALIAN Glass Still (330 ml x 20)"/>
    <n v="7"/>
    <s v="CRT"/>
    <n v="7"/>
    <n v="1119999.97"/>
    <n v="0"/>
    <s v="Invoice"/>
    <s v="Sudah Jadi FJ"/>
    <s v=""/>
  </r>
  <r>
    <d v="2026-06-18T00:00:00"/>
    <d v="2026-06-17T00:00:00"/>
    <s v="SO-KS/2606/170023"/>
    <s v="MKS Bali"/>
    <x v="14"/>
    <x v="0"/>
    <x v="3"/>
    <s v="PBA0001"/>
    <s v="BALIAN Glass Still (330 ml x 12)"/>
    <n v="6"/>
    <s v="KTN"/>
    <n v="6"/>
    <n v="792000.01"/>
    <n v="0"/>
    <s v="Invoice"/>
    <s v="Sudah Jadi FJ"/>
    <s v=""/>
  </r>
  <r>
    <d v="2026-06-18T00:00:00"/>
    <d v="2026-06-17T00:00:00"/>
    <s v="SO-KS/2606/170023"/>
    <s v="MKS Bali"/>
    <x v="14"/>
    <x v="0"/>
    <x v="3"/>
    <s v="PBA0002"/>
    <s v="BALIAN Glass Sparkling (330 ml x 12)"/>
    <n v="6"/>
    <s v="KTN"/>
    <n v="6"/>
    <n v="792000.01"/>
    <n v="0"/>
    <s v="Invoice"/>
    <s v="Sudah Jadi FJ"/>
    <s v=""/>
  </r>
  <r>
    <d v="2026-06-18T00:00:00"/>
    <d v="2026-06-17T00:00:00"/>
    <s v="SO-KS/2606/170023"/>
    <s v="MKS Bali"/>
    <x v="14"/>
    <x v="0"/>
    <x v="3"/>
    <s v="PBA0003"/>
    <s v="BALIAN Glass Sparkling (750 ml x 6)"/>
    <n v="6"/>
    <s v="KTN"/>
    <n v="6"/>
    <n v="648000.02"/>
    <n v="0"/>
    <s v="Invoice"/>
    <s v="Sudah Jadi FJ"/>
    <s v=""/>
  </r>
  <r>
    <d v="2026-06-18T00:00:00"/>
    <d v="2026-06-17T00:00:00"/>
    <s v="SO-KS/2606/170023"/>
    <s v="MKS Bali"/>
    <x v="14"/>
    <x v="0"/>
    <x v="3"/>
    <s v="PBA0004"/>
    <s v="BALIAN Glass Still (750 ml x 6)"/>
    <n v="6"/>
    <s v="KTN"/>
    <n v="6"/>
    <n v="648000.01"/>
    <n v="0"/>
    <s v="Invoice"/>
    <s v="Sudah Jadi FJ"/>
    <s v=""/>
  </r>
  <r>
    <d v="2026-06-18T00:00:00"/>
    <d v="2026-06-17T00:00:00"/>
    <s v="SO-KS/2606/170024"/>
    <s v="MKS Bali"/>
    <x v="15"/>
    <x v="0"/>
    <x v="0"/>
    <s v="PBA0251"/>
    <s v="BALIAN Glass Sparkling (750 ml x 12)"/>
    <n v="3"/>
    <s v="CRT"/>
    <n v="3"/>
    <n v="539999.99"/>
    <n v="0"/>
    <s v="Invoice"/>
    <s v="Sudah Jadi FJ"/>
    <s v=""/>
  </r>
  <r>
    <d v="2026-06-18T00:00:00"/>
    <d v="2026-06-17T00:00:00"/>
    <s v="SO-KS/2606/170025"/>
    <s v="MKS Bali"/>
    <x v="16"/>
    <x v="0"/>
    <x v="7"/>
    <s v="120007"/>
    <s v="Tepung Double Zero 1kg/pack"/>
    <n v="10"/>
    <s v="KG"/>
    <n v="10"/>
    <n v="166500"/>
    <n v="0"/>
    <s v="Invoice"/>
    <s v="Sudah Jadi FJ"/>
    <s v=""/>
  </r>
  <r>
    <d v="2026-06-18T00:00:00"/>
    <d v="2026-06-17T00:00:00"/>
    <s v="SO-KS/2606/170029"/>
    <s v="MKS Bali"/>
    <x v="17"/>
    <x v="0"/>
    <x v="7"/>
    <s v="SFM007"/>
    <s v="Tepung Double Zero @25Kg/Sack"/>
    <n v="1"/>
    <s v="SACK"/>
    <n v="1"/>
    <n v="280000"/>
    <n v="0"/>
    <s v="Invoice"/>
    <s v="Sudah Jadi FJ"/>
    <s v=""/>
  </r>
  <r>
    <d v="2026-06-18T00:00:00"/>
    <d v="2026-06-17T00:00:00"/>
    <s v="SO-KS/2606/170032"/>
    <s v="MKS Bali"/>
    <x v="18"/>
    <x v="0"/>
    <x v="5"/>
    <s v="080241"/>
    <s v="THE ALTERNATIVE Barista Almond Milk 1 Lt"/>
    <n v="12"/>
    <s v="PCS"/>
    <n v="12"/>
    <n v="559440"/>
    <n v="0"/>
    <s v="Invoice"/>
    <s v="Sudah Jadi FJ"/>
    <s v=""/>
  </r>
  <r>
    <d v="2026-06-18T00:00:00"/>
    <d v="2026-06-17T00:00:00"/>
    <s v="SO-KS/2606/170035"/>
    <s v="MKS Bali"/>
    <x v="19"/>
    <x v="1"/>
    <x v="0"/>
    <s v="SFM007"/>
    <s v="Tepung Double Zero @25Kg/Sack"/>
    <n v="10"/>
    <s v="SACK"/>
    <n v="10"/>
    <n v="3274500"/>
    <n v="0"/>
    <s v="Invoice"/>
    <s v="Sudah Jadi FJ"/>
    <s v=""/>
  </r>
  <r>
    <d v="2026-06-18T00:00:00"/>
    <d v="2026-06-17T00:00:00"/>
    <s v="SO-KS/2606/170035"/>
    <s v="MKS Bali"/>
    <x v="19"/>
    <x v="1"/>
    <x v="0"/>
    <s v="SFM018"/>
    <s v="Tepung Ninja @25Kg/Sack"/>
    <n v="3"/>
    <s v="SACK"/>
    <n v="3"/>
    <n v="949050"/>
    <n v="0"/>
    <s v="Invoice"/>
    <s v="Sudah Jadi FJ"/>
    <s v=""/>
  </r>
  <r>
    <d v="2026-06-18T00:00:00"/>
    <d v="2026-06-17T00:00:00"/>
    <s v="SO-KS/2606/170038"/>
    <s v="MKS Bali"/>
    <x v="20"/>
    <x v="0"/>
    <x v="1"/>
    <s v="SFM009"/>
    <s v="Tepung Hime @25Kg/Sack"/>
    <n v="2"/>
    <s v="SACK"/>
    <n v="2"/>
    <n v="580000"/>
    <n v="0"/>
    <s v="Invoice"/>
    <s v="Sudah Jadi FJ"/>
    <s v=""/>
  </r>
  <r>
    <d v="2026-06-18T00:00:00"/>
    <d v="2026-06-17T00:00:00"/>
    <s v="SO-KS/2606/170059"/>
    <s v="MKS Bali"/>
    <x v="21"/>
    <x v="1"/>
    <x v="4"/>
    <s v="SFM007"/>
    <s v="Tepung Double Zero @25Kg/Sack"/>
    <n v="1"/>
    <s v="SACK"/>
    <n v="1"/>
    <n v="285000"/>
    <n v="0"/>
    <s v="Invoice"/>
    <s v="Sudah Jadi FJ"/>
    <s v="dikirim ke Uno sanur, jalan danau Tamblingan"/>
  </r>
  <r>
    <d v="2026-06-18T00:00:00"/>
    <d v="2026-06-17T00:00:00"/>
    <s v="SO-KS/2606/170060"/>
    <s v="MKS Bali"/>
    <x v="22"/>
    <x v="1"/>
    <x v="8"/>
    <s v="020011"/>
    <s v="Nestle Dark Cocoa Drink Npro 1kg/Pack"/>
    <n v="3"/>
    <s v="PACK"/>
    <n v="3"/>
    <n v="267000"/>
    <n v="0"/>
    <s v="Invoice"/>
    <s v="Sudah Jadi FJ"/>
    <s v=""/>
  </r>
  <r>
    <d v="2026-06-18T00:00:00"/>
    <d v="2026-06-17T00:00:00"/>
    <s v="SO-KS/2606/170060"/>
    <s v="MKS Bali"/>
    <x v="22"/>
    <x v="1"/>
    <x v="8"/>
    <s v="060013"/>
    <s v="Nestea Lemon Tea 1kg/Pack"/>
    <n v="1"/>
    <s v="PACK"/>
    <n v="1"/>
    <n v="64200"/>
    <n v="0"/>
    <s v="Invoice"/>
    <s v="Sudah Jadi FJ"/>
    <s v=""/>
  </r>
  <r>
    <d v="2026-06-18T00:00:00"/>
    <d v="2026-06-17T00:00:00"/>
    <s v="SO-KS/2606/170060"/>
    <s v="MKS Bali"/>
    <x v="22"/>
    <x v="1"/>
    <x v="8"/>
    <s v="060015"/>
    <s v="Nestea Lychee Tea Npro 560gr/Pack"/>
    <n v="1"/>
    <s v="PACK"/>
    <n v="1"/>
    <n v="51100.01"/>
    <n v="0"/>
    <s v="Invoice"/>
    <s v="Sudah Jadi FJ"/>
    <s v=""/>
  </r>
  <r>
    <d v="2026-06-18T00:00:00"/>
    <d v="2026-06-17T00:00:00"/>
    <s v="SO-KS/2606/170063"/>
    <s v="MKS Bali"/>
    <x v="23"/>
    <x v="0"/>
    <x v="5"/>
    <s v="PBA0005"/>
    <s v="BALIAN Crate Still 330 ml (Deposit)"/>
    <n v="15"/>
    <s v="PCS"/>
    <n v="15"/>
    <n v="1050000"/>
    <n v="0"/>
    <s v="Invoice"/>
    <s v="Sudah Jadi FJ"/>
    <s v=""/>
  </r>
  <r>
    <d v="2026-06-18T00:00:00"/>
    <d v="2026-06-17T00:00:00"/>
    <s v="SO-KS/2606/170063"/>
    <s v="MKS Bali"/>
    <x v="23"/>
    <x v="0"/>
    <x v="5"/>
    <s v="PBA0006"/>
    <s v="BALIAN Crate Sparkling 330 ml (Deposit)"/>
    <n v="15"/>
    <s v="PCS"/>
    <n v="15"/>
    <n v="1050000"/>
    <n v="0"/>
    <s v="Invoice"/>
    <s v="Sudah Jadi FJ"/>
    <s v=""/>
  </r>
  <r>
    <d v="2026-06-18T00:00:00"/>
    <d v="2026-06-17T00:00:00"/>
    <s v="SO-KS/2606/170063"/>
    <s v="MKS Bali"/>
    <x v="23"/>
    <x v="0"/>
    <x v="5"/>
    <s v="PBA0008"/>
    <s v="BALIAN Crate Sparkling 750 ml (Deposit)"/>
    <n v="10"/>
    <s v="PCS"/>
    <n v="10"/>
    <n v="700000"/>
    <n v="0"/>
    <s v="Invoice"/>
    <s v="Sudah Jadi FJ"/>
    <s v=""/>
  </r>
  <r>
    <d v="2026-06-18T00:00:00"/>
    <d v="2026-06-17T00:00:00"/>
    <s v="SO-KS/2606/170063"/>
    <s v="MKS Bali"/>
    <x v="23"/>
    <x v="0"/>
    <x v="5"/>
    <s v="PBA0009"/>
    <s v="BALIAN Return Bottle Glass 330 ml (Deposit)"/>
    <n v="600"/>
    <s v="PCS"/>
    <n v="600"/>
    <n v="900000"/>
    <n v="0"/>
    <s v="Invoice"/>
    <s v="Sudah Jadi FJ"/>
    <s v=""/>
  </r>
  <r>
    <d v="2026-06-18T00:00:00"/>
    <d v="2026-06-17T00:00:00"/>
    <s v="SO-KS/2606/170063"/>
    <s v="MKS Bali"/>
    <x v="23"/>
    <x v="0"/>
    <x v="5"/>
    <s v="PBA0248"/>
    <s v="BALIAN Glass Still (330 ml x 20)"/>
    <n v="15"/>
    <s v="CRT"/>
    <n v="15"/>
    <n v="2699999.96"/>
    <n v="0"/>
    <s v="Invoice"/>
    <s v="Sudah Jadi FJ"/>
    <s v=""/>
  </r>
  <r>
    <d v="2026-06-18T00:00:00"/>
    <d v="2026-06-17T00:00:00"/>
    <s v="SO-KS/2606/170063"/>
    <s v="MKS Bali"/>
    <x v="23"/>
    <x v="0"/>
    <x v="5"/>
    <s v="PBA0249"/>
    <s v="BALIAN Glass Sparkling (330 ml x 20)"/>
    <n v="15"/>
    <s v="CRT"/>
    <n v="15"/>
    <n v="2699999.96"/>
    <n v="0"/>
    <s v="Invoice"/>
    <s v="Sudah Jadi FJ"/>
    <s v=""/>
  </r>
  <r>
    <d v="2026-06-18T00:00:00"/>
    <d v="2026-06-17T00:00:00"/>
    <s v="SO-KS/2606/170063"/>
    <s v="MKS Bali"/>
    <x v="23"/>
    <x v="0"/>
    <x v="5"/>
    <s v="PBA0252"/>
    <s v="BALIAN Return Bottle Glass 750 ml (Deposit)"/>
    <n v="120"/>
    <s v="PCS"/>
    <n v="120"/>
    <n v="300000"/>
    <n v="0"/>
    <s v="Invoice"/>
    <s v="Sudah Jadi FJ"/>
    <s v=""/>
  </r>
  <r>
    <d v="2026-06-18T00:00:00"/>
    <d v="2026-06-17T00:00:00"/>
    <s v="SO-KS/2606/170063"/>
    <s v="MKS Bali"/>
    <x v="23"/>
    <x v="0"/>
    <x v="5"/>
    <s v="PBA0251"/>
    <s v="BALIAN Glass Sparkling (750 ml x 12)"/>
    <n v="10"/>
    <s v="CRT"/>
    <n v="10"/>
    <n v="1799999.98"/>
    <n v="0"/>
    <s v="Invoice"/>
    <s v="Sudah Jadi FJ"/>
    <s v=""/>
  </r>
  <r>
    <d v="2026-06-18T00:00:00"/>
    <d v="2026-06-17T00:00:00"/>
    <s v="SO-KS/2606/170064"/>
    <s v="MKS Bali"/>
    <x v="24"/>
    <x v="1"/>
    <x v="1"/>
    <s v="SFM009"/>
    <s v="Tepung Hime @25Kg/Sack"/>
    <n v="2"/>
    <s v="SACK"/>
    <n v="2"/>
    <n v="710400"/>
    <n v="0"/>
    <s v="Invoice"/>
    <s v="Sudah Jadi FJ"/>
    <s v=""/>
  </r>
  <r>
    <d v="2026-06-18T00:00:00"/>
    <d v="2026-06-17T00:00:00"/>
    <s v="SO-KS/2606/170065"/>
    <s v="MKS Bali"/>
    <x v="25"/>
    <x v="0"/>
    <x v="3"/>
    <s v="120006"/>
    <s v="Tepung Crispy Ala Kentucky 1kg/pack"/>
    <n v="100"/>
    <s v="KG"/>
    <n v="100"/>
    <n v="3000000.33"/>
    <n v="0"/>
    <s v="Invoice"/>
    <s v="Sudah Jadi FJ"/>
    <s v=" KIRIM KINTAMANI"/>
  </r>
  <r>
    <d v="2026-06-18T00:00:00"/>
    <d v="2026-06-17T00:00:00"/>
    <s v="SO-KS/2606/170066"/>
    <s v="MKS Bali"/>
    <x v="26"/>
    <x v="0"/>
    <x v="9"/>
    <s v="SFM009"/>
    <s v="Tepung Hime @25Kg/Sack"/>
    <n v="1"/>
    <s v="SACK"/>
    <n v="1"/>
    <n v="310000"/>
    <n v="0"/>
    <s v="Invoice"/>
    <s v="Sudah Jadi FJ"/>
    <s v=""/>
  </r>
  <r>
    <d v="2026-06-18T00:00:00"/>
    <d v="2026-06-17T00:00:00"/>
    <s v="SO-KS/2606/170067"/>
    <s v="MKS Bali"/>
    <x v="27"/>
    <x v="1"/>
    <x v="3"/>
    <s v="SFM052"/>
    <s v="Inofa Heat Treated Wheat Flour SF 346 @25kg/sack"/>
    <n v="1"/>
    <s v="SACK"/>
    <n v="1"/>
    <n v="577200"/>
    <n v="0"/>
    <s v="Invoice"/>
    <s v="Sudah Jadi FJ"/>
    <s v="KIRIM KINTAMANI"/>
  </r>
  <r>
    <d v="2026-06-18T00:00:00"/>
    <d v="2026-06-17T00:00:00"/>
    <s v="SO-KS/2606/170067"/>
    <s v="MKS Bali"/>
    <x v="27"/>
    <x v="1"/>
    <x v="3"/>
    <s v="SFM009"/>
    <s v="Tepung Hime @25Kg/Sack"/>
    <n v="4"/>
    <s v="SACK"/>
    <n v="4"/>
    <n v="1420800"/>
    <n v="0"/>
    <s v="Invoice"/>
    <s v="Sudah Jadi FJ"/>
    <s v="KIRIM KINTAMANI"/>
  </r>
  <r>
    <d v="2026-06-18T00:00:00"/>
    <d v="2026-06-17T00:00:00"/>
    <s v="SO-KS/2606/170067"/>
    <s v="MKS Bali"/>
    <x v="27"/>
    <x v="1"/>
    <x v="3"/>
    <s v="SFM007"/>
    <s v="Tepung Double Zero @25Kg/Sack"/>
    <n v="2"/>
    <s v="SACK"/>
    <n v="2"/>
    <n v="654900"/>
    <n v="0"/>
    <s v="Invoice"/>
    <s v="Sudah Jadi FJ"/>
    <s v="KIRIM KINTAMANI"/>
  </r>
  <r>
    <d v="2026-06-18T00:00:00"/>
    <d v="2026-06-17T00:00:00"/>
    <s v="SO-KS/2606/170068"/>
    <s v="MKS Bali"/>
    <x v="28"/>
    <x v="0"/>
    <x v="1"/>
    <s v="PLN0003"/>
    <s v="ELLENKA BARISTA COCONUT MILK 1000ML APL"/>
    <n v="12"/>
    <s v="PACK"/>
    <n v="12"/>
    <n v="506160"/>
    <n v="0"/>
    <s v="Invoice"/>
    <s v="Sudah Jadi FJ"/>
    <s v=""/>
  </r>
  <r>
    <d v="2026-06-18T00:00:00"/>
    <d v="2026-06-17T00:00:00"/>
    <s v="SO-KS/2606/170069"/>
    <s v="MKS Bali"/>
    <x v="29"/>
    <x v="1"/>
    <x v="1"/>
    <s v="PLN0003"/>
    <s v="ELLENKA BARISTA COCONUT MILK 1000ML APL"/>
    <n v="24"/>
    <s v="PACK"/>
    <n v="24"/>
    <n v="1012320"/>
    <n v="0"/>
    <s v="Invoice"/>
    <s v="Sudah Jadi FJ"/>
    <s v=""/>
  </r>
  <r>
    <d v="2026-06-18T00:00:00"/>
    <d v="2026-06-17T00:00:00"/>
    <s v="SO-KS/2606/170071"/>
    <s v="MKS Bali"/>
    <x v="30"/>
    <x v="0"/>
    <x v="7"/>
    <s v="PPA0092"/>
    <s v="Emborg Pizza Topping 2.3 Kg"/>
    <n v="4.5999999999999996"/>
    <s v="KG"/>
    <n v="4.5999999999999996"/>
    <n v="460000"/>
    <n v="0"/>
    <s v="Invoice"/>
    <s v="Sudah Jadi FJ"/>
    <s v="2 loaf"/>
  </r>
  <r>
    <d v="2026-06-18T00:00:00"/>
    <d v="2026-06-17T00:00:00"/>
    <s v="SO-KS/2606/170072"/>
    <s v="MKS Bali"/>
    <x v="31"/>
    <x v="0"/>
    <x v="7"/>
    <s v="PPA0092"/>
    <s v="Emborg Pizza Topping 2.3 Kg"/>
    <n v="2.2999999999999998"/>
    <s v="KG"/>
    <n v="2.2999999999999998"/>
    <n v="230000"/>
    <n v="0"/>
    <s v="Invoice"/>
    <s v="Sudah Jadi FJ"/>
    <s v=""/>
  </r>
  <r>
    <d v="2026-06-18T00:00:00"/>
    <d v="2026-06-17T00:00:00"/>
    <s v="SO-KS/2606/170074"/>
    <s v="MKS Bali"/>
    <x v="32"/>
    <x v="0"/>
    <x v="10"/>
    <s v="PBA0001"/>
    <s v="BALIAN Glass Still (330 ml x 12)"/>
    <n v="10"/>
    <s v="KTN"/>
    <n v="10"/>
    <n v="1320000.01"/>
    <n v="0"/>
    <s v="Invoice"/>
    <s v="Sudah Jadi FJ"/>
    <s v=""/>
  </r>
  <r>
    <d v="2026-06-18T00:00:00"/>
    <d v="2026-06-17T00:00:00"/>
    <s v="SO-KS/2606/170074"/>
    <s v="MKS Bali"/>
    <x v="32"/>
    <x v="0"/>
    <x v="10"/>
    <s v="PBA0002"/>
    <s v="BALIAN Glass Sparkling (330 ml x 12)"/>
    <n v="20"/>
    <s v="KTN"/>
    <n v="20"/>
    <n v="2640000.0299999998"/>
    <n v="0"/>
    <s v="Invoice"/>
    <s v="Sudah Jadi FJ"/>
    <s v=""/>
  </r>
  <r>
    <d v="2026-06-18T00:00:00"/>
    <d v="2026-06-17T00:00:00"/>
    <s v="SO-KS/2606/170074"/>
    <s v="MKS Bali"/>
    <x v="32"/>
    <x v="0"/>
    <x v="10"/>
    <s v="PBA0003"/>
    <s v="BALIAN Glass Sparkling (750 ml x 6)"/>
    <n v="20"/>
    <s v="KTN"/>
    <n v="20"/>
    <n v="2160000.06"/>
    <n v="0"/>
    <s v="Invoice"/>
    <s v="Sudah Jadi FJ"/>
    <s v=""/>
  </r>
  <r>
    <d v="2026-06-18T00:00:00"/>
    <d v="2026-06-17T00:00:00"/>
    <s v="SO-KS/2606/170074"/>
    <s v="MKS Bali"/>
    <x v="32"/>
    <x v="0"/>
    <x v="10"/>
    <s v="PBA0004"/>
    <s v="BALIAN Glass Still (750 ml x 6)"/>
    <n v="10"/>
    <s v="KTN"/>
    <n v="10"/>
    <n v="1080000.03"/>
    <n v="0"/>
    <s v="Invoice"/>
    <s v="Sudah Jadi FJ"/>
    <s v=""/>
  </r>
  <r>
    <d v="2026-06-18T00:00:00"/>
    <d v="2026-06-17T00:00:00"/>
    <s v="SO-KS/2606/170075"/>
    <s v="MKS Bali"/>
    <x v="33"/>
    <x v="0"/>
    <x v="11"/>
    <s v="PBA0001"/>
    <s v="BALIAN Glass Still (330 ml x 12)"/>
    <n v="10"/>
    <s v="KTN"/>
    <n v="10"/>
    <n v="1320000.01"/>
    <n v="0"/>
    <s v="Invoice"/>
    <s v="Sudah Jadi FJ"/>
    <s v=""/>
  </r>
  <r>
    <d v="2026-06-18T00:00:00"/>
    <d v="2026-06-17T00:00:00"/>
    <s v="SO-KS/2606/170075"/>
    <s v="MKS Bali"/>
    <x v="33"/>
    <x v="0"/>
    <x v="11"/>
    <s v="PBA0002"/>
    <s v="BALIAN Glass Sparkling (330 ml x 12)"/>
    <n v="10"/>
    <s v="KTN"/>
    <n v="10"/>
    <n v="1320000.01"/>
    <n v="0"/>
    <s v="Invoice"/>
    <s v="Sudah Jadi FJ"/>
    <s v=""/>
  </r>
  <r>
    <d v="2026-06-18T00:00:00"/>
    <d v="2026-06-17T00:00:00"/>
    <s v="SO-KS/2606/170075"/>
    <s v="MKS Bali"/>
    <x v="33"/>
    <x v="0"/>
    <x v="11"/>
    <s v="PBA0003"/>
    <s v="BALIAN Glass Sparkling (750 ml x 6)"/>
    <n v="10"/>
    <s v="KTN"/>
    <n v="10"/>
    <n v="1080000.03"/>
    <n v="0"/>
    <s v="Invoice"/>
    <s v="Sudah Jadi FJ"/>
    <s v=""/>
  </r>
  <r>
    <d v="2026-06-18T00:00:00"/>
    <d v="2026-06-17T00:00:00"/>
    <s v="SO-KS/2606/170075"/>
    <s v="MKS Bali"/>
    <x v="33"/>
    <x v="0"/>
    <x v="11"/>
    <s v="PBA0004"/>
    <s v="BALIAN Glass Still (750 ml x 6)"/>
    <n v="10"/>
    <s v="KTN"/>
    <n v="10"/>
    <n v="1080000.03"/>
    <n v="0"/>
    <s v="Invoice"/>
    <s v="Sudah Jadi FJ"/>
    <s v=""/>
  </r>
  <r>
    <d v="2026-06-18T00:00:00"/>
    <d v="2026-06-17T00:00:00"/>
    <s v="SO-KS/2606/170076"/>
    <s v="MKS Bali"/>
    <x v="34"/>
    <x v="0"/>
    <x v="10"/>
    <s v="PBA0003"/>
    <s v="BALIAN Glass Sparkling (750 ml x 6)"/>
    <n v="20"/>
    <s v="KTN"/>
    <n v="20"/>
    <n v="2160000.06"/>
    <n v="0"/>
    <s v="Invoice"/>
    <s v="Sudah Jadi FJ"/>
    <s v=""/>
  </r>
  <r>
    <d v="2026-06-18T00:00:00"/>
    <d v="2026-06-17T00:00:00"/>
    <s v="SO-KS/2606/170076"/>
    <s v="MKS Bali"/>
    <x v="34"/>
    <x v="0"/>
    <x v="10"/>
    <s v="PBA0004"/>
    <s v="BALIAN Glass Still (750 ml x 6)"/>
    <n v="20"/>
    <s v="KTN"/>
    <n v="20"/>
    <n v="2160000.0699999998"/>
    <n v="0"/>
    <s v="Invoice"/>
    <s v="Sudah Jadi FJ"/>
    <s v=""/>
  </r>
  <r>
    <d v="2026-06-18T00:00:00"/>
    <d v="2026-06-17T00:00:00"/>
    <s v="SO-KS/2606/170076"/>
    <s v="MKS Bali"/>
    <x v="34"/>
    <x v="0"/>
    <x v="10"/>
    <s v="PBA0001"/>
    <s v="BALIAN Glass Still (330 ml x 12)"/>
    <n v="20"/>
    <s v="KTN"/>
    <n v="20"/>
    <n v="2640000.02"/>
    <n v="0"/>
    <s v="Invoice"/>
    <s v="Sudah Jadi FJ"/>
    <s v=""/>
  </r>
  <r>
    <d v="2026-06-18T00:00:00"/>
    <d v="2026-06-17T00:00:00"/>
    <s v="SO-KS/2606/170076"/>
    <s v="MKS Bali"/>
    <x v="34"/>
    <x v="0"/>
    <x v="10"/>
    <s v="PBA0002"/>
    <s v="BALIAN Glass Sparkling (330 ml x 12)"/>
    <n v="20"/>
    <s v="KTN"/>
    <n v="20"/>
    <n v="2640000.02"/>
    <n v="0"/>
    <s v="Invoice"/>
    <s v="Sudah Jadi FJ"/>
    <s v=""/>
  </r>
  <r>
    <d v="2026-06-18T00:00:00"/>
    <d v="2026-06-17T00:00:00"/>
    <s v="SO-KS/2606/170077"/>
    <s v="MKS Bali"/>
    <x v="35"/>
    <x v="0"/>
    <x v="3"/>
    <s v="SFM007"/>
    <s v="Tepung Double Zero @25Kg/Sack"/>
    <n v="3"/>
    <s v="SACK"/>
    <n v="3"/>
    <n v="982350"/>
    <n v="0"/>
    <s v="Invoice"/>
    <s v="Sudah Jadi FJ"/>
    <s v=" KIRIM KINTAMANI_x000a_"/>
  </r>
  <r>
    <d v="2026-06-18T00:00:00"/>
    <d v="2026-06-17T00:00:00"/>
    <s v="SO-KS/2606/170079"/>
    <s v="MKS Bali"/>
    <x v="36"/>
    <x v="1"/>
    <x v="0"/>
    <s v="SFM007"/>
    <s v="Tepung Double Zero @25Kg/Sack"/>
    <n v="2"/>
    <s v="SACK"/>
    <n v="2"/>
    <n v="560000"/>
    <n v="0"/>
    <s v="Invoice"/>
    <s v="Sudah Jadi FJ"/>
    <s v=""/>
  </r>
  <r>
    <d v="2026-06-18T00:00:00"/>
    <d v="2026-06-17T00:00:00"/>
    <s v="SO-KS/2606/170081"/>
    <s v="MKS Bali"/>
    <x v="25"/>
    <x v="0"/>
    <x v="8"/>
    <s v="060019"/>
    <s v="Nestle Orange Pouch NP 560gr/Pack"/>
    <n v="20"/>
    <s v="PACK"/>
    <n v="20"/>
    <n v="1187700"/>
    <n v="0"/>
    <s v="Invoice"/>
    <s v="Sudah Jadi FJ"/>
    <s v="Dikirim jalur kintamani"/>
  </r>
  <r>
    <d v="2026-06-18T00:00:00"/>
    <d v="2026-06-17T00:00:00"/>
    <s v="SO-KS/2606/170082"/>
    <s v="MKS Bali"/>
    <x v="37"/>
    <x v="1"/>
    <x v="2"/>
    <s v="080241"/>
    <s v="THE ALTERNATIVE Barista Almond Milk 1 Lt"/>
    <n v="12"/>
    <s v="PCS"/>
    <n v="12"/>
    <n v="559440"/>
    <n v="0"/>
    <s v="Invoice"/>
    <s v="Sudah Jadi FJ"/>
    <s v=""/>
  </r>
  <r>
    <d v="2026-06-18T00:00:00"/>
    <d v="2026-06-17T00:00:00"/>
    <s v="SO-KS/2606/170082"/>
    <s v="MKS Bali"/>
    <x v="37"/>
    <x v="1"/>
    <x v="2"/>
    <s v="PLN0003"/>
    <s v="ELLENKA BARISTA COCONUT MILK 1000ML APL"/>
    <n v="12"/>
    <s v="PACK"/>
    <n v="12"/>
    <n v="506160"/>
    <n v="0"/>
    <s v="Invoice"/>
    <s v="Sudah Jadi FJ"/>
    <s v=""/>
  </r>
  <r>
    <d v="2026-06-18T00:00:00"/>
    <d v="2026-06-17T00:00:00"/>
    <s v="SO-KS/2606/170083"/>
    <s v="MKS Bali"/>
    <x v="38"/>
    <x v="0"/>
    <x v="0"/>
    <s v="PBA0248"/>
    <s v="BALIAN Glass Still (330 ml x 20)"/>
    <n v="70"/>
    <s v="CRT"/>
    <n v="70"/>
    <n v="11199999.99"/>
    <n v="0"/>
    <s v="Invoice"/>
    <s v="Sudah Jadi FJ"/>
    <s v=""/>
  </r>
  <r>
    <d v="2026-06-18T00:00:00"/>
    <d v="2026-06-17T00:00:00"/>
    <s v="SO-KS/2606/170084"/>
    <s v="MKS Bali"/>
    <x v="39"/>
    <x v="1"/>
    <x v="1"/>
    <s v="080241"/>
    <s v="THE ALTERNATIVE Barista Almond Milk 1 Lt"/>
    <n v="8"/>
    <s v="PCS"/>
    <n v="8"/>
    <n v="372960"/>
    <n v="0"/>
    <s v="Invoice"/>
    <s v="Sudah Jadi FJ"/>
    <s v="KIRIM KE SANUR_x000a_(Jl. Batur Sari No.34, Sanur Kauh)"/>
  </r>
  <r>
    <d v="2026-06-18T00:00:00"/>
    <d v="2026-06-17T00:00:00"/>
    <s v="SO-KS/2606/170084"/>
    <s v="MKS Bali"/>
    <x v="39"/>
    <x v="1"/>
    <x v="1"/>
    <s v="PLN0003"/>
    <s v="ELLENKA BARISTA COCONUT MILK 1000ML APL"/>
    <n v="2"/>
    <s v="PACK"/>
    <n v="2"/>
    <n v="84360"/>
    <n v="0"/>
    <s v="Invoice"/>
    <s v="Sudah Jadi FJ"/>
    <s v="KIRIM KE SANUR_x000a_(Jl. Batur Sari No.34, Sanur Kauh)"/>
  </r>
  <r>
    <d v="2026-06-18T00:00:00"/>
    <d v="2026-06-17T00:00:00"/>
    <s v="SO-KS/2606/170085"/>
    <s v="MKS Bali"/>
    <x v="40"/>
    <x v="0"/>
    <x v="2"/>
    <s v="PSJ0228"/>
    <s v="Premium Minced Beef (2.5kg/pack)"/>
    <n v="5"/>
    <s v="KG"/>
    <n v="5"/>
    <n v="500000"/>
    <n v="0"/>
    <s v="Invoice"/>
    <s v="Sudah Jadi FJ"/>
    <s v="cafe 9 loaf"/>
  </r>
  <r>
    <d v="2026-06-18T00:00:00"/>
    <d v="2026-06-17T00:00:00"/>
    <s v="SO-KS/2606/170085"/>
    <s v="MKS Bali"/>
    <x v="40"/>
    <x v="0"/>
    <x v="2"/>
    <s v="PSJ0007"/>
    <s v="Friboi Brazil Tenderloin Whole"/>
    <n v="18"/>
    <s v="KG"/>
    <n v="25.879899999999999"/>
    <n v="9058000"/>
    <n v="7.8799000000000001"/>
    <s v="Invoice"/>
    <s v="Sudah Jadi FJ"/>
    <s v="cafe 9 loaf"/>
  </r>
  <r>
    <d v="2026-06-18T00:00:00"/>
    <d v="2026-06-17T00:00:00"/>
    <s v="SO-KS/2606/170086"/>
    <s v="MKS Bali"/>
    <x v="40"/>
    <x v="0"/>
    <x v="2"/>
    <s v="PSJ0228"/>
    <s v="Premium Minced Beef (2.5kg/pack)"/>
    <n v="5"/>
    <s v="KG"/>
    <n v="5"/>
    <n v="500000"/>
    <n v="0"/>
    <s v="Invoice"/>
    <s v="Sudah Jadi FJ"/>
    <s v=" oasis 9 loaf"/>
  </r>
  <r>
    <d v="2026-06-18T00:00:00"/>
    <d v="2026-06-17T00:00:00"/>
    <s v="SO-KS/2606/170086"/>
    <s v="MKS Bali"/>
    <x v="40"/>
    <x v="0"/>
    <x v="2"/>
    <s v="PSJ0007"/>
    <s v="Friboi Brazil Tenderloin Whole"/>
    <n v="18"/>
    <s v="KG"/>
    <n v="26.379899999999999"/>
    <n v="9233000"/>
    <n v="8.3798999999999992"/>
    <s v="Invoice"/>
    <s v="Sudah Jadi FJ"/>
    <s v=" oasis 9 loaf"/>
  </r>
  <r>
    <d v="2026-06-18T00:00:00"/>
    <d v="2026-06-17T00:00:00"/>
    <s v="SO-KS/2606/170087"/>
    <s v="MKS Bali"/>
    <x v="13"/>
    <x v="0"/>
    <x v="2"/>
    <s v="SFM052"/>
    <s v="Inofa Heat Treated Wheat Flour SF 346 @25kg/sack"/>
    <n v="1"/>
    <s v="SACK"/>
    <n v="1"/>
    <n v="560000"/>
    <n v="0"/>
    <s v="Invoice"/>
    <s v="Sudah Jadi FJ"/>
    <s v=""/>
  </r>
  <r>
    <d v="2026-06-18T00:00:00"/>
    <d v="2026-06-17T00:00:00"/>
    <s v="SO-KS/2606/170088"/>
    <s v="MKS Bali"/>
    <x v="41"/>
    <x v="0"/>
    <x v="9"/>
    <s v="PLN0003"/>
    <s v="ELLENKA BARISTA COCONUT MILK 1000ML APL"/>
    <n v="36"/>
    <s v="PACK"/>
    <n v="36"/>
    <n v="1422000.18"/>
    <n v="0"/>
    <s v="Invoice"/>
    <s v="Sudah Jadi FJ"/>
    <s v=""/>
  </r>
  <r>
    <d v="2026-06-18T00:00:00"/>
    <d v="2026-06-17T00:00:00"/>
    <s v="SO-KS/2606/170089"/>
    <s v="MKS Bali"/>
    <x v="42"/>
    <x v="0"/>
    <x v="2"/>
    <s v="PSJ0046"/>
    <s v="Allana Tenderloin Whole"/>
    <n v="80"/>
    <s v="KG"/>
    <n v="80"/>
    <n v="15040000"/>
    <n v="0"/>
    <s v="Invoice"/>
    <s v="Sudah Jadi FJ"/>
    <s v=""/>
  </r>
  <r>
    <d v="2026-06-18T00:00:00"/>
    <d v="2026-06-17T00:00:00"/>
    <s v="SO-KS/2606/170090"/>
    <s v="MKS Bali"/>
    <x v="43"/>
    <x v="0"/>
    <x v="5"/>
    <s v="PSJ0046"/>
    <s v="Allana Tenderloin Whole"/>
    <n v="20"/>
    <s v="KG"/>
    <n v="20"/>
    <n v="3800000"/>
    <n v="0"/>
    <s v="Invoice"/>
    <s v="Sudah Jadi FJ"/>
    <s v=""/>
  </r>
  <r>
    <d v="2026-06-18T00:00:00"/>
    <d v="2026-06-17T00:00:00"/>
    <s v="SO-KS/2606/170091"/>
    <s v="MKS Bali"/>
    <x v="43"/>
    <x v="0"/>
    <x v="5"/>
    <s v="PPA0092"/>
    <s v="Emborg Pizza Topping 2.3 Kg"/>
    <n v="10"/>
    <s v="KG"/>
    <n v="9.1998999999999995"/>
    <n v="920000"/>
    <n v="-0.80010000000000003"/>
    <s v="Invoice"/>
    <s v="Sudah Jadi FJ"/>
    <s v=""/>
  </r>
  <r>
    <d v="2026-06-18T00:00:00"/>
    <d v="2026-06-17T00:00:00"/>
    <s v="SO-KS/2606/170092"/>
    <s v="MKS Bali"/>
    <x v="44"/>
    <x v="1"/>
    <x v="0"/>
    <s v="PBA0005"/>
    <s v="BALIAN Crate Still 330 ml (Deposit)"/>
    <n v="1"/>
    <s v="PCS"/>
    <n v="1"/>
    <n v="70000"/>
    <n v="0"/>
    <s v="Invoice"/>
    <s v="Sudah Jadi FJ"/>
    <s v=""/>
  </r>
  <r>
    <d v="2026-06-18T00:00:00"/>
    <d v="2026-06-17T00:00:00"/>
    <s v="SO-KS/2606/170092"/>
    <s v="MKS Bali"/>
    <x v="44"/>
    <x v="1"/>
    <x v="0"/>
    <s v="PBA0006"/>
    <s v="BALIAN Crate Sparkling 330 ml (Deposit)"/>
    <n v="1"/>
    <s v="PCS"/>
    <n v="1"/>
    <n v="70000"/>
    <n v="0"/>
    <s v="Invoice"/>
    <s v="Sudah Jadi FJ"/>
    <s v=""/>
  </r>
  <r>
    <d v="2026-06-18T00:00:00"/>
    <d v="2026-06-17T00:00:00"/>
    <s v="SO-KS/2606/170092"/>
    <s v="MKS Bali"/>
    <x v="44"/>
    <x v="1"/>
    <x v="0"/>
    <s v="PBA0009"/>
    <s v="BALIAN Return Bottle Glass 330 ml (Deposit)"/>
    <n v="40"/>
    <s v="PCS"/>
    <n v="40"/>
    <n v="60000"/>
    <n v="0"/>
    <s v="Invoice"/>
    <s v="Sudah Jadi FJ"/>
    <s v=""/>
  </r>
  <r>
    <d v="2026-06-18T00:00:00"/>
    <d v="2026-06-17T00:00:00"/>
    <s v="SO-KS/2606/170092"/>
    <s v="MKS Bali"/>
    <x v="44"/>
    <x v="1"/>
    <x v="0"/>
    <s v="PBA0248"/>
    <s v="BALIAN Glass Still (330 ml x 20)"/>
    <n v="1"/>
    <s v="CRT"/>
    <n v="1"/>
    <n v="180000"/>
    <n v="0"/>
    <s v="Invoice"/>
    <s v="Sudah Jadi FJ"/>
    <s v=""/>
  </r>
  <r>
    <d v="2026-06-18T00:00:00"/>
    <d v="2026-06-17T00:00:00"/>
    <s v="SO-KS/2606/170092"/>
    <s v="MKS Bali"/>
    <x v="44"/>
    <x v="1"/>
    <x v="0"/>
    <s v="PBA0249"/>
    <s v="BALIAN Glass Sparkling (330 ml x 20)"/>
    <n v="1"/>
    <s v="CRT"/>
    <n v="1"/>
    <n v="180000"/>
    <n v="0"/>
    <s v="Invoice"/>
    <s v="Sudah Jadi FJ"/>
    <s v=""/>
  </r>
  <r>
    <d v="2026-06-18T00:00:00"/>
    <d v="2026-06-17T00:00:00"/>
    <s v="SO-KS/2606/170093"/>
    <s v="MKS Bali"/>
    <x v="45"/>
    <x v="0"/>
    <x v="6"/>
    <s v="PBA0001"/>
    <s v="BALIAN Glass Still (330 ml x 12)"/>
    <n v="12"/>
    <s v="KTN"/>
    <n v="12"/>
    <n v="1584000.01"/>
    <n v="0"/>
    <s v="Invoice"/>
    <s v="Sudah Jadi FJ"/>
    <s v="DAILY BAGUETTE ICON MALL"/>
  </r>
  <r>
    <d v="2026-06-18T00:00:00"/>
    <d v="2026-06-17T00:00:00"/>
    <s v="SO-KS/2606/170093"/>
    <s v="MKS Bali"/>
    <x v="45"/>
    <x v="0"/>
    <x v="6"/>
    <s v="PBA0002"/>
    <s v="BALIAN Glass Sparkling (330 ml x 12)"/>
    <n v="5"/>
    <s v="KTN"/>
    <n v="5"/>
    <n v="660000.01"/>
    <n v="0"/>
    <s v="Invoice"/>
    <s v="Sudah Jadi FJ"/>
    <s v="DAILY BAGUETTE ICON MALL"/>
  </r>
  <r>
    <d v="2026-06-18T00:00:00"/>
    <d v="2026-06-17T00:00:00"/>
    <s v="SO-KS/2606/170093"/>
    <s v="MKS Bali"/>
    <x v="45"/>
    <x v="0"/>
    <x v="6"/>
    <s v="PBA0003"/>
    <s v="BALIAN Glass Sparkling (750 ml x 6)"/>
    <n v="4"/>
    <s v="KTN"/>
    <n v="4"/>
    <n v="432000.01"/>
    <n v="0"/>
    <s v="Invoice"/>
    <s v="Sudah Jadi FJ"/>
    <s v="DAILY BAGUETTE ICON MALL"/>
  </r>
  <r>
    <d v="2026-06-18T00:00:00"/>
    <d v="2026-06-17T00:00:00"/>
    <s v="SO-KS/2606/170093"/>
    <s v="MKS Bali"/>
    <x v="45"/>
    <x v="0"/>
    <x v="6"/>
    <s v="PBA0004"/>
    <s v="BALIAN Glass Still (750 ml x 6)"/>
    <n v="10"/>
    <s v="KTN"/>
    <n v="10"/>
    <n v="1080000.03"/>
    <n v="0"/>
    <s v="Invoice"/>
    <s v="Sudah Jadi FJ"/>
    <s v="DAILY BAGUETTE ICON MALL"/>
  </r>
  <r>
    <d v="2026-06-18T00:00:00"/>
    <d v="2026-06-18T00:00:00"/>
    <s v="SO-RT/2606/180001"/>
    <s v="MKS Bali"/>
    <x v="46"/>
    <x v="0"/>
    <x v="12"/>
    <s v="PPB0110"/>
    <s v="Rye Sourdough (Bakery)"/>
    <n v="1"/>
    <s v="PCS"/>
    <n v="1"/>
    <n v="25000"/>
    <n v="0"/>
    <s v="Invoice"/>
    <s v="Sudah Jadi FJ"/>
    <s v=""/>
  </r>
  <r>
    <d v="2026-06-18T00:00:00"/>
    <d v="2026-06-18T00:00:00"/>
    <s v="SO-RT/2606/180001"/>
    <s v="MKS Bali"/>
    <x v="46"/>
    <x v="0"/>
    <x v="12"/>
    <s v="PPB0110"/>
    <s v="Rye Sourdough (Bakery)"/>
    <n v="1"/>
    <s v="PCS"/>
    <n v="1"/>
    <n v="25000"/>
    <n v="0"/>
    <s v="Invoice"/>
    <s v="Sudah Jadi FJ"/>
    <s v=""/>
  </r>
  <r>
    <d v="2026-06-18T00:00:00"/>
    <d v="2026-06-18T00:00:00"/>
    <s v="SO-RT/2606/180002"/>
    <s v="MKS Bali"/>
    <x v="46"/>
    <x v="0"/>
    <x v="12"/>
    <s v="KCL0020"/>
    <s v="Andros FMU Strawberry Pink Guava 90 Gr"/>
    <n v="1"/>
    <s v="PCS"/>
    <n v="1"/>
    <n v="21999.999100000001"/>
    <n v="0"/>
    <s v="Invoice"/>
    <s v="Sudah Jadi FJ"/>
    <s v=""/>
  </r>
  <r>
    <d v="2026-06-18T00:00:00"/>
    <d v="2026-06-18T00:00:00"/>
    <s v="SO-RT/2606/180002"/>
    <s v="MKS Bali"/>
    <x v="46"/>
    <x v="0"/>
    <x v="12"/>
    <s v="KCL0020"/>
    <s v="Andros FMU Strawberry Pink Guava 90 Gr"/>
    <n v="1"/>
    <s v="PCS"/>
    <n v="1"/>
    <n v="21999.9991000000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0C6FE-1A6C-4C46-B88A-E2C58EC2A403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48">
        <item x="25"/>
        <item x="14"/>
        <item x="17"/>
        <item x="16"/>
        <item x="24"/>
        <item x="40"/>
        <item x="36"/>
        <item x="44"/>
        <item x="26"/>
        <item x="37"/>
        <item x="30"/>
        <item x="23"/>
        <item x="41"/>
        <item x="34"/>
        <item x="33"/>
        <item x="32"/>
        <item x="28"/>
        <item x="18"/>
        <item x="9"/>
        <item x="13"/>
        <item x="20"/>
        <item x="43"/>
        <item x="8"/>
        <item x="4"/>
        <item x="39"/>
        <item x="35"/>
        <item x="29"/>
        <item x="3"/>
        <item x="27"/>
        <item x="22"/>
        <item x="2"/>
        <item x="0"/>
        <item x="10"/>
        <item x="1"/>
        <item x="45"/>
        <item x="19"/>
        <item x="46"/>
        <item x="6"/>
        <item x="7"/>
        <item x="15"/>
        <item x="12"/>
        <item x="5"/>
        <item x="31"/>
        <item x="42"/>
        <item x="11"/>
        <item x="21"/>
        <item x="38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14">
        <item x="9"/>
        <item x="4"/>
        <item x="6"/>
        <item x="2"/>
        <item x="7"/>
        <item x="5"/>
        <item x="11"/>
        <item x="10"/>
        <item x="8"/>
        <item x="3"/>
        <item x="12"/>
        <item x="0"/>
        <item x="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3">
    <i>
      <x v="1"/>
    </i>
    <i r="1">
      <x v="18"/>
    </i>
    <i r="1">
      <x v="45"/>
    </i>
    <i>
      <x v="3"/>
    </i>
    <i r="1">
      <x v="9"/>
    </i>
    <i r="1">
      <x v="22"/>
    </i>
    <i r="1">
      <x v="38"/>
    </i>
    <i r="1">
      <x v="44"/>
    </i>
    <i>
      <x v="8"/>
    </i>
    <i r="1">
      <x v="29"/>
    </i>
    <i>
      <x v="9"/>
    </i>
    <i r="1">
      <x v="28"/>
    </i>
    <i r="1">
      <x v="37"/>
    </i>
    <i r="1">
      <x v="41"/>
    </i>
    <i>
      <x v="11"/>
    </i>
    <i r="1">
      <x v="6"/>
    </i>
    <i r="1">
      <x v="7"/>
    </i>
    <i r="1">
      <x v="35"/>
    </i>
    <i>
      <x v="12"/>
    </i>
    <i r="1">
      <x v="4"/>
    </i>
    <i r="1">
      <x v="24"/>
    </i>
    <i r="1">
      <x v="2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5"/>
  </dataFields>
  <formats count="1">
    <format dxfId="0">
      <pivotArea collapsedLevelsAreSubtotals="1" fieldPosition="0">
        <references count="2">
          <reference field="4" count="2">
            <x v="18"/>
            <x v="45"/>
          </reference>
          <reference field="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CE18-028A-9347-8F13-C092C653CD51}">
  <dimension ref="A1:B26"/>
  <sheetViews>
    <sheetView tabSelected="1" workbookViewId="0">
      <selection activeCell="C14" sqref="C14"/>
    </sheetView>
  </sheetViews>
  <sheetFormatPr baseColWidth="10" defaultRowHeight="15" x14ac:dyDescent="0.2"/>
  <cols>
    <col min="1" max="1" width="28" bestFit="1" customWidth="1"/>
    <col min="2" max="2" width="17.33203125" bestFit="1" customWidth="1"/>
  </cols>
  <sheetData>
    <row r="1" spans="1:2" x14ac:dyDescent="0.2">
      <c r="A1" s="5" t="s">
        <v>5</v>
      </c>
      <c r="B1" t="s">
        <v>51</v>
      </c>
    </row>
    <row r="3" spans="1:2" x14ac:dyDescent="0.2">
      <c r="A3" s="5" t="s">
        <v>225</v>
      </c>
      <c r="B3" t="s">
        <v>227</v>
      </c>
    </row>
    <row r="4" spans="1:2" x14ac:dyDescent="0.2">
      <c r="A4" s="6" t="s">
        <v>68</v>
      </c>
      <c r="B4" s="8">
        <v>570000</v>
      </c>
    </row>
    <row r="5" spans="1:2" x14ac:dyDescent="0.2">
      <c r="A5" s="7" t="s">
        <v>67</v>
      </c>
      <c r="B5" s="9">
        <v>285000</v>
      </c>
    </row>
    <row r="6" spans="1:2" x14ac:dyDescent="0.2">
      <c r="A6" s="7" t="s">
        <v>117</v>
      </c>
      <c r="B6" s="9">
        <v>285000</v>
      </c>
    </row>
    <row r="7" spans="1:2" x14ac:dyDescent="0.2">
      <c r="A7" s="6" t="s">
        <v>42</v>
      </c>
      <c r="B7" s="8">
        <v>5490799.9700000007</v>
      </c>
    </row>
    <row r="8" spans="1:2" x14ac:dyDescent="0.2">
      <c r="A8" s="7" t="s">
        <v>187</v>
      </c>
      <c r="B8" s="8">
        <v>1065600</v>
      </c>
    </row>
    <row r="9" spans="1:2" x14ac:dyDescent="0.2">
      <c r="A9" s="7" t="s">
        <v>63</v>
      </c>
      <c r="B9" s="8">
        <v>470000.02</v>
      </c>
    </row>
    <row r="10" spans="1:2" x14ac:dyDescent="0.2">
      <c r="A10" s="7" t="s">
        <v>59</v>
      </c>
      <c r="B10" s="8">
        <v>355200</v>
      </c>
    </row>
    <row r="11" spans="1:2" x14ac:dyDescent="0.2">
      <c r="A11" s="7" t="s">
        <v>76</v>
      </c>
      <c r="B11" s="8">
        <v>3599999.95</v>
      </c>
    </row>
    <row r="12" spans="1:2" x14ac:dyDescent="0.2">
      <c r="A12" s="6" t="s">
        <v>121</v>
      </c>
      <c r="B12" s="8">
        <v>382300.01</v>
      </c>
    </row>
    <row r="13" spans="1:2" x14ac:dyDescent="0.2">
      <c r="A13" s="7" t="s">
        <v>120</v>
      </c>
      <c r="B13" s="8">
        <v>382300.01</v>
      </c>
    </row>
    <row r="14" spans="1:2" x14ac:dyDescent="0.2">
      <c r="A14" s="6" t="s">
        <v>52</v>
      </c>
      <c r="B14" s="8">
        <v>5820800</v>
      </c>
    </row>
    <row r="15" spans="1:2" x14ac:dyDescent="0.2">
      <c r="A15" s="7" t="s">
        <v>152</v>
      </c>
      <c r="B15" s="8">
        <v>2652900</v>
      </c>
    </row>
    <row r="16" spans="1:2" x14ac:dyDescent="0.2">
      <c r="A16" s="7" t="s">
        <v>57</v>
      </c>
      <c r="B16" s="8">
        <v>654900</v>
      </c>
    </row>
    <row r="17" spans="1:2" x14ac:dyDescent="0.2">
      <c r="A17" s="7" t="s">
        <v>50</v>
      </c>
      <c r="B17" s="8">
        <v>2513000</v>
      </c>
    </row>
    <row r="18" spans="1:2" x14ac:dyDescent="0.2">
      <c r="A18" s="6" t="s">
        <v>21</v>
      </c>
      <c r="B18" s="8">
        <v>5343550</v>
      </c>
    </row>
    <row r="19" spans="1:2" x14ac:dyDescent="0.2">
      <c r="A19" s="7" t="s">
        <v>181</v>
      </c>
      <c r="B19" s="8">
        <v>560000</v>
      </c>
    </row>
    <row r="20" spans="1:2" x14ac:dyDescent="0.2">
      <c r="A20" s="7" t="s">
        <v>213</v>
      </c>
      <c r="B20" s="8">
        <v>560000</v>
      </c>
    </row>
    <row r="21" spans="1:2" x14ac:dyDescent="0.2">
      <c r="A21" s="7" t="s">
        <v>111</v>
      </c>
      <c r="B21" s="8">
        <v>4223550</v>
      </c>
    </row>
    <row r="22" spans="1:2" x14ac:dyDescent="0.2">
      <c r="A22" s="6" t="s">
        <v>32</v>
      </c>
      <c r="B22" s="8">
        <v>2180040</v>
      </c>
    </row>
    <row r="23" spans="1:2" x14ac:dyDescent="0.2">
      <c r="A23" s="7" t="s">
        <v>142</v>
      </c>
      <c r="B23" s="8">
        <v>710400</v>
      </c>
    </row>
    <row r="24" spans="1:2" x14ac:dyDescent="0.2">
      <c r="A24" s="7" t="s">
        <v>191</v>
      </c>
      <c r="B24" s="8">
        <v>457320</v>
      </c>
    </row>
    <row r="25" spans="1:2" x14ac:dyDescent="0.2">
      <c r="A25" s="7" t="s">
        <v>161</v>
      </c>
      <c r="B25" s="8">
        <v>1012320</v>
      </c>
    </row>
    <row r="26" spans="1:2" x14ac:dyDescent="0.2">
      <c r="A26" s="6" t="s">
        <v>226</v>
      </c>
      <c r="B26" s="8">
        <v>19787489.98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2"/>
  <sheetViews>
    <sheetView workbookViewId="0">
      <pane ySplit="1" topLeftCell="A2" activePane="bottomLeft" state="frozen"/>
      <selection pane="bottomLeft" sqref="A1:Q102"/>
    </sheetView>
  </sheetViews>
  <sheetFormatPr baseColWidth="10" defaultColWidth="8.83203125" defaultRowHeight="15" x14ac:dyDescent="0.2"/>
  <cols>
    <col min="1" max="2" width="9.6640625" style="1" customWidth="1"/>
    <col min="3" max="3" width="15.5" style="2" customWidth="1"/>
    <col min="4" max="4" width="10.5" style="2" customWidth="1"/>
    <col min="5" max="5" width="39.5" style="2" customWidth="1"/>
    <col min="6" max="6" width="11.83203125" style="2" customWidth="1"/>
    <col min="7" max="7" width="15.1640625" style="2" customWidth="1"/>
    <col min="8" max="8" width="9" style="2" customWidth="1"/>
    <col min="9" max="9" width="37.33203125" style="2" customWidth="1"/>
    <col min="10" max="10" width="8.6640625" style="3" customWidth="1"/>
    <col min="11" max="11" width="7.6640625" style="2" customWidth="1"/>
    <col min="12" max="12" width="8.33203125" style="3" customWidth="1"/>
    <col min="13" max="13" width="13" style="3" customWidth="1"/>
    <col min="14" max="14" width="10.5" style="3" customWidth="1"/>
    <col min="15" max="15" width="10.5" style="2" customWidth="1"/>
    <col min="16" max="16" width="10.6640625" style="2" customWidth="1"/>
    <col min="17" max="17" width="32" style="2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1">
        <v>46191</v>
      </c>
      <c r="B2" s="1">
        <v>46190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50</v>
      </c>
      <c r="K2" s="2" t="s">
        <v>24</v>
      </c>
      <c r="L2" s="3">
        <v>50</v>
      </c>
      <c r="M2" s="3">
        <v>7800000.5300000003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">
      <c r="A3" s="1">
        <v>46191</v>
      </c>
      <c r="B3" s="1">
        <v>46190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5</v>
      </c>
      <c r="K3" s="2" t="s">
        <v>24</v>
      </c>
      <c r="L3" s="3">
        <v>5</v>
      </c>
      <c r="M3" s="3">
        <v>780000.05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">
      <c r="A4" s="1">
        <v>46191</v>
      </c>
      <c r="B4" s="1">
        <v>46190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32</v>
      </c>
      <c r="H4" s="2" t="s">
        <v>33</v>
      </c>
      <c r="I4" s="2" t="s">
        <v>34</v>
      </c>
      <c r="J4" s="3">
        <v>3</v>
      </c>
      <c r="K4" s="2" t="s">
        <v>35</v>
      </c>
      <c r="L4" s="3">
        <v>3</v>
      </c>
      <c r="M4" s="3">
        <v>900000</v>
      </c>
      <c r="N4" s="3">
        <v>0</v>
      </c>
      <c r="O4" s="2" t="s">
        <v>25</v>
      </c>
      <c r="P4" s="2" t="s">
        <v>26</v>
      </c>
      <c r="Q4" s="2" t="s">
        <v>36</v>
      </c>
    </row>
    <row r="5" spans="1:17" x14ac:dyDescent="0.2">
      <c r="A5" s="1">
        <v>46191</v>
      </c>
      <c r="B5" s="1">
        <v>46190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32</v>
      </c>
      <c r="H5" s="2" t="s">
        <v>22</v>
      </c>
      <c r="I5" s="2" t="s">
        <v>23</v>
      </c>
      <c r="J5" s="3">
        <v>30</v>
      </c>
      <c r="K5" s="2" t="s">
        <v>24</v>
      </c>
      <c r="L5" s="3">
        <v>0</v>
      </c>
      <c r="M5" s="3">
        <v>0</v>
      </c>
      <c r="N5" s="3">
        <v>-30</v>
      </c>
      <c r="O5" s="2" t="s">
        <v>25</v>
      </c>
      <c r="P5" s="2" t="s">
        <v>39</v>
      </c>
      <c r="Q5" s="2" t="s">
        <v>27</v>
      </c>
    </row>
    <row r="6" spans="1:17" x14ac:dyDescent="0.2">
      <c r="A6" s="1">
        <v>46191</v>
      </c>
      <c r="B6" s="1">
        <v>46190</v>
      </c>
      <c r="C6" s="2" t="s">
        <v>37</v>
      </c>
      <c r="D6" s="2" t="s">
        <v>18</v>
      </c>
      <c r="E6" s="2" t="s">
        <v>38</v>
      </c>
      <c r="F6" s="2" t="s">
        <v>20</v>
      </c>
      <c r="G6" s="2" t="s">
        <v>32</v>
      </c>
      <c r="H6" s="2" t="s">
        <v>28</v>
      </c>
      <c r="I6" s="2" t="s">
        <v>29</v>
      </c>
      <c r="J6" s="3">
        <v>5</v>
      </c>
      <c r="K6" s="2" t="s">
        <v>24</v>
      </c>
      <c r="L6" s="3">
        <v>0</v>
      </c>
      <c r="M6" s="3">
        <v>0</v>
      </c>
      <c r="N6" s="3">
        <v>-5</v>
      </c>
      <c r="O6" s="2" t="s">
        <v>25</v>
      </c>
      <c r="P6" s="2" t="s">
        <v>39</v>
      </c>
      <c r="Q6" s="2" t="s">
        <v>27</v>
      </c>
    </row>
    <row r="7" spans="1:17" x14ac:dyDescent="0.2">
      <c r="A7" s="1">
        <v>46191</v>
      </c>
      <c r="B7" s="1">
        <v>46190</v>
      </c>
      <c r="C7" s="2" t="s">
        <v>40</v>
      </c>
      <c r="D7" s="2" t="s">
        <v>18</v>
      </c>
      <c r="E7" s="2" t="s">
        <v>41</v>
      </c>
      <c r="F7" s="2" t="s">
        <v>20</v>
      </c>
      <c r="G7" s="2" t="s">
        <v>42</v>
      </c>
      <c r="H7" s="2" t="s">
        <v>43</v>
      </c>
      <c r="I7" s="2" t="s">
        <v>44</v>
      </c>
      <c r="J7" s="3">
        <v>3</v>
      </c>
      <c r="K7" s="2" t="s">
        <v>24</v>
      </c>
      <c r="L7" s="3">
        <v>3</v>
      </c>
      <c r="M7" s="3">
        <v>486000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">
      <c r="A8" s="1">
        <v>46191</v>
      </c>
      <c r="B8" s="1">
        <v>46190</v>
      </c>
      <c r="C8" s="2" t="s">
        <v>40</v>
      </c>
      <c r="D8" s="2" t="s">
        <v>18</v>
      </c>
      <c r="E8" s="2" t="s">
        <v>41</v>
      </c>
      <c r="F8" s="2" t="s">
        <v>20</v>
      </c>
      <c r="G8" s="2" t="s">
        <v>42</v>
      </c>
      <c r="H8" s="2" t="s">
        <v>22</v>
      </c>
      <c r="I8" s="2" t="s">
        <v>23</v>
      </c>
      <c r="J8" s="3">
        <v>11</v>
      </c>
      <c r="K8" s="2" t="s">
        <v>24</v>
      </c>
      <c r="L8" s="3">
        <v>11</v>
      </c>
      <c r="M8" s="3">
        <v>1861200.09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">
      <c r="A9" s="1">
        <v>46191</v>
      </c>
      <c r="B9" s="1">
        <v>46190</v>
      </c>
      <c r="C9" s="2" t="s">
        <v>40</v>
      </c>
      <c r="D9" s="2" t="s">
        <v>18</v>
      </c>
      <c r="E9" s="2" t="s">
        <v>41</v>
      </c>
      <c r="F9" s="2" t="s">
        <v>20</v>
      </c>
      <c r="G9" s="2" t="s">
        <v>42</v>
      </c>
      <c r="H9" s="2" t="s">
        <v>28</v>
      </c>
      <c r="I9" s="2" t="s">
        <v>29</v>
      </c>
      <c r="J9" s="3">
        <v>5</v>
      </c>
      <c r="K9" s="2" t="s">
        <v>24</v>
      </c>
      <c r="L9" s="3">
        <v>5</v>
      </c>
      <c r="M9" s="3">
        <v>899999.99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">
      <c r="A10" s="1">
        <v>46191</v>
      </c>
      <c r="B10" s="1">
        <v>46190</v>
      </c>
      <c r="C10" s="2" t="s">
        <v>45</v>
      </c>
      <c r="D10" s="2" t="s">
        <v>18</v>
      </c>
      <c r="E10" s="2" t="s">
        <v>38</v>
      </c>
      <c r="F10" s="2" t="s">
        <v>20</v>
      </c>
      <c r="G10" s="2" t="s">
        <v>32</v>
      </c>
      <c r="H10" s="2" t="s">
        <v>22</v>
      </c>
      <c r="I10" s="2" t="s">
        <v>23</v>
      </c>
      <c r="J10" s="3">
        <v>30</v>
      </c>
      <c r="K10" s="2" t="s">
        <v>24</v>
      </c>
      <c r="L10" s="3">
        <v>30</v>
      </c>
      <c r="M10" s="3">
        <v>4680000.32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">
      <c r="A11" s="1">
        <v>46191</v>
      </c>
      <c r="B11" s="1">
        <v>46190</v>
      </c>
      <c r="C11" s="2" t="s">
        <v>46</v>
      </c>
      <c r="D11" s="2" t="s">
        <v>18</v>
      </c>
      <c r="E11" s="2" t="s">
        <v>38</v>
      </c>
      <c r="F11" s="2" t="s">
        <v>20</v>
      </c>
      <c r="G11" s="2" t="s">
        <v>32</v>
      </c>
      <c r="H11" s="2" t="s">
        <v>28</v>
      </c>
      <c r="I11" s="2" t="s">
        <v>29</v>
      </c>
      <c r="J11" s="3">
        <v>5</v>
      </c>
      <c r="K11" s="2" t="s">
        <v>24</v>
      </c>
      <c r="L11" s="3">
        <v>5</v>
      </c>
      <c r="M11" s="3">
        <v>780000.05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">
      <c r="A12" s="1">
        <v>46191</v>
      </c>
      <c r="B12" s="1">
        <v>46190</v>
      </c>
      <c r="C12" s="2" t="s">
        <v>47</v>
      </c>
      <c r="D12" s="2" t="s">
        <v>18</v>
      </c>
      <c r="E12" s="2" t="s">
        <v>48</v>
      </c>
      <c r="F12" s="2" t="s">
        <v>20</v>
      </c>
      <c r="G12" s="2" t="s">
        <v>32</v>
      </c>
      <c r="H12" s="2" t="s">
        <v>28</v>
      </c>
      <c r="I12" s="2" t="s">
        <v>29</v>
      </c>
      <c r="J12" s="3">
        <v>4</v>
      </c>
      <c r="K12" s="2" t="s">
        <v>24</v>
      </c>
      <c r="L12" s="3">
        <v>4</v>
      </c>
      <c r="M12" s="3">
        <v>719999.99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">
      <c r="A13" s="1">
        <v>46191</v>
      </c>
      <c r="B13" s="1">
        <v>46190</v>
      </c>
      <c r="C13" s="2" t="s">
        <v>47</v>
      </c>
      <c r="D13" s="2" t="s">
        <v>18</v>
      </c>
      <c r="E13" s="2" t="s">
        <v>48</v>
      </c>
      <c r="F13" s="2" t="s">
        <v>20</v>
      </c>
      <c r="G13" s="2" t="s">
        <v>32</v>
      </c>
      <c r="H13" s="2" t="s">
        <v>22</v>
      </c>
      <c r="I13" s="2" t="s">
        <v>23</v>
      </c>
      <c r="J13" s="3">
        <v>7</v>
      </c>
      <c r="K13" s="2" t="s">
        <v>24</v>
      </c>
      <c r="L13" s="3">
        <v>7</v>
      </c>
      <c r="M13" s="3">
        <v>1259999.98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">
      <c r="A14" s="1">
        <v>46191</v>
      </c>
      <c r="B14" s="1">
        <v>46190</v>
      </c>
      <c r="C14" s="2" t="s">
        <v>49</v>
      </c>
      <c r="D14" s="2" t="s">
        <v>18</v>
      </c>
      <c r="E14" s="2" t="s">
        <v>50</v>
      </c>
      <c r="F14" s="2" t="s">
        <v>51</v>
      </c>
      <c r="G14" s="2" t="s">
        <v>52</v>
      </c>
      <c r="H14" s="2" t="s">
        <v>53</v>
      </c>
      <c r="I14" s="2" t="s">
        <v>54</v>
      </c>
      <c r="J14" s="3">
        <v>8</v>
      </c>
      <c r="K14" s="2" t="s">
        <v>55</v>
      </c>
      <c r="L14" s="3">
        <v>14.3599</v>
      </c>
      <c r="M14" s="3">
        <v>2513000</v>
      </c>
      <c r="N14" s="3">
        <v>6.3598999999999997</v>
      </c>
      <c r="O14" s="2" t="s">
        <v>25</v>
      </c>
      <c r="P14" s="2" t="s">
        <v>26</v>
      </c>
      <c r="Q14" s="2" t="s">
        <v>27</v>
      </c>
    </row>
    <row r="15" spans="1:17" x14ac:dyDescent="0.2">
      <c r="A15" s="1">
        <v>46191</v>
      </c>
      <c r="B15" s="1">
        <v>46190</v>
      </c>
      <c r="C15" s="2" t="s">
        <v>56</v>
      </c>
      <c r="D15" s="2" t="s">
        <v>18</v>
      </c>
      <c r="E15" s="2" t="s">
        <v>57</v>
      </c>
      <c r="F15" s="2" t="s">
        <v>51</v>
      </c>
      <c r="G15" s="2" t="s">
        <v>52</v>
      </c>
      <c r="H15" s="2" t="s">
        <v>33</v>
      </c>
      <c r="I15" s="2" t="s">
        <v>34</v>
      </c>
      <c r="J15" s="3">
        <v>2</v>
      </c>
      <c r="K15" s="2" t="s">
        <v>35</v>
      </c>
      <c r="L15" s="3">
        <v>2</v>
      </c>
      <c r="M15" s="3">
        <v>654900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">
      <c r="A16" s="1">
        <v>46191</v>
      </c>
      <c r="B16" s="1">
        <v>46190</v>
      </c>
      <c r="C16" s="2" t="s">
        <v>58</v>
      </c>
      <c r="D16" s="2" t="s">
        <v>18</v>
      </c>
      <c r="E16" s="2" t="s">
        <v>59</v>
      </c>
      <c r="F16" s="2" t="s">
        <v>51</v>
      </c>
      <c r="G16" s="2" t="s">
        <v>42</v>
      </c>
      <c r="H16" s="2" t="s">
        <v>60</v>
      </c>
      <c r="I16" s="2" t="s">
        <v>61</v>
      </c>
      <c r="J16" s="3">
        <v>1</v>
      </c>
      <c r="K16" s="2" t="s">
        <v>35</v>
      </c>
      <c r="L16" s="3">
        <v>1</v>
      </c>
      <c r="M16" s="3">
        <v>355200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">
      <c r="A17" s="1">
        <v>46191</v>
      </c>
      <c r="B17" s="1">
        <v>46190</v>
      </c>
      <c r="C17" s="2" t="s">
        <v>62</v>
      </c>
      <c r="D17" s="2" t="s">
        <v>18</v>
      </c>
      <c r="E17" s="2" t="s">
        <v>63</v>
      </c>
      <c r="F17" s="2" t="s">
        <v>51</v>
      </c>
      <c r="G17" s="2" t="s">
        <v>42</v>
      </c>
      <c r="H17" s="2" t="s">
        <v>64</v>
      </c>
      <c r="I17" s="2" t="s">
        <v>65</v>
      </c>
      <c r="J17" s="3">
        <v>2</v>
      </c>
      <c r="K17" s="2" t="s">
        <v>35</v>
      </c>
      <c r="L17" s="3">
        <v>2</v>
      </c>
      <c r="M17" s="3">
        <v>470000.02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">
      <c r="A18" s="1">
        <v>46191</v>
      </c>
      <c r="B18" s="1">
        <v>46190</v>
      </c>
      <c r="C18" s="2" t="s">
        <v>66</v>
      </c>
      <c r="D18" s="2" t="s">
        <v>18</v>
      </c>
      <c r="E18" s="2" t="s">
        <v>67</v>
      </c>
      <c r="F18" s="2" t="s">
        <v>51</v>
      </c>
      <c r="G18" s="2" t="s">
        <v>68</v>
      </c>
      <c r="H18" s="2" t="s">
        <v>33</v>
      </c>
      <c r="I18" s="2" t="s">
        <v>34</v>
      </c>
      <c r="J18" s="3">
        <v>1</v>
      </c>
      <c r="K18" s="2" t="s">
        <v>35</v>
      </c>
      <c r="L18" s="3">
        <v>1</v>
      </c>
      <c r="M18" s="3">
        <v>285000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">
      <c r="A19" s="1">
        <v>46191</v>
      </c>
      <c r="B19" s="1">
        <v>46190</v>
      </c>
      <c r="C19" s="2" t="s">
        <v>69</v>
      </c>
      <c r="D19" s="2" t="s">
        <v>18</v>
      </c>
      <c r="E19" s="2" t="s">
        <v>48</v>
      </c>
      <c r="F19" s="2" t="s">
        <v>20</v>
      </c>
      <c r="G19" s="2" t="s">
        <v>32</v>
      </c>
      <c r="H19" s="2" t="s">
        <v>22</v>
      </c>
      <c r="I19" s="2" t="s">
        <v>23</v>
      </c>
      <c r="J19" s="3">
        <v>7</v>
      </c>
      <c r="K19" s="2" t="s">
        <v>24</v>
      </c>
      <c r="L19" s="3">
        <v>0</v>
      </c>
      <c r="M19" s="3">
        <v>0</v>
      </c>
      <c r="N19" s="3">
        <v>-7</v>
      </c>
      <c r="O19" s="2" t="s">
        <v>25</v>
      </c>
      <c r="P19" s="2" t="s">
        <v>39</v>
      </c>
      <c r="Q19" s="2" t="s">
        <v>27</v>
      </c>
    </row>
    <row r="20" spans="1:17" x14ac:dyDescent="0.2">
      <c r="A20" s="1">
        <v>46191</v>
      </c>
      <c r="B20" s="1">
        <v>46190</v>
      </c>
      <c r="C20" s="2" t="s">
        <v>69</v>
      </c>
      <c r="D20" s="2" t="s">
        <v>18</v>
      </c>
      <c r="E20" s="2" t="s">
        <v>48</v>
      </c>
      <c r="F20" s="2" t="s">
        <v>20</v>
      </c>
      <c r="G20" s="2" t="s">
        <v>32</v>
      </c>
      <c r="H20" s="2" t="s">
        <v>28</v>
      </c>
      <c r="I20" s="2" t="s">
        <v>29</v>
      </c>
      <c r="J20" s="3">
        <v>4</v>
      </c>
      <c r="K20" s="2" t="s">
        <v>24</v>
      </c>
      <c r="L20" s="3">
        <v>0</v>
      </c>
      <c r="M20" s="3">
        <v>0</v>
      </c>
      <c r="N20" s="3">
        <v>-4</v>
      </c>
      <c r="O20" s="2" t="s">
        <v>25</v>
      </c>
      <c r="P20" s="2" t="s">
        <v>39</v>
      </c>
      <c r="Q20" s="2" t="s">
        <v>27</v>
      </c>
    </row>
    <row r="21" spans="1:17" x14ac:dyDescent="0.2">
      <c r="A21" s="1">
        <v>46191</v>
      </c>
      <c r="B21" s="1">
        <v>46190</v>
      </c>
      <c r="C21" s="2" t="s">
        <v>70</v>
      </c>
      <c r="D21" s="2" t="s">
        <v>18</v>
      </c>
      <c r="E21" s="2" t="s">
        <v>71</v>
      </c>
      <c r="F21" s="2" t="s">
        <v>20</v>
      </c>
      <c r="G21" s="2" t="s">
        <v>72</v>
      </c>
      <c r="H21" s="2" t="s">
        <v>28</v>
      </c>
      <c r="I21" s="2" t="s">
        <v>29</v>
      </c>
      <c r="J21" s="3">
        <v>1</v>
      </c>
      <c r="K21" s="2" t="s">
        <v>24</v>
      </c>
      <c r="L21" s="3">
        <v>1</v>
      </c>
      <c r="M21" s="3">
        <v>180000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">
      <c r="A22" s="1">
        <v>46191</v>
      </c>
      <c r="B22" s="1">
        <v>46190</v>
      </c>
      <c r="C22" s="2" t="s">
        <v>70</v>
      </c>
      <c r="D22" s="2" t="s">
        <v>18</v>
      </c>
      <c r="E22" s="2" t="s">
        <v>71</v>
      </c>
      <c r="F22" s="2" t="s">
        <v>20</v>
      </c>
      <c r="G22" s="2" t="s">
        <v>72</v>
      </c>
      <c r="H22" s="2" t="s">
        <v>22</v>
      </c>
      <c r="I22" s="2" t="s">
        <v>23</v>
      </c>
      <c r="J22" s="3">
        <v>3</v>
      </c>
      <c r="K22" s="2" t="s">
        <v>24</v>
      </c>
      <c r="L22" s="3">
        <v>3</v>
      </c>
      <c r="M22" s="3">
        <v>539999.99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">
      <c r="A23" s="1">
        <v>46191</v>
      </c>
      <c r="B23" s="1">
        <v>46190</v>
      </c>
      <c r="C23" s="2" t="s">
        <v>70</v>
      </c>
      <c r="D23" s="2" t="s">
        <v>18</v>
      </c>
      <c r="E23" s="2" t="s">
        <v>71</v>
      </c>
      <c r="F23" s="2" t="s">
        <v>20</v>
      </c>
      <c r="G23" s="2" t="s">
        <v>72</v>
      </c>
      <c r="H23" s="2" t="s">
        <v>73</v>
      </c>
      <c r="I23" s="2" t="s">
        <v>74</v>
      </c>
      <c r="J23" s="3">
        <v>1</v>
      </c>
      <c r="K23" s="2" t="s">
        <v>24</v>
      </c>
      <c r="L23" s="3">
        <v>1</v>
      </c>
      <c r="M23" s="3">
        <v>180000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">
      <c r="A24" s="1">
        <v>46191</v>
      </c>
      <c r="B24" s="1">
        <v>46190</v>
      </c>
      <c r="C24" s="2" t="s">
        <v>75</v>
      </c>
      <c r="D24" s="2" t="s">
        <v>18</v>
      </c>
      <c r="E24" s="2" t="s">
        <v>76</v>
      </c>
      <c r="F24" s="2" t="s">
        <v>51</v>
      </c>
      <c r="G24" s="2" t="s">
        <v>42</v>
      </c>
      <c r="H24" s="2" t="s">
        <v>22</v>
      </c>
      <c r="I24" s="2" t="s">
        <v>23</v>
      </c>
      <c r="J24" s="3">
        <v>20</v>
      </c>
      <c r="K24" s="2" t="s">
        <v>24</v>
      </c>
      <c r="L24" s="3">
        <v>20</v>
      </c>
      <c r="M24" s="3">
        <v>3599999.95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">
      <c r="A25" s="1">
        <v>46191</v>
      </c>
      <c r="B25" s="1">
        <v>46190</v>
      </c>
      <c r="C25" s="2" t="s">
        <v>77</v>
      </c>
      <c r="D25" s="2" t="s">
        <v>18</v>
      </c>
      <c r="E25" s="2" t="s">
        <v>78</v>
      </c>
      <c r="F25" s="2" t="s">
        <v>20</v>
      </c>
      <c r="G25" s="2" t="s">
        <v>79</v>
      </c>
      <c r="H25" s="2" t="s">
        <v>80</v>
      </c>
      <c r="I25" s="2" t="s">
        <v>81</v>
      </c>
      <c r="J25" s="3">
        <v>12</v>
      </c>
      <c r="K25" s="2" t="s">
        <v>82</v>
      </c>
      <c r="L25" s="3">
        <v>12</v>
      </c>
      <c r="M25" s="3">
        <v>719280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">
      <c r="A26" s="1">
        <v>46191</v>
      </c>
      <c r="B26" s="1">
        <v>46190</v>
      </c>
      <c r="C26" s="2" t="s">
        <v>83</v>
      </c>
      <c r="D26" s="2" t="s">
        <v>18</v>
      </c>
      <c r="E26" s="2" t="s">
        <v>84</v>
      </c>
      <c r="F26" s="2" t="s">
        <v>20</v>
      </c>
      <c r="G26" s="2" t="s">
        <v>42</v>
      </c>
      <c r="H26" s="2" t="s">
        <v>73</v>
      </c>
      <c r="I26" s="2" t="s">
        <v>74</v>
      </c>
      <c r="J26" s="3">
        <v>1</v>
      </c>
      <c r="K26" s="2" t="s">
        <v>24</v>
      </c>
      <c r="L26" s="3">
        <v>1</v>
      </c>
      <c r="M26" s="3">
        <v>180000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">
      <c r="A27" s="1">
        <v>46191</v>
      </c>
      <c r="B27" s="1">
        <v>46190</v>
      </c>
      <c r="C27" s="2" t="s">
        <v>83</v>
      </c>
      <c r="D27" s="2" t="s">
        <v>18</v>
      </c>
      <c r="E27" s="2" t="s">
        <v>84</v>
      </c>
      <c r="F27" s="2" t="s">
        <v>20</v>
      </c>
      <c r="G27" s="2" t="s">
        <v>42</v>
      </c>
      <c r="H27" s="2" t="s">
        <v>43</v>
      </c>
      <c r="I27" s="2" t="s">
        <v>44</v>
      </c>
      <c r="J27" s="3">
        <v>7</v>
      </c>
      <c r="K27" s="2" t="s">
        <v>24</v>
      </c>
      <c r="L27" s="3">
        <v>7</v>
      </c>
      <c r="M27" s="3">
        <v>1119999.97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">
      <c r="A28" s="1">
        <v>46191</v>
      </c>
      <c r="B28" s="1">
        <v>46190</v>
      </c>
      <c r="C28" s="2" t="s">
        <v>85</v>
      </c>
      <c r="D28" s="2" t="s">
        <v>18</v>
      </c>
      <c r="E28" s="2" t="s">
        <v>86</v>
      </c>
      <c r="F28" s="2" t="s">
        <v>20</v>
      </c>
      <c r="G28" s="2" t="s">
        <v>52</v>
      </c>
      <c r="H28" s="2" t="s">
        <v>87</v>
      </c>
      <c r="I28" s="2" t="s">
        <v>88</v>
      </c>
      <c r="J28" s="3">
        <v>6</v>
      </c>
      <c r="K28" s="2" t="s">
        <v>89</v>
      </c>
      <c r="L28" s="3">
        <v>6</v>
      </c>
      <c r="M28" s="3">
        <v>792000.01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">
      <c r="A29" s="1">
        <v>46191</v>
      </c>
      <c r="B29" s="1">
        <v>46190</v>
      </c>
      <c r="C29" s="2" t="s">
        <v>85</v>
      </c>
      <c r="D29" s="2" t="s">
        <v>18</v>
      </c>
      <c r="E29" s="2" t="s">
        <v>86</v>
      </c>
      <c r="F29" s="2" t="s">
        <v>20</v>
      </c>
      <c r="G29" s="2" t="s">
        <v>52</v>
      </c>
      <c r="H29" s="2" t="s">
        <v>90</v>
      </c>
      <c r="I29" s="2" t="s">
        <v>91</v>
      </c>
      <c r="J29" s="3">
        <v>6</v>
      </c>
      <c r="K29" s="2" t="s">
        <v>89</v>
      </c>
      <c r="L29" s="3">
        <v>6</v>
      </c>
      <c r="M29" s="3">
        <v>792000.01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">
      <c r="A30" s="1">
        <v>46191</v>
      </c>
      <c r="B30" s="1">
        <v>46190</v>
      </c>
      <c r="C30" s="2" t="s">
        <v>85</v>
      </c>
      <c r="D30" s="2" t="s">
        <v>18</v>
      </c>
      <c r="E30" s="2" t="s">
        <v>86</v>
      </c>
      <c r="F30" s="2" t="s">
        <v>20</v>
      </c>
      <c r="G30" s="2" t="s">
        <v>52</v>
      </c>
      <c r="H30" s="2" t="s">
        <v>92</v>
      </c>
      <c r="I30" s="2" t="s">
        <v>93</v>
      </c>
      <c r="J30" s="3">
        <v>6</v>
      </c>
      <c r="K30" s="2" t="s">
        <v>89</v>
      </c>
      <c r="L30" s="3">
        <v>6</v>
      </c>
      <c r="M30" s="3">
        <v>648000.02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">
      <c r="A31" s="1">
        <v>46191</v>
      </c>
      <c r="B31" s="1">
        <v>46190</v>
      </c>
      <c r="C31" s="2" t="s">
        <v>85</v>
      </c>
      <c r="D31" s="2" t="s">
        <v>18</v>
      </c>
      <c r="E31" s="2" t="s">
        <v>86</v>
      </c>
      <c r="F31" s="2" t="s">
        <v>20</v>
      </c>
      <c r="G31" s="2" t="s">
        <v>52</v>
      </c>
      <c r="H31" s="2" t="s">
        <v>94</v>
      </c>
      <c r="I31" s="2" t="s">
        <v>95</v>
      </c>
      <c r="J31" s="3">
        <v>6</v>
      </c>
      <c r="K31" s="2" t="s">
        <v>89</v>
      </c>
      <c r="L31" s="3">
        <v>6</v>
      </c>
      <c r="M31" s="3">
        <v>648000.01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">
      <c r="A32" s="1">
        <v>46191</v>
      </c>
      <c r="B32" s="1">
        <v>46190</v>
      </c>
      <c r="C32" s="2" t="s">
        <v>96</v>
      </c>
      <c r="D32" s="2" t="s">
        <v>18</v>
      </c>
      <c r="E32" s="2" t="s">
        <v>97</v>
      </c>
      <c r="F32" s="2" t="s">
        <v>20</v>
      </c>
      <c r="G32" s="2" t="s">
        <v>21</v>
      </c>
      <c r="H32" s="2" t="s">
        <v>28</v>
      </c>
      <c r="I32" s="2" t="s">
        <v>29</v>
      </c>
      <c r="J32" s="3">
        <v>3</v>
      </c>
      <c r="K32" s="2" t="s">
        <v>24</v>
      </c>
      <c r="L32" s="3">
        <v>3</v>
      </c>
      <c r="M32" s="3">
        <v>539999.99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">
      <c r="A33" s="1">
        <v>46191</v>
      </c>
      <c r="B33" s="1">
        <v>46190</v>
      </c>
      <c r="C33" s="2" t="s">
        <v>98</v>
      </c>
      <c r="D33" s="2" t="s">
        <v>18</v>
      </c>
      <c r="E33" s="2" t="s">
        <v>99</v>
      </c>
      <c r="F33" s="2" t="s">
        <v>20</v>
      </c>
      <c r="G33" s="2" t="s">
        <v>100</v>
      </c>
      <c r="H33" s="2" t="s">
        <v>101</v>
      </c>
      <c r="I33" s="2" t="s">
        <v>102</v>
      </c>
      <c r="J33" s="3">
        <v>10</v>
      </c>
      <c r="K33" s="2" t="s">
        <v>55</v>
      </c>
      <c r="L33" s="3">
        <v>10</v>
      </c>
      <c r="M33" s="3">
        <v>166500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">
      <c r="A34" s="1">
        <v>46191</v>
      </c>
      <c r="B34" s="1">
        <v>46190</v>
      </c>
      <c r="C34" s="2" t="s">
        <v>103</v>
      </c>
      <c r="D34" s="2" t="s">
        <v>18</v>
      </c>
      <c r="E34" s="2" t="s">
        <v>104</v>
      </c>
      <c r="F34" s="2" t="s">
        <v>20</v>
      </c>
      <c r="G34" s="2" t="s">
        <v>100</v>
      </c>
      <c r="H34" s="2" t="s">
        <v>33</v>
      </c>
      <c r="I34" s="2" t="s">
        <v>34</v>
      </c>
      <c r="J34" s="3">
        <v>1</v>
      </c>
      <c r="K34" s="2" t="s">
        <v>35</v>
      </c>
      <c r="L34" s="3">
        <v>1</v>
      </c>
      <c r="M34" s="3">
        <v>280000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">
      <c r="A35" s="1">
        <v>46191</v>
      </c>
      <c r="B35" s="1">
        <v>46190</v>
      </c>
      <c r="C35" s="2" t="s">
        <v>105</v>
      </c>
      <c r="D35" s="2" t="s">
        <v>18</v>
      </c>
      <c r="E35" s="2" t="s">
        <v>106</v>
      </c>
      <c r="F35" s="2" t="s">
        <v>20</v>
      </c>
      <c r="G35" s="2" t="s">
        <v>72</v>
      </c>
      <c r="H35" s="2" t="s">
        <v>107</v>
      </c>
      <c r="I35" s="2" t="s">
        <v>108</v>
      </c>
      <c r="J35" s="3">
        <v>12</v>
      </c>
      <c r="K35" s="2" t="s">
        <v>109</v>
      </c>
      <c r="L35" s="3">
        <v>12</v>
      </c>
      <c r="M35" s="3">
        <v>559440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">
      <c r="A36" s="1">
        <v>46191</v>
      </c>
      <c r="B36" s="1">
        <v>46190</v>
      </c>
      <c r="C36" s="2" t="s">
        <v>110</v>
      </c>
      <c r="D36" s="2" t="s">
        <v>18</v>
      </c>
      <c r="E36" s="2" t="s">
        <v>111</v>
      </c>
      <c r="F36" s="2" t="s">
        <v>51</v>
      </c>
      <c r="G36" s="2" t="s">
        <v>21</v>
      </c>
      <c r="H36" s="2" t="s">
        <v>33</v>
      </c>
      <c r="I36" s="2" t="s">
        <v>34</v>
      </c>
      <c r="J36" s="3">
        <v>10</v>
      </c>
      <c r="K36" s="2" t="s">
        <v>35</v>
      </c>
      <c r="L36" s="3">
        <v>10</v>
      </c>
      <c r="M36" s="3">
        <v>3274500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">
      <c r="A37" s="1">
        <v>46191</v>
      </c>
      <c r="B37" s="1">
        <v>46190</v>
      </c>
      <c r="C37" s="2" t="s">
        <v>110</v>
      </c>
      <c r="D37" s="2" t="s">
        <v>18</v>
      </c>
      <c r="E37" s="2" t="s">
        <v>111</v>
      </c>
      <c r="F37" s="2" t="s">
        <v>51</v>
      </c>
      <c r="G37" s="2" t="s">
        <v>21</v>
      </c>
      <c r="H37" s="2" t="s">
        <v>112</v>
      </c>
      <c r="I37" s="2" t="s">
        <v>113</v>
      </c>
      <c r="J37" s="3">
        <v>3</v>
      </c>
      <c r="K37" s="2" t="s">
        <v>35</v>
      </c>
      <c r="L37" s="3">
        <v>3</v>
      </c>
      <c r="M37" s="3">
        <v>949050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">
      <c r="A38" s="1">
        <v>46191</v>
      </c>
      <c r="B38" s="1">
        <v>46190</v>
      </c>
      <c r="C38" s="2" t="s">
        <v>114</v>
      </c>
      <c r="D38" s="2" t="s">
        <v>18</v>
      </c>
      <c r="E38" s="2" t="s">
        <v>115</v>
      </c>
      <c r="F38" s="2" t="s">
        <v>20</v>
      </c>
      <c r="G38" s="2" t="s">
        <v>32</v>
      </c>
      <c r="H38" s="2" t="s">
        <v>60</v>
      </c>
      <c r="I38" s="2" t="s">
        <v>61</v>
      </c>
      <c r="J38" s="3">
        <v>2</v>
      </c>
      <c r="K38" s="2" t="s">
        <v>35</v>
      </c>
      <c r="L38" s="3">
        <v>2</v>
      </c>
      <c r="M38" s="3">
        <v>580000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">
      <c r="A39" s="1">
        <v>46191</v>
      </c>
      <c r="B39" s="1">
        <v>46190</v>
      </c>
      <c r="C39" s="2" t="s">
        <v>116</v>
      </c>
      <c r="D39" s="2" t="s">
        <v>18</v>
      </c>
      <c r="E39" s="2" t="s">
        <v>117</v>
      </c>
      <c r="F39" s="2" t="s">
        <v>51</v>
      </c>
      <c r="G39" s="2" t="s">
        <v>68</v>
      </c>
      <c r="H39" s="2" t="s">
        <v>33</v>
      </c>
      <c r="I39" s="2" t="s">
        <v>34</v>
      </c>
      <c r="J39" s="3">
        <v>1</v>
      </c>
      <c r="K39" s="2" t="s">
        <v>35</v>
      </c>
      <c r="L39" s="3">
        <v>1</v>
      </c>
      <c r="M39" s="3">
        <v>285000</v>
      </c>
      <c r="N39" s="3">
        <v>0</v>
      </c>
      <c r="O39" s="2" t="s">
        <v>25</v>
      </c>
      <c r="P39" s="2" t="s">
        <v>26</v>
      </c>
      <c r="Q39" s="2" t="s">
        <v>118</v>
      </c>
    </row>
    <row r="40" spans="1:17" x14ac:dyDescent="0.2">
      <c r="A40" s="1">
        <v>46191</v>
      </c>
      <c r="B40" s="1">
        <v>46190</v>
      </c>
      <c r="C40" s="2" t="s">
        <v>119</v>
      </c>
      <c r="D40" s="2" t="s">
        <v>18</v>
      </c>
      <c r="E40" s="2" t="s">
        <v>120</v>
      </c>
      <c r="F40" s="2" t="s">
        <v>51</v>
      </c>
      <c r="G40" s="2" t="s">
        <v>121</v>
      </c>
      <c r="H40" s="2" t="s">
        <v>122</v>
      </c>
      <c r="I40" s="2" t="s">
        <v>123</v>
      </c>
      <c r="J40" s="3">
        <v>3</v>
      </c>
      <c r="K40" s="2" t="s">
        <v>124</v>
      </c>
      <c r="L40" s="3">
        <v>3</v>
      </c>
      <c r="M40" s="3">
        <v>267000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">
      <c r="A41" s="1">
        <v>46191</v>
      </c>
      <c r="B41" s="1">
        <v>46190</v>
      </c>
      <c r="C41" s="2" t="s">
        <v>119</v>
      </c>
      <c r="D41" s="2" t="s">
        <v>18</v>
      </c>
      <c r="E41" s="2" t="s">
        <v>120</v>
      </c>
      <c r="F41" s="2" t="s">
        <v>51</v>
      </c>
      <c r="G41" s="2" t="s">
        <v>121</v>
      </c>
      <c r="H41" s="2" t="s">
        <v>125</v>
      </c>
      <c r="I41" s="2" t="s">
        <v>126</v>
      </c>
      <c r="J41" s="3">
        <v>1</v>
      </c>
      <c r="K41" s="2" t="s">
        <v>124</v>
      </c>
      <c r="L41" s="3">
        <v>1</v>
      </c>
      <c r="M41" s="3">
        <v>64200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">
      <c r="A42" s="1">
        <v>46191</v>
      </c>
      <c r="B42" s="1">
        <v>46190</v>
      </c>
      <c r="C42" s="2" t="s">
        <v>119</v>
      </c>
      <c r="D42" s="2" t="s">
        <v>18</v>
      </c>
      <c r="E42" s="2" t="s">
        <v>120</v>
      </c>
      <c r="F42" s="2" t="s">
        <v>51</v>
      </c>
      <c r="G42" s="2" t="s">
        <v>121</v>
      </c>
      <c r="H42" s="2" t="s">
        <v>127</v>
      </c>
      <c r="I42" s="2" t="s">
        <v>128</v>
      </c>
      <c r="J42" s="3">
        <v>1</v>
      </c>
      <c r="K42" s="2" t="s">
        <v>124</v>
      </c>
      <c r="L42" s="3">
        <v>1</v>
      </c>
      <c r="M42" s="3">
        <v>51100.01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">
      <c r="A43" s="1">
        <v>46191</v>
      </c>
      <c r="B43" s="1">
        <v>46190</v>
      </c>
      <c r="C43" s="2" t="s">
        <v>129</v>
      </c>
      <c r="D43" s="2" t="s">
        <v>18</v>
      </c>
      <c r="E43" s="2" t="s">
        <v>130</v>
      </c>
      <c r="F43" s="2" t="s">
        <v>20</v>
      </c>
      <c r="G43" s="2" t="s">
        <v>72</v>
      </c>
      <c r="H43" s="2" t="s">
        <v>131</v>
      </c>
      <c r="I43" s="2" t="s">
        <v>132</v>
      </c>
      <c r="J43" s="3">
        <v>15</v>
      </c>
      <c r="K43" s="2" t="s">
        <v>109</v>
      </c>
      <c r="L43" s="3">
        <v>15</v>
      </c>
      <c r="M43" s="3">
        <v>1050000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">
      <c r="A44" s="1">
        <v>46191</v>
      </c>
      <c r="B44" s="1">
        <v>46190</v>
      </c>
      <c r="C44" s="2" t="s">
        <v>129</v>
      </c>
      <c r="D44" s="2" t="s">
        <v>18</v>
      </c>
      <c r="E44" s="2" t="s">
        <v>130</v>
      </c>
      <c r="F44" s="2" t="s">
        <v>20</v>
      </c>
      <c r="G44" s="2" t="s">
        <v>72</v>
      </c>
      <c r="H44" s="2" t="s">
        <v>133</v>
      </c>
      <c r="I44" s="2" t="s">
        <v>134</v>
      </c>
      <c r="J44" s="3">
        <v>15</v>
      </c>
      <c r="K44" s="2" t="s">
        <v>109</v>
      </c>
      <c r="L44" s="3">
        <v>15</v>
      </c>
      <c r="M44" s="3">
        <v>1050000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">
      <c r="A45" s="1">
        <v>46191</v>
      </c>
      <c r="B45" s="1">
        <v>46190</v>
      </c>
      <c r="C45" s="2" t="s">
        <v>129</v>
      </c>
      <c r="D45" s="2" t="s">
        <v>18</v>
      </c>
      <c r="E45" s="2" t="s">
        <v>130</v>
      </c>
      <c r="F45" s="2" t="s">
        <v>20</v>
      </c>
      <c r="G45" s="2" t="s">
        <v>72</v>
      </c>
      <c r="H45" s="2" t="s">
        <v>135</v>
      </c>
      <c r="I45" s="2" t="s">
        <v>136</v>
      </c>
      <c r="J45" s="3">
        <v>10</v>
      </c>
      <c r="K45" s="2" t="s">
        <v>109</v>
      </c>
      <c r="L45" s="3">
        <v>10</v>
      </c>
      <c r="M45" s="3">
        <v>700000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">
      <c r="A46" s="1">
        <v>46191</v>
      </c>
      <c r="B46" s="1">
        <v>46190</v>
      </c>
      <c r="C46" s="2" t="s">
        <v>129</v>
      </c>
      <c r="D46" s="2" t="s">
        <v>18</v>
      </c>
      <c r="E46" s="2" t="s">
        <v>130</v>
      </c>
      <c r="F46" s="2" t="s">
        <v>20</v>
      </c>
      <c r="G46" s="2" t="s">
        <v>72</v>
      </c>
      <c r="H46" s="2" t="s">
        <v>137</v>
      </c>
      <c r="I46" s="2" t="s">
        <v>138</v>
      </c>
      <c r="J46" s="3">
        <v>600</v>
      </c>
      <c r="K46" s="2" t="s">
        <v>109</v>
      </c>
      <c r="L46" s="3">
        <v>600</v>
      </c>
      <c r="M46" s="3">
        <v>900000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">
      <c r="A47" s="1">
        <v>46191</v>
      </c>
      <c r="B47" s="1">
        <v>46190</v>
      </c>
      <c r="C47" s="2" t="s">
        <v>129</v>
      </c>
      <c r="D47" s="2" t="s">
        <v>18</v>
      </c>
      <c r="E47" s="2" t="s">
        <v>130</v>
      </c>
      <c r="F47" s="2" t="s">
        <v>20</v>
      </c>
      <c r="G47" s="2" t="s">
        <v>72</v>
      </c>
      <c r="H47" s="2" t="s">
        <v>43</v>
      </c>
      <c r="I47" s="2" t="s">
        <v>44</v>
      </c>
      <c r="J47" s="3">
        <v>15</v>
      </c>
      <c r="K47" s="2" t="s">
        <v>24</v>
      </c>
      <c r="L47" s="3">
        <v>15</v>
      </c>
      <c r="M47" s="3">
        <v>2699999.96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">
      <c r="A48" s="1">
        <v>46191</v>
      </c>
      <c r="B48" s="1">
        <v>46190</v>
      </c>
      <c r="C48" s="2" t="s">
        <v>129</v>
      </c>
      <c r="D48" s="2" t="s">
        <v>18</v>
      </c>
      <c r="E48" s="2" t="s">
        <v>130</v>
      </c>
      <c r="F48" s="2" t="s">
        <v>20</v>
      </c>
      <c r="G48" s="2" t="s">
        <v>72</v>
      </c>
      <c r="H48" s="2" t="s">
        <v>73</v>
      </c>
      <c r="I48" s="2" t="s">
        <v>74</v>
      </c>
      <c r="J48" s="3">
        <v>15</v>
      </c>
      <c r="K48" s="2" t="s">
        <v>24</v>
      </c>
      <c r="L48" s="3">
        <v>15</v>
      </c>
      <c r="M48" s="3">
        <v>2699999.96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">
      <c r="A49" s="1">
        <v>46191</v>
      </c>
      <c r="B49" s="1">
        <v>46190</v>
      </c>
      <c r="C49" s="2" t="s">
        <v>129</v>
      </c>
      <c r="D49" s="2" t="s">
        <v>18</v>
      </c>
      <c r="E49" s="2" t="s">
        <v>130</v>
      </c>
      <c r="F49" s="2" t="s">
        <v>20</v>
      </c>
      <c r="G49" s="2" t="s">
        <v>72</v>
      </c>
      <c r="H49" s="2" t="s">
        <v>139</v>
      </c>
      <c r="I49" s="2" t="s">
        <v>140</v>
      </c>
      <c r="J49" s="3">
        <v>120</v>
      </c>
      <c r="K49" s="2" t="s">
        <v>109</v>
      </c>
      <c r="L49" s="3">
        <v>120</v>
      </c>
      <c r="M49" s="3">
        <v>300000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">
      <c r="A50" s="1">
        <v>46191</v>
      </c>
      <c r="B50" s="1">
        <v>46190</v>
      </c>
      <c r="C50" s="2" t="s">
        <v>129</v>
      </c>
      <c r="D50" s="2" t="s">
        <v>18</v>
      </c>
      <c r="E50" s="2" t="s">
        <v>130</v>
      </c>
      <c r="F50" s="2" t="s">
        <v>20</v>
      </c>
      <c r="G50" s="2" t="s">
        <v>72</v>
      </c>
      <c r="H50" s="2" t="s">
        <v>28</v>
      </c>
      <c r="I50" s="2" t="s">
        <v>29</v>
      </c>
      <c r="J50" s="3">
        <v>10</v>
      </c>
      <c r="K50" s="2" t="s">
        <v>24</v>
      </c>
      <c r="L50" s="3">
        <v>10</v>
      </c>
      <c r="M50" s="3">
        <v>1799999.98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">
      <c r="A51" s="1">
        <v>46191</v>
      </c>
      <c r="B51" s="1">
        <v>46190</v>
      </c>
      <c r="C51" s="2" t="s">
        <v>141</v>
      </c>
      <c r="D51" s="2" t="s">
        <v>18</v>
      </c>
      <c r="E51" s="2" t="s">
        <v>142</v>
      </c>
      <c r="F51" s="2" t="s">
        <v>51</v>
      </c>
      <c r="G51" s="2" t="s">
        <v>32</v>
      </c>
      <c r="H51" s="2" t="s">
        <v>60</v>
      </c>
      <c r="I51" s="2" t="s">
        <v>61</v>
      </c>
      <c r="J51" s="3">
        <v>2</v>
      </c>
      <c r="K51" s="2" t="s">
        <v>35</v>
      </c>
      <c r="L51" s="3">
        <v>2</v>
      </c>
      <c r="M51" s="3">
        <v>710400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">
      <c r="A52" s="1">
        <v>46191</v>
      </c>
      <c r="B52" s="1">
        <v>46190</v>
      </c>
      <c r="C52" s="2" t="s">
        <v>143</v>
      </c>
      <c r="D52" s="2" t="s">
        <v>18</v>
      </c>
      <c r="E52" s="2" t="s">
        <v>144</v>
      </c>
      <c r="F52" s="2" t="s">
        <v>20</v>
      </c>
      <c r="G52" s="2" t="s">
        <v>52</v>
      </c>
      <c r="H52" s="2" t="s">
        <v>145</v>
      </c>
      <c r="I52" s="2" t="s">
        <v>146</v>
      </c>
      <c r="J52" s="3">
        <v>100</v>
      </c>
      <c r="K52" s="2" t="s">
        <v>55</v>
      </c>
      <c r="L52" s="3">
        <v>100</v>
      </c>
      <c r="M52" s="3">
        <v>3000000.33</v>
      </c>
      <c r="N52" s="3">
        <v>0</v>
      </c>
      <c r="O52" s="2" t="s">
        <v>25</v>
      </c>
      <c r="P52" s="2" t="s">
        <v>26</v>
      </c>
      <c r="Q52" s="2" t="s">
        <v>147</v>
      </c>
    </row>
    <row r="53" spans="1:17" x14ac:dyDescent="0.2">
      <c r="A53" s="1">
        <v>46191</v>
      </c>
      <c r="B53" s="1">
        <v>46190</v>
      </c>
      <c r="C53" s="2" t="s">
        <v>148</v>
      </c>
      <c r="D53" s="2" t="s">
        <v>18</v>
      </c>
      <c r="E53" s="2" t="s">
        <v>149</v>
      </c>
      <c r="F53" s="2" t="s">
        <v>20</v>
      </c>
      <c r="G53" s="2" t="s">
        <v>150</v>
      </c>
      <c r="H53" s="2" t="s">
        <v>60</v>
      </c>
      <c r="I53" s="2" t="s">
        <v>61</v>
      </c>
      <c r="J53" s="3">
        <v>1</v>
      </c>
      <c r="K53" s="2" t="s">
        <v>35</v>
      </c>
      <c r="L53" s="3">
        <v>1</v>
      </c>
      <c r="M53" s="3">
        <v>310000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">
      <c r="A54" s="1">
        <v>46191</v>
      </c>
      <c r="B54" s="1">
        <v>46190</v>
      </c>
      <c r="C54" s="2" t="s">
        <v>151</v>
      </c>
      <c r="D54" s="2" t="s">
        <v>18</v>
      </c>
      <c r="E54" s="2" t="s">
        <v>152</v>
      </c>
      <c r="F54" s="2" t="s">
        <v>51</v>
      </c>
      <c r="G54" s="2" t="s">
        <v>52</v>
      </c>
      <c r="H54" s="2" t="s">
        <v>153</v>
      </c>
      <c r="I54" s="2" t="s">
        <v>154</v>
      </c>
      <c r="J54" s="3">
        <v>1</v>
      </c>
      <c r="K54" s="2" t="s">
        <v>35</v>
      </c>
      <c r="L54" s="3">
        <v>1</v>
      </c>
      <c r="M54" s="3">
        <v>577200</v>
      </c>
      <c r="N54" s="3">
        <v>0</v>
      </c>
      <c r="O54" s="2" t="s">
        <v>25</v>
      </c>
      <c r="P54" s="2" t="s">
        <v>26</v>
      </c>
      <c r="Q54" s="2" t="s">
        <v>155</v>
      </c>
    </row>
    <row r="55" spans="1:17" x14ac:dyDescent="0.2">
      <c r="A55" s="1">
        <v>46191</v>
      </c>
      <c r="B55" s="1">
        <v>46190</v>
      </c>
      <c r="C55" s="2" t="s">
        <v>151</v>
      </c>
      <c r="D55" s="2" t="s">
        <v>18</v>
      </c>
      <c r="E55" s="2" t="s">
        <v>152</v>
      </c>
      <c r="F55" s="2" t="s">
        <v>51</v>
      </c>
      <c r="G55" s="2" t="s">
        <v>52</v>
      </c>
      <c r="H55" s="2" t="s">
        <v>60</v>
      </c>
      <c r="I55" s="2" t="s">
        <v>61</v>
      </c>
      <c r="J55" s="3">
        <v>4</v>
      </c>
      <c r="K55" s="2" t="s">
        <v>35</v>
      </c>
      <c r="L55" s="3">
        <v>4</v>
      </c>
      <c r="M55" s="3">
        <v>1420800</v>
      </c>
      <c r="N55" s="3">
        <v>0</v>
      </c>
      <c r="O55" s="2" t="s">
        <v>25</v>
      </c>
      <c r="P55" s="2" t="s">
        <v>26</v>
      </c>
      <c r="Q55" s="2" t="s">
        <v>155</v>
      </c>
    </row>
    <row r="56" spans="1:17" x14ac:dyDescent="0.2">
      <c r="A56" s="1">
        <v>46191</v>
      </c>
      <c r="B56" s="1">
        <v>46190</v>
      </c>
      <c r="C56" s="2" t="s">
        <v>151</v>
      </c>
      <c r="D56" s="2" t="s">
        <v>18</v>
      </c>
      <c r="E56" s="2" t="s">
        <v>152</v>
      </c>
      <c r="F56" s="2" t="s">
        <v>51</v>
      </c>
      <c r="G56" s="2" t="s">
        <v>52</v>
      </c>
      <c r="H56" s="2" t="s">
        <v>33</v>
      </c>
      <c r="I56" s="2" t="s">
        <v>34</v>
      </c>
      <c r="J56" s="3">
        <v>2</v>
      </c>
      <c r="K56" s="2" t="s">
        <v>35</v>
      </c>
      <c r="L56" s="3">
        <v>2</v>
      </c>
      <c r="M56" s="3">
        <v>654900</v>
      </c>
      <c r="N56" s="3">
        <v>0</v>
      </c>
      <c r="O56" s="2" t="s">
        <v>25</v>
      </c>
      <c r="P56" s="2" t="s">
        <v>26</v>
      </c>
      <c r="Q56" s="2" t="s">
        <v>155</v>
      </c>
    </row>
    <row r="57" spans="1:17" x14ac:dyDescent="0.2">
      <c r="A57" s="1">
        <v>46191</v>
      </c>
      <c r="B57" s="1">
        <v>46190</v>
      </c>
      <c r="C57" s="2" t="s">
        <v>156</v>
      </c>
      <c r="D57" s="2" t="s">
        <v>18</v>
      </c>
      <c r="E57" s="2" t="s">
        <v>157</v>
      </c>
      <c r="F57" s="2" t="s">
        <v>20</v>
      </c>
      <c r="G57" s="2" t="s">
        <v>32</v>
      </c>
      <c r="H57" s="2" t="s">
        <v>158</v>
      </c>
      <c r="I57" s="2" t="s">
        <v>159</v>
      </c>
      <c r="J57" s="3">
        <v>12</v>
      </c>
      <c r="K57" s="2" t="s">
        <v>124</v>
      </c>
      <c r="L57" s="3">
        <v>12</v>
      </c>
      <c r="M57" s="3">
        <v>506160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">
      <c r="A58" s="1">
        <v>46191</v>
      </c>
      <c r="B58" s="1">
        <v>46190</v>
      </c>
      <c r="C58" s="2" t="s">
        <v>160</v>
      </c>
      <c r="D58" s="2" t="s">
        <v>18</v>
      </c>
      <c r="E58" s="2" t="s">
        <v>161</v>
      </c>
      <c r="F58" s="2" t="s">
        <v>51</v>
      </c>
      <c r="G58" s="2" t="s">
        <v>32</v>
      </c>
      <c r="H58" s="2" t="s">
        <v>158</v>
      </c>
      <c r="I58" s="2" t="s">
        <v>159</v>
      </c>
      <c r="J58" s="3">
        <v>24</v>
      </c>
      <c r="K58" s="2" t="s">
        <v>124</v>
      </c>
      <c r="L58" s="3">
        <v>24</v>
      </c>
      <c r="M58" s="3">
        <v>1012320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">
      <c r="A59" s="1">
        <v>46191</v>
      </c>
      <c r="B59" s="1">
        <v>46190</v>
      </c>
      <c r="C59" s="2" t="s">
        <v>162</v>
      </c>
      <c r="D59" s="2" t="s">
        <v>18</v>
      </c>
      <c r="E59" s="2" t="s">
        <v>163</v>
      </c>
      <c r="F59" s="2" t="s">
        <v>20</v>
      </c>
      <c r="G59" s="2" t="s">
        <v>100</v>
      </c>
      <c r="H59" s="2" t="s">
        <v>164</v>
      </c>
      <c r="I59" s="2" t="s">
        <v>165</v>
      </c>
      <c r="J59" s="3">
        <v>4.5999999999999996</v>
      </c>
      <c r="K59" s="2" t="s">
        <v>55</v>
      </c>
      <c r="L59" s="3">
        <v>4.5999999999999996</v>
      </c>
      <c r="M59" s="3">
        <v>460000</v>
      </c>
      <c r="N59" s="3">
        <v>0</v>
      </c>
      <c r="O59" s="2" t="s">
        <v>25</v>
      </c>
      <c r="P59" s="2" t="s">
        <v>26</v>
      </c>
      <c r="Q59" s="2" t="s">
        <v>166</v>
      </c>
    </row>
    <row r="60" spans="1:17" x14ac:dyDescent="0.2">
      <c r="A60" s="1">
        <v>46191</v>
      </c>
      <c r="B60" s="1">
        <v>46190</v>
      </c>
      <c r="C60" s="2" t="s">
        <v>167</v>
      </c>
      <c r="D60" s="2" t="s">
        <v>18</v>
      </c>
      <c r="E60" s="2" t="s">
        <v>168</v>
      </c>
      <c r="F60" s="2" t="s">
        <v>20</v>
      </c>
      <c r="G60" s="2" t="s">
        <v>100</v>
      </c>
      <c r="H60" s="2" t="s">
        <v>164</v>
      </c>
      <c r="I60" s="2" t="s">
        <v>165</v>
      </c>
      <c r="J60" s="3">
        <v>2.2999999999999998</v>
      </c>
      <c r="K60" s="2" t="s">
        <v>55</v>
      </c>
      <c r="L60" s="3">
        <v>2.2999999999999998</v>
      </c>
      <c r="M60" s="3">
        <v>230000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">
      <c r="A61" s="1">
        <v>46191</v>
      </c>
      <c r="B61" s="1">
        <v>46190</v>
      </c>
      <c r="C61" s="2" t="s">
        <v>169</v>
      </c>
      <c r="D61" s="2" t="s">
        <v>18</v>
      </c>
      <c r="E61" s="2" t="s">
        <v>170</v>
      </c>
      <c r="F61" s="2" t="s">
        <v>20</v>
      </c>
      <c r="G61" s="2" t="s">
        <v>171</v>
      </c>
      <c r="H61" s="2" t="s">
        <v>87</v>
      </c>
      <c r="I61" s="2" t="s">
        <v>88</v>
      </c>
      <c r="J61" s="3">
        <v>10</v>
      </c>
      <c r="K61" s="2" t="s">
        <v>89</v>
      </c>
      <c r="L61" s="3">
        <v>10</v>
      </c>
      <c r="M61" s="3">
        <v>1320000.01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">
      <c r="A62" s="1">
        <v>46191</v>
      </c>
      <c r="B62" s="1">
        <v>46190</v>
      </c>
      <c r="C62" s="2" t="s">
        <v>169</v>
      </c>
      <c r="D62" s="2" t="s">
        <v>18</v>
      </c>
      <c r="E62" s="2" t="s">
        <v>170</v>
      </c>
      <c r="F62" s="2" t="s">
        <v>20</v>
      </c>
      <c r="G62" s="2" t="s">
        <v>171</v>
      </c>
      <c r="H62" s="2" t="s">
        <v>90</v>
      </c>
      <c r="I62" s="2" t="s">
        <v>91</v>
      </c>
      <c r="J62" s="3">
        <v>20</v>
      </c>
      <c r="K62" s="2" t="s">
        <v>89</v>
      </c>
      <c r="L62" s="3">
        <v>20</v>
      </c>
      <c r="M62" s="3">
        <v>2640000.0299999998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">
      <c r="A63" s="1">
        <v>46191</v>
      </c>
      <c r="B63" s="1">
        <v>46190</v>
      </c>
      <c r="C63" s="2" t="s">
        <v>169</v>
      </c>
      <c r="D63" s="2" t="s">
        <v>18</v>
      </c>
      <c r="E63" s="2" t="s">
        <v>170</v>
      </c>
      <c r="F63" s="2" t="s">
        <v>20</v>
      </c>
      <c r="G63" s="2" t="s">
        <v>171</v>
      </c>
      <c r="H63" s="2" t="s">
        <v>92</v>
      </c>
      <c r="I63" s="2" t="s">
        <v>93</v>
      </c>
      <c r="J63" s="3">
        <v>20</v>
      </c>
      <c r="K63" s="2" t="s">
        <v>89</v>
      </c>
      <c r="L63" s="3">
        <v>20</v>
      </c>
      <c r="M63" s="3">
        <v>2160000.06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">
      <c r="A64" s="1">
        <v>46191</v>
      </c>
      <c r="B64" s="1">
        <v>46190</v>
      </c>
      <c r="C64" s="2" t="s">
        <v>169</v>
      </c>
      <c r="D64" s="2" t="s">
        <v>18</v>
      </c>
      <c r="E64" s="2" t="s">
        <v>170</v>
      </c>
      <c r="F64" s="2" t="s">
        <v>20</v>
      </c>
      <c r="G64" s="2" t="s">
        <v>171</v>
      </c>
      <c r="H64" s="2" t="s">
        <v>94</v>
      </c>
      <c r="I64" s="2" t="s">
        <v>95</v>
      </c>
      <c r="J64" s="3">
        <v>10</v>
      </c>
      <c r="K64" s="2" t="s">
        <v>89</v>
      </c>
      <c r="L64" s="3">
        <v>10</v>
      </c>
      <c r="M64" s="3">
        <v>1080000.03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">
      <c r="A65" s="1">
        <v>46191</v>
      </c>
      <c r="B65" s="1">
        <v>46190</v>
      </c>
      <c r="C65" s="2" t="s">
        <v>172</v>
      </c>
      <c r="D65" s="2" t="s">
        <v>18</v>
      </c>
      <c r="E65" s="2" t="s">
        <v>173</v>
      </c>
      <c r="F65" s="2" t="s">
        <v>20</v>
      </c>
      <c r="G65" s="2" t="s">
        <v>174</v>
      </c>
      <c r="H65" s="2" t="s">
        <v>87</v>
      </c>
      <c r="I65" s="2" t="s">
        <v>88</v>
      </c>
      <c r="J65" s="3">
        <v>10</v>
      </c>
      <c r="K65" s="2" t="s">
        <v>89</v>
      </c>
      <c r="L65" s="3">
        <v>10</v>
      </c>
      <c r="M65" s="3">
        <v>1320000.01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">
      <c r="A66" s="1">
        <v>46191</v>
      </c>
      <c r="B66" s="1">
        <v>46190</v>
      </c>
      <c r="C66" s="2" t="s">
        <v>172</v>
      </c>
      <c r="D66" s="2" t="s">
        <v>18</v>
      </c>
      <c r="E66" s="2" t="s">
        <v>173</v>
      </c>
      <c r="F66" s="2" t="s">
        <v>20</v>
      </c>
      <c r="G66" s="2" t="s">
        <v>174</v>
      </c>
      <c r="H66" s="2" t="s">
        <v>90</v>
      </c>
      <c r="I66" s="2" t="s">
        <v>91</v>
      </c>
      <c r="J66" s="3">
        <v>10</v>
      </c>
      <c r="K66" s="2" t="s">
        <v>89</v>
      </c>
      <c r="L66" s="3">
        <v>10</v>
      </c>
      <c r="M66" s="3">
        <v>1320000.01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">
      <c r="A67" s="1">
        <v>46191</v>
      </c>
      <c r="B67" s="1">
        <v>46190</v>
      </c>
      <c r="C67" s="2" t="s">
        <v>172</v>
      </c>
      <c r="D67" s="2" t="s">
        <v>18</v>
      </c>
      <c r="E67" s="2" t="s">
        <v>173</v>
      </c>
      <c r="F67" s="2" t="s">
        <v>20</v>
      </c>
      <c r="G67" s="2" t="s">
        <v>174</v>
      </c>
      <c r="H67" s="2" t="s">
        <v>92</v>
      </c>
      <c r="I67" s="2" t="s">
        <v>93</v>
      </c>
      <c r="J67" s="3">
        <v>10</v>
      </c>
      <c r="K67" s="2" t="s">
        <v>89</v>
      </c>
      <c r="L67" s="3">
        <v>10</v>
      </c>
      <c r="M67" s="3">
        <v>1080000.03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">
      <c r="A68" s="1">
        <v>46191</v>
      </c>
      <c r="B68" s="1">
        <v>46190</v>
      </c>
      <c r="C68" s="2" t="s">
        <v>172</v>
      </c>
      <c r="D68" s="2" t="s">
        <v>18</v>
      </c>
      <c r="E68" s="2" t="s">
        <v>173</v>
      </c>
      <c r="F68" s="2" t="s">
        <v>20</v>
      </c>
      <c r="G68" s="2" t="s">
        <v>174</v>
      </c>
      <c r="H68" s="2" t="s">
        <v>94</v>
      </c>
      <c r="I68" s="2" t="s">
        <v>95</v>
      </c>
      <c r="J68" s="3">
        <v>10</v>
      </c>
      <c r="K68" s="2" t="s">
        <v>89</v>
      </c>
      <c r="L68" s="3">
        <v>10</v>
      </c>
      <c r="M68" s="3">
        <v>1080000.03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">
      <c r="A69" s="1">
        <v>46191</v>
      </c>
      <c r="B69" s="1">
        <v>46190</v>
      </c>
      <c r="C69" s="2" t="s">
        <v>175</v>
      </c>
      <c r="D69" s="2" t="s">
        <v>18</v>
      </c>
      <c r="E69" s="2" t="s">
        <v>176</v>
      </c>
      <c r="F69" s="2" t="s">
        <v>20</v>
      </c>
      <c r="G69" s="2" t="s">
        <v>171</v>
      </c>
      <c r="H69" s="2" t="s">
        <v>92</v>
      </c>
      <c r="I69" s="2" t="s">
        <v>93</v>
      </c>
      <c r="J69" s="3">
        <v>20</v>
      </c>
      <c r="K69" s="2" t="s">
        <v>89</v>
      </c>
      <c r="L69" s="3">
        <v>20</v>
      </c>
      <c r="M69" s="3">
        <v>2160000.06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">
      <c r="A70" s="1">
        <v>46191</v>
      </c>
      <c r="B70" s="1">
        <v>46190</v>
      </c>
      <c r="C70" s="2" t="s">
        <v>175</v>
      </c>
      <c r="D70" s="2" t="s">
        <v>18</v>
      </c>
      <c r="E70" s="2" t="s">
        <v>176</v>
      </c>
      <c r="F70" s="2" t="s">
        <v>20</v>
      </c>
      <c r="G70" s="2" t="s">
        <v>171</v>
      </c>
      <c r="H70" s="2" t="s">
        <v>94</v>
      </c>
      <c r="I70" s="2" t="s">
        <v>95</v>
      </c>
      <c r="J70" s="3">
        <v>20</v>
      </c>
      <c r="K70" s="2" t="s">
        <v>89</v>
      </c>
      <c r="L70" s="3">
        <v>20</v>
      </c>
      <c r="M70" s="3">
        <v>2160000.0699999998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">
      <c r="A71" s="1">
        <v>46191</v>
      </c>
      <c r="B71" s="1">
        <v>46190</v>
      </c>
      <c r="C71" s="2" t="s">
        <v>175</v>
      </c>
      <c r="D71" s="2" t="s">
        <v>18</v>
      </c>
      <c r="E71" s="2" t="s">
        <v>176</v>
      </c>
      <c r="F71" s="2" t="s">
        <v>20</v>
      </c>
      <c r="G71" s="2" t="s">
        <v>171</v>
      </c>
      <c r="H71" s="2" t="s">
        <v>87</v>
      </c>
      <c r="I71" s="2" t="s">
        <v>88</v>
      </c>
      <c r="J71" s="3">
        <v>20</v>
      </c>
      <c r="K71" s="2" t="s">
        <v>89</v>
      </c>
      <c r="L71" s="3">
        <v>20</v>
      </c>
      <c r="M71" s="3">
        <v>2640000.02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">
      <c r="A72" s="1">
        <v>46191</v>
      </c>
      <c r="B72" s="1">
        <v>46190</v>
      </c>
      <c r="C72" s="2" t="s">
        <v>175</v>
      </c>
      <c r="D72" s="2" t="s">
        <v>18</v>
      </c>
      <c r="E72" s="2" t="s">
        <v>176</v>
      </c>
      <c r="F72" s="2" t="s">
        <v>20</v>
      </c>
      <c r="G72" s="2" t="s">
        <v>171</v>
      </c>
      <c r="H72" s="2" t="s">
        <v>90</v>
      </c>
      <c r="I72" s="2" t="s">
        <v>91</v>
      </c>
      <c r="J72" s="3">
        <v>20</v>
      </c>
      <c r="K72" s="2" t="s">
        <v>89</v>
      </c>
      <c r="L72" s="3">
        <v>20</v>
      </c>
      <c r="M72" s="3">
        <v>2640000.02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">
      <c r="A73" s="1">
        <v>46191</v>
      </c>
      <c r="B73" s="1">
        <v>46190</v>
      </c>
      <c r="C73" s="2" t="s">
        <v>177</v>
      </c>
      <c r="D73" s="2" t="s">
        <v>18</v>
      </c>
      <c r="E73" s="2" t="s">
        <v>178</v>
      </c>
      <c r="F73" s="2" t="s">
        <v>20</v>
      </c>
      <c r="G73" s="2" t="s">
        <v>52</v>
      </c>
      <c r="H73" s="2" t="s">
        <v>33</v>
      </c>
      <c r="I73" s="2" t="s">
        <v>34</v>
      </c>
      <c r="J73" s="3">
        <v>3</v>
      </c>
      <c r="K73" s="2" t="s">
        <v>35</v>
      </c>
      <c r="L73" s="3">
        <v>3</v>
      </c>
      <c r="M73" s="3">
        <v>982350</v>
      </c>
      <c r="N73" s="3">
        <v>0</v>
      </c>
      <c r="O73" s="2" t="s">
        <v>25</v>
      </c>
      <c r="P73" s="2" t="s">
        <v>26</v>
      </c>
      <c r="Q73" s="2" t="s">
        <v>179</v>
      </c>
    </row>
    <row r="74" spans="1:17" x14ac:dyDescent="0.2">
      <c r="A74" s="1">
        <v>46191</v>
      </c>
      <c r="B74" s="1">
        <v>46190</v>
      </c>
      <c r="C74" s="2" t="s">
        <v>180</v>
      </c>
      <c r="D74" s="2" t="s">
        <v>18</v>
      </c>
      <c r="E74" s="2" t="s">
        <v>181</v>
      </c>
      <c r="F74" s="2" t="s">
        <v>51</v>
      </c>
      <c r="G74" s="2" t="s">
        <v>21</v>
      </c>
      <c r="H74" s="2" t="s">
        <v>33</v>
      </c>
      <c r="I74" s="2" t="s">
        <v>34</v>
      </c>
      <c r="J74" s="3">
        <v>2</v>
      </c>
      <c r="K74" s="2" t="s">
        <v>35</v>
      </c>
      <c r="L74" s="3">
        <v>2</v>
      </c>
      <c r="M74" s="3">
        <v>560000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">
      <c r="A75" s="1">
        <v>46191</v>
      </c>
      <c r="B75" s="1">
        <v>46190</v>
      </c>
      <c r="C75" s="2" t="s">
        <v>182</v>
      </c>
      <c r="D75" s="2" t="s">
        <v>18</v>
      </c>
      <c r="E75" s="2" t="s">
        <v>144</v>
      </c>
      <c r="F75" s="2" t="s">
        <v>20</v>
      </c>
      <c r="G75" s="2" t="s">
        <v>121</v>
      </c>
      <c r="H75" s="2" t="s">
        <v>183</v>
      </c>
      <c r="I75" s="2" t="s">
        <v>184</v>
      </c>
      <c r="J75" s="3">
        <v>20</v>
      </c>
      <c r="K75" s="2" t="s">
        <v>124</v>
      </c>
      <c r="L75" s="3">
        <v>20</v>
      </c>
      <c r="M75" s="3">
        <v>1187700</v>
      </c>
      <c r="N75" s="3">
        <v>0</v>
      </c>
      <c r="O75" s="2" t="s">
        <v>25</v>
      </c>
      <c r="P75" s="2" t="s">
        <v>26</v>
      </c>
      <c r="Q75" s="2" t="s">
        <v>185</v>
      </c>
    </row>
    <row r="76" spans="1:17" x14ac:dyDescent="0.2">
      <c r="A76" s="1">
        <v>46191</v>
      </c>
      <c r="B76" s="1">
        <v>46190</v>
      </c>
      <c r="C76" s="2" t="s">
        <v>186</v>
      </c>
      <c r="D76" s="2" t="s">
        <v>18</v>
      </c>
      <c r="E76" s="2" t="s">
        <v>187</v>
      </c>
      <c r="F76" s="2" t="s">
        <v>51</v>
      </c>
      <c r="G76" s="2" t="s">
        <v>42</v>
      </c>
      <c r="H76" s="2" t="s">
        <v>107</v>
      </c>
      <c r="I76" s="2" t="s">
        <v>108</v>
      </c>
      <c r="J76" s="3">
        <v>12</v>
      </c>
      <c r="K76" s="2" t="s">
        <v>109</v>
      </c>
      <c r="L76" s="3">
        <v>12</v>
      </c>
      <c r="M76" s="3">
        <v>559440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">
      <c r="A77" s="1">
        <v>46191</v>
      </c>
      <c r="B77" s="1">
        <v>46190</v>
      </c>
      <c r="C77" s="2" t="s">
        <v>186</v>
      </c>
      <c r="D77" s="2" t="s">
        <v>18</v>
      </c>
      <c r="E77" s="2" t="s">
        <v>187</v>
      </c>
      <c r="F77" s="2" t="s">
        <v>51</v>
      </c>
      <c r="G77" s="2" t="s">
        <v>42</v>
      </c>
      <c r="H77" s="2" t="s">
        <v>158</v>
      </c>
      <c r="I77" s="2" t="s">
        <v>159</v>
      </c>
      <c r="J77" s="3">
        <v>12</v>
      </c>
      <c r="K77" s="2" t="s">
        <v>124</v>
      </c>
      <c r="L77" s="3">
        <v>12</v>
      </c>
      <c r="M77" s="3">
        <v>506160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">
      <c r="A78" s="1">
        <v>46191</v>
      </c>
      <c r="B78" s="1">
        <v>46190</v>
      </c>
      <c r="C78" s="2" t="s">
        <v>188</v>
      </c>
      <c r="D78" s="2" t="s">
        <v>18</v>
      </c>
      <c r="E78" s="2" t="s">
        <v>189</v>
      </c>
      <c r="F78" s="2" t="s">
        <v>20</v>
      </c>
      <c r="G78" s="2" t="s">
        <v>21</v>
      </c>
      <c r="H78" s="2" t="s">
        <v>43</v>
      </c>
      <c r="I78" s="2" t="s">
        <v>44</v>
      </c>
      <c r="J78" s="3">
        <v>70</v>
      </c>
      <c r="K78" s="2" t="s">
        <v>24</v>
      </c>
      <c r="L78" s="3">
        <v>70</v>
      </c>
      <c r="M78" s="3">
        <v>11199999.99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">
      <c r="A79" s="1">
        <v>46191</v>
      </c>
      <c r="B79" s="1">
        <v>46190</v>
      </c>
      <c r="C79" s="2" t="s">
        <v>190</v>
      </c>
      <c r="D79" s="2" t="s">
        <v>18</v>
      </c>
      <c r="E79" s="2" t="s">
        <v>191</v>
      </c>
      <c r="F79" s="2" t="s">
        <v>51</v>
      </c>
      <c r="G79" s="2" t="s">
        <v>32</v>
      </c>
      <c r="H79" s="2" t="s">
        <v>107</v>
      </c>
      <c r="I79" s="2" t="s">
        <v>108</v>
      </c>
      <c r="J79" s="3">
        <v>8</v>
      </c>
      <c r="K79" s="2" t="s">
        <v>109</v>
      </c>
      <c r="L79" s="3">
        <v>8</v>
      </c>
      <c r="M79" s="3">
        <v>372960</v>
      </c>
      <c r="N79" s="3">
        <v>0</v>
      </c>
      <c r="O79" s="2" t="s">
        <v>25</v>
      </c>
      <c r="P79" s="2" t="s">
        <v>26</v>
      </c>
      <c r="Q79" s="2" t="s">
        <v>192</v>
      </c>
    </row>
    <row r="80" spans="1:17" x14ac:dyDescent="0.2">
      <c r="A80" s="1">
        <v>46191</v>
      </c>
      <c r="B80" s="1">
        <v>46190</v>
      </c>
      <c r="C80" s="2" t="s">
        <v>190</v>
      </c>
      <c r="D80" s="2" t="s">
        <v>18</v>
      </c>
      <c r="E80" s="2" t="s">
        <v>191</v>
      </c>
      <c r="F80" s="2" t="s">
        <v>51</v>
      </c>
      <c r="G80" s="2" t="s">
        <v>32</v>
      </c>
      <c r="H80" s="2" t="s">
        <v>158</v>
      </c>
      <c r="I80" s="2" t="s">
        <v>159</v>
      </c>
      <c r="J80" s="3">
        <v>2</v>
      </c>
      <c r="K80" s="2" t="s">
        <v>124</v>
      </c>
      <c r="L80" s="3">
        <v>2</v>
      </c>
      <c r="M80" s="3">
        <v>84360</v>
      </c>
      <c r="N80" s="3">
        <v>0</v>
      </c>
      <c r="O80" s="2" t="s">
        <v>25</v>
      </c>
      <c r="P80" s="2" t="s">
        <v>26</v>
      </c>
      <c r="Q80" s="2" t="s">
        <v>192</v>
      </c>
    </row>
    <row r="81" spans="1:17" x14ac:dyDescent="0.2">
      <c r="A81" s="1">
        <v>46191</v>
      </c>
      <c r="B81" s="1">
        <v>46190</v>
      </c>
      <c r="C81" s="2" t="s">
        <v>193</v>
      </c>
      <c r="D81" s="2" t="s">
        <v>18</v>
      </c>
      <c r="E81" s="2" t="s">
        <v>194</v>
      </c>
      <c r="F81" s="2" t="s">
        <v>20</v>
      </c>
      <c r="G81" s="2" t="s">
        <v>42</v>
      </c>
      <c r="H81" s="2" t="s">
        <v>195</v>
      </c>
      <c r="I81" s="2" t="s">
        <v>196</v>
      </c>
      <c r="J81" s="3">
        <v>5</v>
      </c>
      <c r="K81" s="2" t="s">
        <v>55</v>
      </c>
      <c r="L81" s="3">
        <v>5</v>
      </c>
      <c r="M81" s="3">
        <v>500000</v>
      </c>
      <c r="N81" s="3">
        <v>0</v>
      </c>
      <c r="O81" s="2" t="s">
        <v>25</v>
      </c>
      <c r="P81" s="2" t="s">
        <v>26</v>
      </c>
      <c r="Q81" s="2" t="s">
        <v>197</v>
      </c>
    </row>
    <row r="82" spans="1:17" x14ac:dyDescent="0.2">
      <c r="A82" s="1">
        <v>46191</v>
      </c>
      <c r="B82" s="1">
        <v>46190</v>
      </c>
      <c r="C82" s="2" t="s">
        <v>193</v>
      </c>
      <c r="D82" s="2" t="s">
        <v>18</v>
      </c>
      <c r="E82" s="2" t="s">
        <v>194</v>
      </c>
      <c r="F82" s="2" t="s">
        <v>20</v>
      </c>
      <c r="G82" s="2" t="s">
        <v>42</v>
      </c>
      <c r="H82" s="2" t="s">
        <v>198</v>
      </c>
      <c r="I82" s="2" t="s">
        <v>199</v>
      </c>
      <c r="J82" s="3">
        <v>18</v>
      </c>
      <c r="K82" s="2" t="s">
        <v>55</v>
      </c>
      <c r="L82" s="3">
        <v>25.879899999999999</v>
      </c>
      <c r="M82" s="3">
        <v>9058000</v>
      </c>
      <c r="N82" s="3">
        <v>7.8799000000000001</v>
      </c>
      <c r="O82" s="2" t="s">
        <v>25</v>
      </c>
      <c r="P82" s="2" t="s">
        <v>26</v>
      </c>
      <c r="Q82" s="2" t="s">
        <v>197</v>
      </c>
    </row>
    <row r="83" spans="1:17" x14ac:dyDescent="0.2">
      <c r="A83" s="1">
        <v>46191</v>
      </c>
      <c r="B83" s="1">
        <v>46190</v>
      </c>
      <c r="C83" s="2" t="s">
        <v>200</v>
      </c>
      <c r="D83" s="2" t="s">
        <v>18</v>
      </c>
      <c r="E83" s="2" t="s">
        <v>194</v>
      </c>
      <c r="F83" s="2" t="s">
        <v>20</v>
      </c>
      <c r="G83" s="2" t="s">
        <v>42</v>
      </c>
      <c r="H83" s="2" t="s">
        <v>195</v>
      </c>
      <c r="I83" s="2" t="s">
        <v>196</v>
      </c>
      <c r="J83" s="3">
        <v>5</v>
      </c>
      <c r="K83" s="2" t="s">
        <v>55</v>
      </c>
      <c r="L83" s="3">
        <v>5</v>
      </c>
      <c r="M83" s="3">
        <v>500000</v>
      </c>
      <c r="N83" s="3">
        <v>0</v>
      </c>
      <c r="O83" s="2" t="s">
        <v>25</v>
      </c>
      <c r="P83" s="2" t="s">
        <v>26</v>
      </c>
      <c r="Q83" s="2" t="s">
        <v>201</v>
      </c>
    </row>
    <row r="84" spans="1:17" x14ac:dyDescent="0.2">
      <c r="A84" s="1">
        <v>46191</v>
      </c>
      <c r="B84" s="1">
        <v>46190</v>
      </c>
      <c r="C84" s="2" t="s">
        <v>200</v>
      </c>
      <c r="D84" s="2" t="s">
        <v>18</v>
      </c>
      <c r="E84" s="2" t="s">
        <v>194</v>
      </c>
      <c r="F84" s="2" t="s">
        <v>20</v>
      </c>
      <c r="G84" s="2" t="s">
        <v>42</v>
      </c>
      <c r="H84" s="2" t="s">
        <v>198</v>
      </c>
      <c r="I84" s="2" t="s">
        <v>199</v>
      </c>
      <c r="J84" s="3">
        <v>18</v>
      </c>
      <c r="K84" s="2" t="s">
        <v>55</v>
      </c>
      <c r="L84" s="3">
        <v>26.379899999999999</v>
      </c>
      <c r="M84" s="3">
        <v>9233000</v>
      </c>
      <c r="N84" s="3">
        <v>8.3798999999999992</v>
      </c>
      <c r="O84" s="2" t="s">
        <v>25</v>
      </c>
      <c r="P84" s="2" t="s">
        <v>26</v>
      </c>
      <c r="Q84" s="2" t="s">
        <v>201</v>
      </c>
    </row>
    <row r="85" spans="1:17" x14ac:dyDescent="0.2">
      <c r="A85" s="1">
        <v>46191</v>
      </c>
      <c r="B85" s="1">
        <v>46190</v>
      </c>
      <c r="C85" s="2" t="s">
        <v>202</v>
      </c>
      <c r="D85" s="2" t="s">
        <v>18</v>
      </c>
      <c r="E85" s="2" t="s">
        <v>84</v>
      </c>
      <c r="F85" s="2" t="s">
        <v>20</v>
      </c>
      <c r="G85" s="2" t="s">
        <v>42</v>
      </c>
      <c r="H85" s="2" t="s">
        <v>153</v>
      </c>
      <c r="I85" s="2" t="s">
        <v>154</v>
      </c>
      <c r="J85" s="3">
        <v>1</v>
      </c>
      <c r="K85" s="2" t="s">
        <v>35</v>
      </c>
      <c r="L85" s="3">
        <v>1</v>
      </c>
      <c r="M85" s="3">
        <v>560000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">
      <c r="A86" s="1">
        <v>46191</v>
      </c>
      <c r="B86" s="1">
        <v>46190</v>
      </c>
      <c r="C86" s="2" t="s">
        <v>203</v>
      </c>
      <c r="D86" s="2" t="s">
        <v>18</v>
      </c>
      <c r="E86" s="2" t="s">
        <v>204</v>
      </c>
      <c r="F86" s="2" t="s">
        <v>20</v>
      </c>
      <c r="G86" s="2" t="s">
        <v>150</v>
      </c>
      <c r="H86" s="2" t="s">
        <v>158</v>
      </c>
      <c r="I86" s="2" t="s">
        <v>159</v>
      </c>
      <c r="J86" s="3">
        <v>36</v>
      </c>
      <c r="K86" s="2" t="s">
        <v>124</v>
      </c>
      <c r="L86" s="3">
        <v>36</v>
      </c>
      <c r="M86" s="3">
        <v>1422000.18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">
      <c r="A87" s="1">
        <v>46191</v>
      </c>
      <c r="B87" s="1">
        <v>46190</v>
      </c>
      <c r="C87" s="2" t="s">
        <v>205</v>
      </c>
      <c r="D87" s="2" t="s">
        <v>18</v>
      </c>
      <c r="E87" s="2" t="s">
        <v>206</v>
      </c>
      <c r="F87" s="2" t="s">
        <v>20</v>
      </c>
      <c r="G87" s="2" t="s">
        <v>42</v>
      </c>
      <c r="H87" s="2" t="s">
        <v>207</v>
      </c>
      <c r="I87" s="2" t="s">
        <v>208</v>
      </c>
      <c r="J87" s="3">
        <v>80</v>
      </c>
      <c r="K87" s="2" t="s">
        <v>55</v>
      </c>
      <c r="L87" s="3">
        <v>80</v>
      </c>
      <c r="M87" s="3">
        <v>15040000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">
      <c r="A88" s="1">
        <v>46191</v>
      </c>
      <c r="B88" s="1">
        <v>46190</v>
      </c>
      <c r="C88" s="2" t="s">
        <v>209</v>
      </c>
      <c r="D88" s="2" t="s">
        <v>18</v>
      </c>
      <c r="E88" s="2" t="s">
        <v>210</v>
      </c>
      <c r="F88" s="2" t="s">
        <v>20</v>
      </c>
      <c r="G88" s="2" t="s">
        <v>72</v>
      </c>
      <c r="H88" s="2" t="s">
        <v>207</v>
      </c>
      <c r="I88" s="2" t="s">
        <v>208</v>
      </c>
      <c r="J88" s="3">
        <v>20</v>
      </c>
      <c r="K88" s="2" t="s">
        <v>55</v>
      </c>
      <c r="L88" s="3">
        <v>20</v>
      </c>
      <c r="M88" s="3">
        <v>3800000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">
      <c r="A89" s="1">
        <v>46191</v>
      </c>
      <c r="B89" s="1">
        <v>46190</v>
      </c>
      <c r="C89" s="2" t="s">
        <v>211</v>
      </c>
      <c r="D89" s="2" t="s">
        <v>18</v>
      </c>
      <c r="E89" s="2" t="s">
        <v>210</v>
      </c>
      <c r="F89" s="2" t="s">
        <v>20</v>
      </c>
      <c r="G89" s="2" t="s">
        <v>72</v>
      </c>
      <c r="H89" s="2" t="s">
        <v>164</v>
      </c>
      <c r="I89" s="2" t="s">
        <v>165</v>
      </c>
      <c r="J89" s="3">
        <v>10</v>
      </c>
      <c r="K89" s="2" t="s">
        <v>55</v>
      </c>
      <c r="L89" s="3">
        <v>9.1998999999999995</v>
      </c>
      <c r="M89" s="3">
        <v>920000</v>
      </c>
      <c r="N89" s="3">
        <v>-0.80010000000000003</v>
      </c>
      <c r="O89" s="2" t="s">
        <v>25</v>
      </c>
      <c r="P89" s="2" t="s">
        <v>26</v>
      </c>
      <c r="Q89" s="2" t="s">
        <v>27</v>
      </c>
    </row>
    <row r="90" spans="1:17" x14ac:dyDescent="0.2">
      <c r="A90" s="1">
        <v>46191</v>
      </c>
      <c r="B90" s="1">
        <v>46190</v>
      </c>
      <c r="C90" s="2" t="s">
        <v>212</v>
      </c>
      <c r="D90" s="2" t="s">
        <v>18</v>
      </c>
      <c r="E90" s="2" t="s">
        <v>213</v>
      </c>
      <c r="F90" s="2" t="s">
        <v>51</v>
      </c>
      <c r="G90" s="2" t="s">
        <v>21</v>
      </c>
      <c r="H90" s="2" t="s">
        <v>131</v>
      </c>
      <c r="I90" s="2" t="s">
        <v>132</v>
      </c>
      <c r="J90" s="3">
        <v>1</v>
      </c>
      <c r="K90" s="2" t="s">
        <v>109</v>
      </c>
      <c r="L90" s="3">
        <v>1</v>
      </c>
      <c r="M90" s="3">
        <v>70000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">
      <c r="A91" s="1">
        <v>46191</v>
      </c>
      <c r="B91" s="1">
        <v>46190</v>
      </c>
      <c r="C91" s="2" t="s">
        <v>212</v>
      </c>
      <c r="D91" s="2" t="s">
        <v>18</v>
      </c>
      <c r="E91" s="2" t="s">
        <v>213</v>
      </c>
      <c r="F91" s="2" t="s">
        <v>51</v>
      </c>
      <c r="G91" s="2" t="s">
        <v>21</v>
      </c>
      <c r="H91" s="2" t="s">
        <v>133</v>
      </c>
      <c r="I91" s="2" t="s">
        <v>134</v>
      </c>
      <c r="J91" s="3">
        <v>1</v>
      </c>
      <c r="K91" s="2" t="s">
        <v>109</v>
      </c>
      <c r="L91" s="3">
        <v>1</v>
      </c>
      <c r="M91" s="3">
        <v>70000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">
      <c r="A92" s="1">
        <v>46191</v>
      </c>
      <c r="B92" s="1">
        <v>46190</v>
      </c>
      <c r="C92" s="2" t="s">
        <v>212</v>
      </c>
      <c r="D92" s="2" t="s">
        <v>18</v>
      </c>
      <c r="E92" s="2" t="s">
        <v>213</v>
      </c>
      <c r="F92" s="2" t="s">
        <v>51</v>
      </c>
      <c r="G92" s="2" t="s">
        <v>21</v>
      </c>
      <c r="H92" s="2" t="s">
        <v>137</v>
      </c>
      <c r="I92" s="2" t="s">
        <v>138</v>
      </c>
      <c r="J92" s="3">
        <v>40</v>
      </c>
      <c r="K92" s="2" t="s">
        <v>109</v>
      </c>
      <c r="L92" s="3">
        <v>40</v>
      </c>
      <c r="M92" s="3">
        <v>60000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">
      <c r="A93" s="1">
        <v>46191</v>
      </c>
      <c r="B93" s="1">
        <v>46190</v>
      </c>
      <c r="C93" s="2" t="s">
        <v>212</v>
      </c>
      <c r="D93" s="2" t="s">
        <v>18</v>
      </c>
      <c r="E93" s="2" t="s">
        <v>213</v>
      </c>
      <c r="F93" s="2" t="s">
        <v>51</v>
      </c>
      <c r="G93" s="2" t="s">
        <v>21</v>
      </c>
      <c r="H93" s="2" t="s">
        <v>43</v>
      </c>
      <c r="I93" s="2" t="s">
        <v>44</v>
      </c>
      <c r="J93" s="3">
        <v>1</v>
      </c>
      <c r="K93" s="2" t="s">
        <v>24</v>
      </c>
      <c r="L93" s="3">
        <v>1</v>
      </c>
      <c r="M93" s="3">
        <v>180000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">
      <c r="A94" s="1">
        <v>46191</v>
      </c>
      <c r="B94" s="1">
        <v>46190</v>
      </c>
      <c r="C94" s="2" t="s">
        <v>212</v>
      </c>
      <c r="D94" s="2" t="s">
        <v>18</v>
      </c>
      <c r="E94" s="2" t="s">
        <v>213</v>
      </c>
      <c r="F94" s="2" t="s">
        <v>51</v>
      </c>
      <c r="G94" s="2" t="s">
        <v>21</v>
      </c>
      <c r="H94" s="2" t="s">
        <v>73</v>
      </c>
      <c r="I94" s="2" t="s">
        <v>74</v>
      </c>
      <c r="J94" s="3">
        <v>1</v>
      </c>
      <c r="K94" s="2" t="s">
        <v>24</v>
      </c>
      <c r="L94" s="3">
        <v>1</v>
      </c>
      <c r="M94" s="3">
        <v>180000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">
      <c r="A95" s="1">
        <v>46191</v>
      </c>
      <c r="B95" s="1">
        <v>46190</v>
      </c>
      <c r="C95" s="2" t="s">
        <v>214</v>
      </c>
      <c r="D95" s="2" t="s">
        <v>18</v>
      </c>
      <c r="E95" s="2" t="s">
        <v>215</v>
      </c>
      <c r="F95" s="2" t="s">
        <v>20</v>
      </c>
      <c r="G95" s="2" t="s">
        <v>79</v>
      </c>
      <c r="H95" s="2" t="s">
        <v>87</v>
      </c>
      <c r="I95" s="2" t="s">
        <v>88</v>
      </c>
      <c r="J95" s="3">
        <v>12</v>
      </c>
      <c r="K95" s="2" t="s">
        <v>89</v>
      </c>
      <c r="L95" s="3">
        <v>12</v>
      </c>
      <c r="M95" s="3">
        <v>1584000.01</v>
      </c>
      <c r="N95" s="3">
        <v>0</v>
      </c>
      <c r="O95" s="2" t="s">
        <v>25</v>
      </c>
      <c r="P95" s="2" t="s">
        <v>26</v>
      </c>
      <c r="Q95" s="2" t="s">
        <v>216</v>
      </c>
    </row>
    <row r="96" spans="1:17" x14ac:dyDescent="0.2">
      <c r="A96" s="1">
        <v>46191</v>
      </c>
      <c r="B96" s="1">
        <v>46190</v>
      </c>
      <c r="C96" s="2" t="s">
        <v>214</v>
      </c>
      <c r="D96" s="2" t="s">
        <v>18</v>
      </c>
      <c r="E96" s="2" t="s">
        <v>215</v>
      </c>
      <c r="F96" s="2" t="s">
        <v>20</v>
      </c>
      <c r="G96" s="2" t="s">
        <v>79</v>
      </c>
      <c r="H96" s="2" t="s">
        <v>90</v>
      </c>
      <c r="I96" s="2" t="s">
        <v>91</v>
      </c>
      <c r="J96" s="3">
        <v>5</v>
      </c>
      <c r="K96" s="2" t="s">
        <v>89</v>
      </c>
      <c r="L96" s="3">
        <v>5</v>
      </c>
      <c r="M96" s="3">
        <v>660000.01</v>
      </c>
      <c r="N96" s="3">
        <v>0</v>
      </c>
      <c r="O96" s="2" t="s">
        <v>25</v>
      </c>
      <c r="P96" s="2" t="s">
        <v>26</v>
      </c>
      <c r="Q96" s="2" t="s">
        <v>216</v>
      </c>
    </row>
    <row r="97" spans="1:17" x14ac:dyDescent="0.2">
      <c r="A97" s="1">
        <v>46191</v>
      </c>
      <c r="B97" s="1">
        <v>46190</v>
      </c>
      <c r="C97" s="2" t="s">
        <v>214</v>
      </c>
      <c r="D97" s="2" t="s">
        <v>18</v>
      </c>
      <c r="E97" s="2" t="s">
        <v>215</v>
      </c>
      <c r="F97" s="2" t="s">
        <v>20</v>
      </c>
      <c r="G97" s="2" t="s">
        <v>79</v>
      </c>
      <c r="H97" s="2" t="s">
        <v>92</v>
      </c>
      <c r="I97" s="2" t="s">
        <v>93</v>
      </c>
      <c r="J97" s="3">
        <v>4</v>
      </c>
      <c r="K97" s="2" t="s">
        <v>89</v>
      </c>
      <c r="L97" s="3">
        <v>4</v>
      </c>
      <c r="M97" s="3">
        <v>432000.01</v>
      </c>
      <c r="N97" s="3">
        <v>0</v>
      </c>
      <c r="O97" s="2" t="s">
        <v>25</v>
      </c>
      <c r="P97" s="2" t="s">
        <v>26</v>
      </c>
      <c r="Q97" s="2" t="s">
        <v>216</v>
      </c>
    </row>
    <row r="98" spans="1:17" x14ac:dyDescent="0.2">
      <c r="A98" s="1">
        <v>46191</v>
      </c>
      <c r="B98" s="1">
        <v>46190</v>
      </c>
      <c r="C98" s="2" t="s">
        <v>214</v>
      </c>
      <c r="D98" s="2" t="s">
        <v>18</v>
      </c>
      <c r="E98" s="2" t="s">
        <v>215</v>
      </c>
      <c r="F98" s="2" t="s">
        <v>20</v>
      </c>
      <c r="G98" s="2" t="s">
        <v>79</v>
      </c>
      <c r="H98" s="2" t="s">
        <v>94</v>
      </c>
      <c r="I98" s="2" t="s">
        <v>95</v>
      </c>
      <c r="J98" s="3">
        <v>10</v>
      </c>
      <c r="K98" s="2" t="s">
        <v>89</v>
      </c>
      <c r="L98" s="3">
        <v>10</v>
      </c>
      <c r="M98" s="3">
        <v>1080000.03</v>
      </c>
      <c r="N98" s="3">
        <v>0</v>
      </c>
      <c r="O98" s="2" t="s">
        <v>25</v>
      </c>
      <c r="P98" s="2" t="s">
        <v>26</v>
      </c>
      <c r="Q98" s="2" t="s">
        <v>216</v>
      </c>
    </row>
    <row r="99" spans="1:17" x14ac:dyDescent="0.2">
      <c r="A99" s="1">
        <v>46191</v>
      </c>
      <c r="B99" s="1">
        <v>46191</v>
      </c>
      <c r="C99" s="2" t="s">
        <v>217</v>
      </c>
      <c r="D99" s="2" t="s">
        <v>18</v>
      </c>
      <c r="E99" s="2" t="s">
        <v>218</v>
      </c>
      <c r="F99" s="2" t="s">
        <v>20</v>
      </c>
      <c r="G99" s="2" t="s">
        <v>219</v>
      </c>
      <c r="H99" s="2" t="s">
        <v>220</v>
      </c>
      <c r="I99" s="2" t="s">
        <v>221</v>
      </c>
      <c r="J99" s="3">
        <v>1</v>
      </c>
      <c r="K99" s="2" t="s">
        <v>109</v>
      </c>
      <c r="L99" s="3">
        <v>1</v>
      </c>
      <c r="M99" s="3">
        <v>25000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">
      <c r="A100" s="1">
        <v>46191</v>
      </c>
      <c r="B100" s="1">
        <v>46191</v>
      </c>
      <c r="C100" s="2" t="s">
        <v>217</v>
      </c>
      <c r="D100" s="2" t="s">
        <v>18</v>
      </c>
      <c r="E100" s="2" t="s">
        <v>218</v>
      </c>
      <c r="F100" s="2" t="s">
        <v>20</v>
      </c>
      <c r="G100" s="2" t="s">
        <v>219</v>
      </c>
      <c r="H100" s="2" t="s">
        <v>220</v>
      </c>
      <c r="I100" s="2" t="s">
        <v>221</v>
      </c>
      <c r="J100" s="3">
        <v>1</v>
      </c>
      <c r="K100" s="2" t="s">
        <v>109</v>
      </c>
      <c r="L100" s="3">
        <v>1</v>
      </c>
      <c r="M100" s="3">
        <v>25000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">
      <c r="A101" s="1">
        <v>46191</v>
      </c>
      <c r="B101" s="1">
        <v>46191</v>
      </c>
      <c r="C101" s="2" t="s">
        <v>222</v>
      </c>
      <c r="D101" s="2" t="s">
        <v>18</v>
      </c>
      <c r="E101" s="2" t="s">
        <v>218</v>
      </c>
      <c r="F101" s="2" t="s">
        <v>20</v>
      </c>
      <c r="G101" s="2" t="s">
        <v>219</v>
      </c>
      <c r="H101" s="2" t="s">
        <v>223</v>
      </c>
      <c r="I101" s="2" t="s">
        <v>224</v>
      </c>
      <c r="J101" s="3">
        <v>1</v>
      </c>
      <c r="K101" s="2" t="s">
        <v>109</v>
      </c>
      <c r="L101" s="3">
        <v>1</v>
      </c>
      <c r="M101" s="3">
        <v>21999.999100000001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">
      <c r="A102" s="1">
        <v>46191</v>
      </c>
      <c r="B102" s="1">
        <v>46191</v>
      </c>
      <c r="C102" s="2" t="s">
        <v>222</v>
      </c>
      <c r="D102" s="2" t="s">
        <v>18</v>
      </c>
      <c r="E102" s="2" t="s">
        <v>218</v>
      </c>
      <c r="F102" s="2" t="s">
        <v>20</v>
      </c>
      <c r="G102" s="2" t="s">
        <v>219</v>
      </c>
      <c r="H102" s="2" t="s">
        <v>223</v>
      </c>
      <c r="I102" s="2" t="s">
        <v>224</v>
      </c>
      <c r="J102" s="3">
        <v>1</v>
      </c>
      <c r="K102" s="2" t="s">
        <v>109</v>
      </c>
      <c r="L102" s="3">
        <v>1</v>
      </c>
      <c r="M102" s="3">
        <v>21999.999100000001</v>
      </c>
      <c r="N102" s="3">
        <v>0</v>
      </c>
      <c r="O102" s="2" t="s">
        <v>25</v>
      </c>
      <c r="P102" s="2" t="s">
        <v>26</v>
      </c>
      <c r="Q102" s="2" t="s">
        <v>27</v>
      </c>
    </row>
  </sheetData>
  <autoFilter ref="A1:Q102" xr:uid="{00000000-0009-0000-0000-000000000000}"/>
  <pageMargins left="0.7" right="0.7" top="0.75" bottom="0.75" header="0.3" footer="0.3"/>
  <ignoredErrors>
    <ignoredError sqref="A1:Q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Randy Thurion</cp:lastModifiedBy>
  <dcterms:created xsi:type="dcterms:W3CDTF">2026-06-18T01:03:38Z</dcterms:created>
  <dcterms:modified xsi:type="dcterms:W3CDTF">2026-06-18T01:22:03Z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