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1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5" i="7" l="1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F41" i="12"/>
  <c r="D93" i="11"/>
  <c r="D92" i="11"/>
  <c r="D91" i="11"/>
  <c r="D90" i="11"/>
  <c r="D89" i="11"/>
  <c r="D45" i="11"/>
  <c r="D44" i="11"/>
  <c r="D43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F41" i="10"/>
  <c r="D93" i="9"/>
  <c r="D92" i="9"/>
  <c r="D91" i="9"/>
  <c r="D90" i="9"/>
  <c r="D89" i="9"/>
  <c r="D45" i="9"/>
  <c r="D44" i="9"/>
  <c r="D43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F41" i="9"/>
  <c r="D93" i="8"/>
  <c r="D92" i="8"/>
  <c r="D91" i="8"/>
  <c r="D90" i="8"/>
  <c r="D89" i="8"/>
  <c r="D45" i="8"/>
  <c r="D44" i="8"/>
  <c r="D43" i="8"/>
  <c r="D46" i="8" s="1"/>
  <c r="E64" i="8"/>
  <c r="E63" i="8"/>
  <c r="E62" i="8"/>
  <c r="E61" i="8"/>
  <c r="E60" i="8"/>
  <c r="E59" i="8"/>
  <c r="E58" i="8"/>
  <c r="E57" i="8"/>
  <c r="F57" i="8" s="1"/>
  <c r="E56" i="8"/>
  <c r="E55" i="8"/>
  <c r="E54" i="8"/>
  <c r="E53" i="8"/>
  <c r="E52" i="8"/>
  <c r="E51" i="8"/>
  <c r="D64" i="8"/>
  <c r="D63" i="8"/>
  <c r="D62" i="8"/>
  <c r="D61" i="8"/>
  <c r="D60" i="8"/>
  <c r="D59" i="8"/>
  <c r="D58" i="8"/>
  <c r="D57" i="8"/>
  <c r="D56" i="8"/>
  <c r="D55" i="8"/>
  <c r="F55" i="8" s="1"/>
  <c r="D54" i="8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F62" i="7" s="1"/>
  <c r="D61" i="7"/>
  <c r="F61" i="7" s="1"/>
  <c r="D60" i="7"/>
  <c r="D59" i="7"/>
  <c r="D58" i="7"/>
  <c r="D57" i="7"/>
  <c r="F57" i="7" s="1"/>
  <c r="D56" i="7"/>
  <c r="D55" i="7"/>
  <c r="D54" i="7"/>
  <c r="F54" i="7" s="1"/>
  <c r="D53" i="7"/>
  <c r="D52" i="7"/>
  <c r="D51" i="7"/>
  <c r="F41" i="7"/>
  <c r="D94" i="14"/>
  <c r="E93" i="14"/>
  <c r="F93" i="14" s="1"/>
  <c r="G92" i="14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H58" i="14"/>
  <c r="L58" i="14" s="1"/>
  <c r="F58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G89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E65" i="13"/>
  <c r="D65" i="13"/>
  <c r="F64" i="13"/>
  <c r="F63" i="13"/>
  <c r="F62" i="13"/>
  <c r="F61" i="13"/>
  <c r="F60" i="13"/>
  <c r="H59" i="13"/>
  <c r="L59" i="13" s="1"/>
  <c r="G59" i="13"/>
  <c r="F59" i="13"/>
  <c r="F58" i="13"/>
  <c r="F57" i="13"/>
  <c r="F56" i="13"/>
  <c r="F55" i="13"/>
  <c r="F54" i="13"/>
  <c r="H53" i="13"/>
  <c r="L53" i="13" s="1"/>
  <c r="G53" i="13"/>
  <c r="F53" i="13"/>
  <c r="F52" i="13"/>
  <c r="F51" i="13"/>
  <c r="D46" i="13"/>
  <c r="E45" i="13"/>
  <c r="M20" i="13"/>
  <c r="M21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K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G89" i="12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E65" i="12"/>
  <c r="D65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2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L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G90" i="1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L59" i="11" s="1"/>
  <c r="G59" i="11"/>
  <c r="K59" i="11" s="1"/>
  <c r="F59" i="11"/>
  <c r="F58" i="11"/>
  <c r="F57" i="11"/>
  <c r="F56" i="11"/>
  <c r="F55" i="11"/>
  <c r="F54" i="11"/>
  <c r="H53" i="11"/>
  <c r="L53" i="11" s="1"/>
  <c r="G53" i="11"/>
  <c r="F53" i="11"/>
  <c r="F52" i="11"/>
  <c r="F51" i="11"/>
  <c r="D46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E65" i="10"/>
  <c r="D65" i="10"/>
  <c r="F64" i="10"/>
  <c r="F63" i="10"/>
  <c r="F62" i="10"/>
  <c r="F61" i="10"/>
  <c r="F60" i="10"/>
  <c r="H59" i="10"/>
  <c r="L59" i="10" s="1"/>
  <c r="G59" i="10"/>
  <c r="F59" i="10"/>
  <c r="F58" i="10"/>
  <c r="F57" i="10"/>
  <c r="F56" i="10"/>
  <c r="F55" i="10"/>
  <c r="F54" i="10"/>
  <c r="H53" i="10"/>
  <c r="L53" i="10" s="1"/>
  <c r="G53" i="10"/>
  <c r="K53" i="10" s="1"/>
  <c r="F53" i="10"/>
  <c r="H52" i="10"/>
  <c r="L52" i="10" s="1"/>
  <c r="F52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L62" i="10" s="1"/>
  <c r="M17" i="10"/>
  <c r="G62" i="10" s="1"/>
  <c r="K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I60" i="10" s="1"/>
  <c r="J60" i="10" s="1"/>
  <c r="N14" i="10"/>
  <c r="H58" i="10" s="1"/>
  <c r="L58" i="10" s="1"/>
  <c r="M14" i="10"/>
  <c r="G58" i="10" s="1"/>
  <c r="N13" i="10"/>
  <c r="H57" i="10" s="1"/>
  <c r="L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I55" i="10" s="1"/>
  <c r="J55" i="10" s="1"/>
  <c r="N10" i="10"/>
  <c r="H54" i="10" s="1"/>
  <c r="L54" i="10" s="1"/>
  <c r="M10" i="10"/>
  <c r="G54" i="10" s="1"/>
  <c r="N9" i="10"/>
  <c r="M9" i="10"/>
  <c r="G52" i="10" s="1"/>
  <c r="K52" i="10" s="1"/>
  <c r="N8" i="10"/>
  <c r="M8" i="10"/>
  <c r="G51" i="10" s="1"/>
  <c r="N7" i="10"/>
  <c r="M7" i="10"/>
  <c r="D94" i="9"/>
  <c r="F93" i="9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F62" i="9"/>
  <c r="F61" i="9"/>
  <c r="F60" i="9"/>
  <c r="H59" i="9"/>
  <c r="L59" i="9" s="1"/>
  <c r="G59" i="9"/>
  <c r="K59" i="9" s="1"/>
  <c r="F59" i="9"/>
  <c r="F58" i="9"/>
  <c r="F57" i="9"/>
  <c r="H56" i="9"/>
  <c r="L56" i="9" s="1"/>
  <c r="F56" i="9"/>
  <c r="F55" i="9"/>
  <c r="F54" i="9"/>
  <c r="H53" i="9"/>
  <c r="L53" i="9" s="1"/>
  <c r="G53" i="9"/>
  <c r="F53" i="9"/>
  <c r="F52" i="9"/>
  <c r="H51" i="9"/>
  <c r="L51" i="9" s="1"/>
  <c r="F51" i="9"/>
  <c r="D46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I63" i="9" s="1"/>
  <c r="J63" i="9" s="1"/>
  <c r="N17" i="9"/>
  <c r="H62" i="9" s="1"/>
  <c r="L62" i="9" s="1"/>
  <c r="M17" i="9"/>
  <c r="G62" i="9" s="1"/>
  <c r="N16" i="9"/>
  <c r="H61" i="9" s="1"/>
  <c r="L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I54" i="9" s="1"/>
  <c r="J54" i="9" s="1"/>
  <c r="N9" i="9"/>
  <c r="M9" i="9"/>
  <c r="G52" i="9" s="1"/>
  <c r="N8" i="9"/>
  <c r="M8" i="9"/>
  <c r="G51" i="9" s="1"/>
  <c r="N7" i="9"/>
  <c r="M7" i="9"/>
  <c r="D94" i="8"/>
  <c r="F93" i="8"/>
  <c r="E93" i="8"/>
  <c r="G93" i="8" s="1"/>
  <c r="E92" i="8"/>
  <c r="G92" i="8" s="1"/>
  <c r="E90" i="8"/>
  <c r="G90" i="8" s="1"/>
  <c r="F89" i="8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E65" i="8"/>
  <c r="D65" i="8"/>
  <c r="F64" i="8"/>
  <c r="F63" i="8"/>
  <c r="F62" i="8"/>
  <c r="F61" i="8"/>
  <c r="F60" i="8"/>
  <c r="H59" i="8"/>
  <c r="L59" i="8" s="1"/>
  <c r="G59" i="8"/>
  <c r="K59" i="8" s="1"/>
  <c r="F59" i="8"/>
  <c r="F58" i="8"/>
  <c r="K57" i="8"/>
  <c r="F56" i="8"/>
  <c r="F54" i="8"/>
  <c r="H53" i="8"/>
  <c r="L53" i="8" s="1"/>
  <c r="G53" i="8"/>
  <c r="F53" i="8"/>
  <c r="F52" i="8"/>
  <c r="H51" i="8"/>
  <c r="F51" i="8"/>
  <c r="M20" i="8"/>
  <c r="M21" i="8" s="1"/>
  <c r="E45" i="8" s="1"/>
  <c r="F45" i="8" s="1"/>
  <c r="N19" i="8"/>
  <c r="H64" i="8" s="1"/>
  <c r="L64" i="8" s="1"/>
  <c r="M19" i="8"/>
  <c r="G64" i="8" s="1"/>
  <c r="K64" i="8" s="1"/>
  <c r="N18" i="8"/>
  <c r="H63" i="8" s="1"/>
  <c r="L63" i="8" s="1"/>
  <c r="M18" i="8"/>
  <c r="G63" i="8" s="1"/>
  <c r="K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L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K56" i="8" s="1"/>
  <c r="N11" i="8"/>
  <c r="H55" i="8" s="1"/>
  <c r="L55" i="8" s="1"/>
  <c r="M11" i="8"/>
  <c r="G55" i="8" s="1"/>
  <c r="N10" i="8"/>
  <c r="H54" i="8" s="1"/>
  <c r="L54" i="8" s="1"/>
  <c r="M10" i="8"/>
  <c r="G54" i="8" s="1"/>
  <c r="K54" i="8" s="1"/>
  <c r="N9" i="8"/>
  <c r="M9" i="8"/>
  <c r="G52" i="8" s="1"/>
  <c r="N8" i="8"/>
  <c r="M8" i="8"/>
  <c r="G51" i="8" s="1"/>
  <c r="N7" i="8"/>
  <c r="M7" i="8"/>
  <c r="E93" i="7"/>
  <c r="G93" i="7" s="1"/>
  <c r="G92" i="7"/>
  <c r="E92" i="7"/>
  <c r="F92" i="7" s="1"/>
  <c r="E90" i="7"/>
  <c r="F90" i="7" s="1"/>
  <c r="E89" i="7"/>
  <c r="D74" i="7"/>
  <c r="F60" i="7"/>
  <c r="H59" i="7"/>
  <c r="G59" i="7"/>
  <c r="F59" i="7"/>
  <c r="F58" i="7"/>
  <c r="H53" i="7"/>
  <c r="G53" i="7"/>
  <c r="K53" i="7" s="1"/>
  <c r="F53" i="7"/>
  <c r="F52" i="7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L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9" i="6"/>
  <c r="D77" i="6"/>
  <c r="D76" i="6"/>
  <c r="D74" i="6"/>
  <c r="D73" i="6"/>
  <c r="D71" i="6"/>
  <c r="D70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F54" i="3" s="1"/>
  <c r="E54" i="3"/>
  <c r="D55" i="3"/>
  <c r="E55" i="3"/>
  <c r="D56" i="3"/>
  <c r="E56" i="3"/>
  <c r="D57" i="3"/>
  <c r="E57" i="3"/>
  <c r="D58" i="3"/>
  <c r="K58" i="3" s="1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G50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L52" i="3" s="1"/>
  <c r="P11" i="3"/>
  <c r="G52" i="3" s="1"/>
  <c r="Q10" i="3"/>
  <c r="H51" i="3" s="1"/>
  <c r="L51" i="3" s="1"/>
  <c r="P10" i="3"/>
  <c r="G51" i="3" s="1"/>
  <c r="Q9" i="3"/>
  <c r="H50" i="3" s="1"/>
  <c r="P9" i="3"/>
  <c r="Q8" i="3"/>
  <c r="H49" i="3" s="1"/>
  <c r="P8" i="3"/>
  <c r="G49" i="3" s="1"/>
  <c r="Q7" i="3"/>
  <c r="P7" i="3"/>
  <c r="L53" i="7" l="1"/>
  <c r="G93" i="12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M63" i="9"/>
  <c r="F92" i="12"/>
  <c r="F65" i="13"/>
  <c r="K63" i="9"/>
  <c r="F90" i="8"/>
  <c r="I56" i="9"/>
  <c r="F92" i="11"/>
  <c r="I59" i="14"/>
  <c r="M59" i="14" s="1"/>
  <c r="N59" i="14" s="1"/>
  <c r="E44" i="10"/>
  <c r="G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I61" i="7"/>
  <c r="J61" i="7" s="1"/>
  <c r="G90" i="7"/>
  <c r="H90" i="7" s="1"/>
  <c r="L59" i="7"/>
  <c r="F89" i="7"/>
  <c r="D46" i="7"/>
  <c r="D65" i="7"/>
  <c r="K56" i="7"/>
  <c r="F51" i="7"/>
  <c r="F65" i="7" s="1"/>
  <c r="L58" i="7"/>
  <c r="K64" i="7"/>
  <c r="K57" i="7"/>
  <c r="H90" i="12"/>
  <c r="H92" i="14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H93" i="13"/>
  <c r="F66" i="3"/>
  <c r="K57" i="3"/>
  <c r="I56" i="10"/>
  <c r="J56" i="10" s="1"/>
  <c r="I59" i="12"/>
  <c r="J59" i="12" s="1"/>
  <c r="K53" i="3"/>
  <c r="E43" i="7"/>
  <c r="G43" i="7" s="1"/>
  <c r="H43" i="7" s="1"/>
  <c r="I64" i="11"/>
  <c r="J64" i="11" s="1"/>
  <c r="D84" i="14"/>
  <c r="H92" i="11"/>
  <c r="M52" i="7"/>
  <c r="N52" i="7" s="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M54" i="9"/>
  <c r="I53" i="10"/>
  <c r="K56" i="10"/>
  <c r="D84" i="10"/>
  <c r="H54" i="12"/>
  <c r="L54" i="12" s="1"/>
  <c r="L65" i="12" s="1"/>
  <c r="D84" i="12"/>
  <c r="H93" i="7"/>
  <c r="H93" i="9"/>
  <c r="L53" i="6"/>
  <c r="L59" i="6"/>
  <c r="H89" i="13"/>
  <c r="D84" i="6"/>
  <c r="H92" i="7"/>
  <c r="N54" i="9"/>
  <c r="N62" i="9"/>
  <c r="N63" i="9"/>
  <c r="H92" i="9"/>
  <c r="H90" i="11"/>
  <c r="N55" i="8"/>
  <c r="H89" i="8"/>
  <c r="H93" i="8"/>
  <c r="H44" i="10"/>
  <c r="H45" i="8"/>
  <c r="H90" i="8"/>
  <c r="H45" i="10"/>
  <c r="H90" i="10"/>
  <c r="H89" i="12"/>
  <c r="H92" i="12"/>
  <c r="H93" i="12"/>
  <c r="N53" i="14"/>
  <c r="H90" i="14"/>
  <c r="L57" i="8"/>
  <c r="I57" i="8"/>
  <c r="L56" i="7"/>
  <c r="I56" i="7"/>
  <c r="J56" i="7" s="1"/>
  <c r="G45" i="7"/>
  <c r="H45" i="7" s="1"/>
  <c r="F45" i="7"/>
  <c r="G44" i="8"/>
  <c r="H44" i="8" s="1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H65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H51" i="7"/>
  <c r="I51" i="7" s="1"/>
  <c r="K52" i="8"/>
  <c r="I52" i="8"/>
  <c r="J52" i="8" s="1"/>
  <c r="J55" i="8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J52" i="7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59" i="10"/>
  <c r="N59" i="10" s="1"/>
  <c r="M63" i="11"/>
  <c r="N63" i="11" s="1"/>
  <c r="J63" i="11"/>
  <c r="M60" i="8"/>
  <c r="N60" i="8" s="1"/>
  <c r="D84" i="9"/>
  <c r="K51" i="7"/>
  <c r="K58" i="7"/>
  <c r="I58" i="7"/>
  <c r="M56" i="8"/>
  <c r="N56" i="8" s="1"/>
  <c r="E91" i="8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94" i="8"/>
  <c r="F94" i="8" s="1"/>
  <c r="E44" i="9"/>
  <c r="H52" i="9"/>
  <c r="G65" i="10"/>
  <c r="E43" i="10" s="1"/>
  <c r="K51" i="10"/>
  <c r="I51" i="10"/>
  <c r="M51" i="10" s="1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M60" i="14"/>
  <c r="N60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64" i="8"/>
  <c r="N64" i="8" s="1"/>
  <c r="M57" i="11"/>
  <c r="N57" i="11" s="1"/>
  <c r="K59" i="12"/>
  <c r="I61" i="12"/>
  <c r="J61" i="12" s="1"/>
  <c r="M52" i="10"/>
  <c r="N52" i="10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M52" i="13"/>
  <c r="N52" i="13" s="1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M53" i="3" s="1"/>
  <c r="N53" i="3" s="1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G42" i="3"/>
  <c r="H42" i="3" s="1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J53" i="12" l="1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54" i="12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G46" i="7"/>
  <c r="H46" i="7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M55" i="7" l="1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E67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4" l="1"/>
  <c r="F67" i="4" s="1"/>
  <c r="E43" i="5"/>
  <c r="E41" i="4"/>
  <c r="G66" i="4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H66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M60" i="4"/>
  <c r="N60" i="4" s="1"/>
  <c r="E70" i="4"/>
  <c r="K57" i="4"/>
  <c r="I57" i="4"/>
  <c r="J57" i="4" s="1"/>
  <c r="H65" i="4"/>
  <c r="H61" i="4"/>
  <c r="L49" i="4"/>
  <c r="L61" i="4" s="1"/>
  <c r="G41" i="4"/>
  <c r="F41" i="4"/>
  <c r="J54" i="4"/>
  <c r="K52" i="4"/>
  <c r="I52" i="4"/>
  <c r="J52" i="4" s="1"/>
  <c r="G61" i="4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E44" i="5" l="1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<sst xmlns="http://schemas.openxmlformats.org/spreadsheetml/2006/main" count="1874" uniqueCount="185">
  <si>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</si>
  <si>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</si>
  <si>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</si>
  <si>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</si>
  <si>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</si>
  <si>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</si>
  <si>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</si>
  <si>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</si>
  <si>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</si>
  <si>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</si>
  <si>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</si>
  <si>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</si>
  <si>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</si>
  <si>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</si>
  <si>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</si>
  <si>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</si>
  <si>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</si>
  <si>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</si>
  <si>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</si>
  <si>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</si>
  <si>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</si>
  <si>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</si>
  <si>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</si>
  <si>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</si>
  <si>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</si>
  <si>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</si>
  <si>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</si>
  <si>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</si>
  <si>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</si>
  <si>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</si>
  <si>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</si>
  <si>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</si>
  <si>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</si>
  <si>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</si>
  <si>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</si>
  <si>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</si>
  <si>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</si>
  <si>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</si>
  <si>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</si>
  <si>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</si>
  <si>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</si>
  <si>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</si>
  <si>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</si>
  <si>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</si>
  <si>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</si>
  <si>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</si>
  <si>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</si>
  <si>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</si>
  <si>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</si>
  <si>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</si>
  <si>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</si>
  <si>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</si>
  <si>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</si>
  <si>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</si>
  <si>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</si>
  <si>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</si>
  <si>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</si>
  <si>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</si>
  <si>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</si>
  <si>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</si>
  <si>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</si>
  <si>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</si>
  <si>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</si>
  <si>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</si>
  <si>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</si>
  <si>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</si>
  <si>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</si>
  <si>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</si>
  <si>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</si>
  <si>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</si>
  <si>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</si>
  <si>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</si>
  <si>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</si>
  <si>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</si>
  <si>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</si>
  <si>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</si>
  <si>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</si>
  <si>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</si>
  <si>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</si>
  <si>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</si>
  <si>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</si>
  <si>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</si>
  <si>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</si>
  <si>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</si>
  <si>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</si>
  <si>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</si>
  <si>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</si>
  <si>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</si>
  <si>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</si>
  <si>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</si>
  <si>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</si>
  <si>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</si>
  <si>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</si>
  <si>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</si>
  <si>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</si>
  <si>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</si>
  <si>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</si>
  <si>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</si>
  <si>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</si>
  <si>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</si>
  <si>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</si>
  <si>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</si>
  <si>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</si>
  <si>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</si>
  <si>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</si>
  <si>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</si>
  <si>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</si>
  <si>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</si>
  <si>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</si>
  <si>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</si>
  <si>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</si>
  <si>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</si>
  <si>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</si>
  <si>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</si>
  <si>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</si>
  <si>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</si>
  <si>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</si>
  <si>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</si>
  <si>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</si>
  <si>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</si>
  <si>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</si>
  <si>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</si>
  <si>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</si>
  <si>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</si>
  <si>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</si>
  <si>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</si>
  <si>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</si>
  <si>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</si>
  <si>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</si>
  <si>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</si>
  <si>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</si>
  <si>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</si>
  <si>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</si>
  <si>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</si>
  <si>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</si>
  <si>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</si>
  <si>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</si>
  <si>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</si>
  <si>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</si>
  <si>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</si>
  <si>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</si>
  <si>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</si>
  <si>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</si>
  <si>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</si>
  <si>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</si>
  <si>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</si>
  <si>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</si>
  <si>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</si>
  <si>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</si>
  <si>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</si>
  <si>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</si>
  <si>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</si>
  <si>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</si>
  <si>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</si>
  <si>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</si>
  <si>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</si>
  <si>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</si>
  <si>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</si>
  <si>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</si>
  <si>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</si>
  <si>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</si>
  <si>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</si>
  <si>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</si>
  <si>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</si>
  <si>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</si>
  <si>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</si>
  <si>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</si>
  <si>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</si>
  <si>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</si>
  <si>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</si>
  <si>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</si>
  <si>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</si>
  <si>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</si>
  <si>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</si>
  <si>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</si>
  <si>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</si>
  <si>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</si>
  <si>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</si>
  <si>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</si>
  <si>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</si>
  <si>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</si>
  <si>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</si>
  <si>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</si>
  <si>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</si>
  <si>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07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</si>
</sst>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5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20" borderId="1" xfId="0" applyNumberFormat="1" applyFont="1" applyFill="1" applyBorder="1" applyAlignment="1">
      <alignment horizontal="center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7" t="s">
        <v>0</v>
      </c>
      <c r="C1" s="207"/>
    </row>
    <row r="3" spans="2:3" x14ac:dyDescent="0.25">
      <c r="B3" s="208" t="s">
        <v>1</v>
      </c>
      <c r="C3" s="208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9" t="s">
        <v>14</v>
      </c>
      <c r="C11" s="209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8" t="s">
        <v>28</v>
      </c>
      <c r="C3" s="208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10" t="s">
        <v>102</v>
      </c>
      <c r="C29" s="210"/>
      <c r="D29" s="210"/>
      <c r="E29" s="210"/>
      <c r="F29" s="210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2" t="s">
        <v>146</v>
      </c>
      <c r="C44" s="213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4" t="s">
        <v>41</v>
      </c>
      <c r="C47" s="214" t="s">
        <v>42</v>
      </c>
      <c r="D47" s="215" t="s">
        <v>138</v>
      </c>
      <c r="E47" s="216"/>
      <c r="F47" s="217"/>
      <c r="G47" s="101" t="s">
        <v>139</v>
      </c>
      <c r="H47" s="101"/>
      <c r="I47" s="101"/>
      <c r="J47" s="214" t="s">
        <v>140</v>
      </c>
      <c r="K47" s="102" t="s">
        <v>148</v>
      </c>
      <c r="L47" s="102"/>
      <c r="M47" s="102"/>
      <c r="N47" s="211" t="s">
        <v>149</v>
      </c>
    </row>
    <row r="48" spans="2:14" ht="15.75" x14ac:dyDescent="0.25">
      <c r="B48" s="214"/>
      <c r="C48" s="214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4"/>
      <c r="K48" s="104" t="s">
        <v>143</v>
      </c>
      <c r="L48" s="104" t="s">
        <v>111</v>
      </c>
      <c r="M48" s="104" t="s">
        <v>146</v>
      </c>
      <c r="N48" s="211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2" t="s">
        <v>146</v>
      </c>
      <c r="C44" s="213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4" t="s">
        <v>41</v>
      </c>
      <c r="C47" s="214" t="s">
        <v>42</v>
      </c>
      <c r="D47" s="215" t="s">
        <v>138</v>
      </c>
      <c r="E47" s="216"/>
      <c r="F47" s="217"/>
      <c r="G47" s="101" t="s">
        <v>139</v>
      </c>
      <c r="H47" s="101"/>
      <c r="I47" s="101"/>
      <c r="J47" s="214" t="s">
        <v>140</v>
      </c>
      <c r="K47" s="102" t="s">
        <v>148</v>
      </c>
      <c r="L47" s="102"/>
      <c r="M47" s="102"/>
      <c r="N47" s="211" t="s">
        <v>149</v>
      </c>
    </row>
    <row r="48" spans="2:14" ht="15.75" x14ac:dyDescent="0.25">
      <c r="B48" s="214"/>
      <c r="C48" s="214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4"/>
      <c r="K48" s="104" t="s">
        <v>143</v>
      </c>
      <c r="L48" s="104" t="s">
        <v>111</v>
      </c>
      <c r="M48" s="104" t="s">
        <v>146</v>
      </c>
      <c r="N48" s="211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2" t="s">
        <v>146</v>
      </c>
      <c r="C44" s="223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4" t="s">
        <v>41</v>
      </c>
      <c r="C47" s="224" t="s">
        <v>42</v>
      </c>
      <c r="D47" s="219" t="s">
        <v>138</v>
      </c>
      <c r="E47" s="220"/>
      <c r="F47" s="221"/>
      <c r="G47" s="70" t="s">
        <v>139</v>
      </c>
      <c r="H47" s="70"/>
      <c r="I47" s="70"/>
      <c r="J47" s="224" t="s">
        <v>140</v>
      </c>
      <c r="K47" s="35" t="s">
        <v>148</v>
      </c>
      <c r="L47" s="35"/>
      <c r="M47" s="35"/>
      <c r="N47" s="218" t="s">
        <v>149</v>
      </c>
    </row>
    <row r="48" spans="2:17" ht="15.75" x14ac:dyDescent="0.25">
      <c r="B48" s="224"/>
      <c r="C48" s="224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4"/>
      <c r="K48" s="34" t="s">
        <v>143</v>
      </c>
      <c r="L48" s="34" t="s">
        <v>111</v>
      </c>
      <c r="M48" s="34" t="s">
        <v>146</v>
      </c>
      <c r="N48" s="218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zoomScaleNormal="100" workbookViewId="0">
      <selection activeCell="F41" sqref="F41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5" t="s">
        <v>183</v>
      </c>
      <c r="C41" s="226"/>
      <c r="D41" s="227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2" t="s">
        <v>146</v>
      </c>
      <c r="C46" s="223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36"/>
      <c r="L48" s="237"/>
      <c r="M48" s="237"/>
      <c r="N48" s="238"/>
    </row>
    <row r="49" spans="2:14" s="158" customFormat="1" ht="20.100000000000001" customHeight="1" x14ac:dyDescent="0.25">
      <c r="B49" s="235" t="s">
        <v>41</v>
      </c>
      <c r="C49" s="235" t="s">
        <v>42</v>
      </c>
      <c r="D49" s="232" t="s">
        <v>138</v>
      </c>
      <c r="E49" s="233"/>
      <c r="F49" s="234"/>
      <c r="G49" s="159" t="s">
        <v>139</v>
      </c>
      <c r="H49" s="159"/>
      <c r="I49" s="159"/>
      <c r="J49" s="235" t="s">
        <v>140</v>
      </c>
      <c r="K49" s="160" t="s">
        <v>148</v>
      </c>
      <c r="L49" s="160"/>
      <c r="M49" s="160"/>
      <c r="N49" s="228" t="s">
        <v>149</v>
      </c>
    </row>
    <row r="50" spans="2:14" s="158" customFormat="1" ht="20.100000000000001" customHeight="1" x14ac:dyDescent="0.25">
      <c r="B50" s="235"/>
      <c r="C50" s="235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5"/>
      <c r="K50" s="163" t="s">
        <v>143</v>
      </c>
      <c r="L50" s="163" t="s">
        <v>111</v>
      </c>
      <c r="M50" s="163" t="s">
        <v>146</v>
      </c>
      <c r="N50" s="228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4" t="s">
        <v>41</v>
      </c>
      <c r="C68" s="224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4"/>
      <c r="C69" s="224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9" t="s">
        <v>145</v>
      </c>
      <c r="C87" s="230"/>
      <c r="D87" s="230"/>
      <c r="E87" s="230"/>
      <c r="F87" s="231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81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21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42873985.280547</v>
      </c>
      <c r="N8" s="11">
        <f>D24</f>
        <v>14041957.978482001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99060006.837617993</v>
      </c>
      <c r="N9" s="11">
        <f>D12+D13</f>
        <v>18273402.330292001</v>
      </c>
    </row>
    <row r="10" spans="2:14" x14ac:dyDescent="0.25">
      <c r="B10" s="74" t="s">
        <v>113</v>
      </c>
      <c r="C10" s="206">
        <v>54174339.979146004</v>
      </c>
      <c r="D10" s="206">
        <v>5380116.9003720004</v>
      </c>
      <c r="E10" s="206">
        <v>40139638.439999998</v>
      </c>
      <c r="F10" s="206">
        <v>99694095.319518</v>
      </c>
      <c r="H10" s="116"/>
      <c r="I10" s="116"/>
      <c r="J10" s="116"/>
      <c r="M10" s="11">
        <f>C14</f>
        <v>117467040.76519699</v>
      </c>
      <c r="N10" s="11">
        <f>D14</f>
        <v>10240095.673957</v>
      </c>
    </row>
    <row r="11" spans="2:14" x14ac:dyDescent="0.25">
      <c r="B11" s="74" t="s">
        <v>114</v>
      </c>
      <c r="C11" s="206">
        <v>86706793.804280996</v>
      </c>
      <c r="D11" s="206">
        <v>23834171.600310002</v>
      </c>
      <c r="E11" s="206">
        <v>2972973</v>
      </c>
      <c r="F11" s="206">
        <v>113513938.40459099</v>
      </c>
      <c r="H11" s="116"/>
      <c r="I11" s="116"/>
      <c r="J11" s="116"/>
      <c r="M11" s="11">
        <f>C17</f>
        <v>21387387.039999999</v>
      </c>
      <c r="N11" s="11">
        <f>D17</f>
        <v>594594.6</v>
      </c>
    </row>
    <row r="12" spans="2:14" x14ac:dyDescent="0.25">
      <c r="B12" s="74" t="s">
        <v>70</v>
      </c>
      <c r="C12" s="206">
        <v>46067556.383975998</v>
      </c>
      <c r="D12" s="206">
        <v>12945866.290298</v>
      </c>
      <c r="E12" s="206" t="s">
        <v>169</v>
      </c>
      <c r="F12" s="206">
        <v>59013422.674273998</v>
      </c>
      <c r="H12" s="116"/>
      <c r="I12" s="116"/>
      <c r="J12" s="116"/>
      <c r="M12" s="11">
        <f>C16</f>
        <v>56191655.338026002</v>
      </c>
      <c r="N12" s="11">
        <f>D16</f>
        <v>19878088.459867999</v>
      </c>
    </row>
    <row r="13" spans="2:14" x14ac:dyDescent="0.25">
      <c r="B13" s="74" t="s">
        <v>115</v>
      </c>
      <c r="C13" s="206">
        <v>52992450.453642003</v>
      </c>
      <c r="D13" s="206">
        <v>5327536.0399940005</v>
      </c>
      <c r="E13" s="206">
        <v>9592792.6799999997</v>
      </c>
      <c r="F13" s="206">
        <v>67912779.173636004</v>
      </c>
      <c r="H13" s="116"/>
      <c r="I13" s="116"/>
      <c r="J13" s="116"/>
      <c r="M13" s="11">
        <f>C19</f>
        <v>152304041.79159999</v>
      </c>
      <c r="N13" s="11">
        <f>D19</f>
        <v>17140076.309966002</v>
      </c>
    </row>
    <row r="14" spans="2:14" x14ac:dyDescent="0.25">
      <c r="B14" s="74" t="s">
        <v>116</v>
      </c>
      <c r="C14" s="206">
        <v>117467040.76519699</v>
      </c>
      <c r="D14" s="206">
        <v>10240095.673957</v>
      </c>
      <c r="E14" s="206">
        <v>15773873.699999999</v>
      </c>
      <c r="F14" s="206">
        <v>143481010.13915399</v>
      </c>
      <c r="H14" s="116"/>
      <c r="I14" s="116"/>
      <c r="J14" s="116"/>
      <c r="M14" s="11">
        <f>C25</f>
        <v>98086123.531784996</v>
      </c>
      <c r="N14" s="11">
        <f>D25</f>
        <v>20422324.289864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86706793.804280996</v>
      </c>
      <c r="N15" s="11">
        <f>D11</f>
        <v>23834171.600310002</v>
      </c>
    </row>
    <row r="16" spans="2:14" x14ac:dyDescent="0.25">
      <c r="B16" s="74" t="s">
        <v>74</v>
      </c>
      <c r="C16" s="206">
        <v>56191655.338026002</v>
      </c>
      <c r="D16" s="206">
        <v>19878088.459867999</v>
      </c>
      <c r="E16" s="206">
        <v>7175675.5999999996</v>
      </c>
      <c r="F16" s="206">
        <v>83245419.397893995</v>
      </c>
      <c r="H16" s="116"/>
      <c r="I16" s="116"/>
      <c r="J16" s="116"/>
      <c r="M16" s="11">
        <f>C26</f>
        <v>79658589.395199001</v>
      </c>
      <c r="N16" s="11">
        <f>D26</f>
        <v>16881583.799972001</v>
      </c>
    </row>
    <row r="17" spans="2:14" x14ac:dyDescent="0.25">
      <c r="B17" s="74" t="s">
        <v>118</v>
      </c>
      <c r="C17" s="206">
        <v>21387387.039999999</v>
      </c>
      <c r="D17" s="206">
        <v>594594.6</v>
      </c>
      <c r="E17" s="206" t="s">
        <v>169</v>
      </c>
      <c r="F17" s="206">
        <v>21981981.640000001</v>
      </c>
      <c r="H17" s="116"/>
      <c r="I17" s="116"/>
      <c r="J17" s="116"/>
      <c r="M17" s="11">
        <f>C10</f>
        <v>54174339.979146004</v>
      </c>
      <c r="N17" s="11">
        <f>D10</f>
        <v>5380116.9003720004</v>
      </c>
    </row>
    <row r="18" spans="2:14" x14ac:dyDescent="0.25">
      <c r="B18" s="74" t="s">
        <v>119</v>
      </c>
      <c r="C18" s="206">
        <v>391192036.163966</v>
      </c>
      <c r="D18" s="206">
        <v>3422346.9499789998</v>
      </c>
      <c r="E18" s="206">
        <v>1135135.1200000001</v>
      </c>
      <c r="F18" s="206">
        <v>395749518.23394501</v>
      </c>
      <c r="H18" s="116"/>
      <c r="I18" s="116"/>
      <c r="J18" s="116"/>
      <c r="M18" s="11">
        <f>C27</f>
        <v>169536385.769223</v>
      </c>
      <c r="N18" s="11">
        <f>D27</f>
        <v>85651530.428636</v>
      </c>
    </row>
    <row r="19" spans="2:14" x14ac:dyDescent="0.25">
      <c r="B19" s="74" t="s">
        <v>121</v>
      </c>
      <c r="C19" s="206">
        <v>152304041.79159999</v>
      </c>
      <c r="D19" s="206">
        <v>17140076.309966002</v>
      </c>
      <c r="E19" s="206">
        <v>235554977.329956</v>
      </c>
      <c r="F19" s="206">
        <v>404999095.43152201</v>
      </c>
      <c r="H19" s="116"/>
      <c r="I19" s="116"/>
      <c r="J19" s="116"/>
      <c r="M19" s="11">
        <f>C20+C21</f>
        <v>40531555.855117999</v>
      </c>
      <c r="N19" s="11">
        <f>D20+D21</f>
        <v>38541853.192187995</v>
      </c>
    </row>
    <row r="20" spans="2:14" x14ac:dyDescent="0.25">
      <c r="B20" s="74" t="s">
        <v>123</v>
      </c>
      <c r="C20" s="206">
        <v>30864555.855117999</v>
      </c>
      <c r="D20" s="206">
        <v>13102655.88992</v>
      </c>
      <c r="E20" s="206" t="s">
        <v>169</v>
      </c>
      <c r="F20" s="206">
        <v>43967211.745038003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6">
        <v>9667000</v>
      </c>
      <c r="D21" s="206">
        <v>25439197.302267998</v>
      </c>
      <c r="E21" s="206">
        <v>21881081.52</v>
      </c>
      <c r="F21" s="206">
        <v>56987278.822268002</v>
      </c>
      <c r="H21" s="116"/>
      <c r="I21" s="116"/>
      <c r="J21" s="116"/>
      <c r="M21" s="14">
        <f>IFERROR(C34,0)+IFERROR(C35,0)+M20</f>
        <v>123951644.45549099</v>
      </c>
      <c r="N21" s="10" t="s">
        <v>122</v>
      </c>
    </row>
    <row r="22" spans="2:14" x14ac:dyDescent="0.25">
      <c r="B22" s="74" t="s">
        <v>173</v>
      </c>
      <c r="C22" s="206">
        <v>32194810</v>
      </c>
      <c r="D22" s="206" t="s">
        <v>169</v>
      </c>
      <c r="E22" s="206">
        <v>4036035.92</v>
      </c>
      <c r="F22" s="206">
        <v>36230845.920000002</v>
      </c>
      <c r="H22" s="116"/>
      <c r="I22" s="116"/>
      <c r="J22" s="116"/>
    </row>
    <row r="23" spans="2:14" x14ac:dyDescent="0.25">
      <c r="B23" s="74" t="s">
        <v>174</v>
      </c>
      <c r="C23" s="206">
        <v>68042438.249974996</v>
      </c>
      <c r="D23" s="206" t="s">
        <v>169</v>
      </c>
      <c r="E23" s="206">
        <v>1441441.4</v>
      </c>
      <c r="F23" s="206">
        <v>69483879.649975002</v>
      </c>
      <c r="H23" s="116"/>
      <c r="I23" s="116"/>
      <c r="J23" s="116"/>
    </row>
    <row r="24" spans="2:14" x14ac:dyDescent="0.25">
      <c r="B24" s="74" t="s">
        <v>125</v>
      </c>
      <c r="C24" s="206">
        <v>42873985.280547</v>
      </c>
      <c r="D24" s="206">
        <v>14041957.978482001</v>
      </c>
      <c r="E24" s="206">
        <v>8419819.6199999992</v>
      </c>
      <c r="F24" s="206">
        <v>65335762.879028998</v>
      </c>
      <c r="H24" s="116"/>
      <c r="I24" s="116"/>
      <c r="J24" s="116"/>
    </row>
    <row r="25" spans="2:14" x14ac:dyDescent="0.25">
      <c r="B25" s="74" t="s">
        <v>126</v>
      </c>
      <c r="C25" s="206">
        <v>98086123.531784996</v>
      </c>
      <c r="D25" s="206">
        <v>20422324.289864</v>
      </c>
      <c r="E25" s="206">
        <v>12157657.52</v>
      </c>
      <c r="F25" s="206">
        <v>130666105.341649</v>
      </c>
      <c r="H25" s="116"/>
      <c r="I25" s="116"/>
      <c r="J25" s="116"/>
    </row>
    <row r="26" spans="2:14" x14ac:dyDescent="0.25">
      <c r="B26" s="74" t="s">
        <v>127</v>
      </c>
      <c r="C26" s="206">
        <v>79658589.395199001</v>
      </c>
      <c r="D26" s="206">
        <v>16881583.799972001</v>
      </c>
      <c r="E26" s="206">
        <v>61576576.450000003</v>
      </c>
      <c r="F26" s="206">
        <v>158116749.64517099</v>
      </c>
      <c r="H26" s="116"/>
      <c r="I26" s="116"/>
      <c r="J26" s="116"/>
    </row>
    <row r="27" spans="2:14" x14ac:dyDescent="0.25">
      <c r="B27" s="74" t="s">
        <v>128</v>
      </c>
      <c r="C27" s="206">
        <v>169536385.769223</v>
      </c>
      <c r="D27" s="206">
        <v>85651530.428636</v>
      </c>
      <c r="E27" s="206">
        <v>4259459.54</v>
      </c>
      <c r="F27" s="206">
        <v>259447375.73785901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49">
        <v>100116365.515632</v>
      </c>
      <c r="G32" s="116"/>
      <c r="H32" s="116"/>
      <c r="I32" s="116"/>
    </row>
    <row r="33" spans="2:14" x14ac:dyDescent="0.25">
      <c r="B33" s="84" t="s">
        <v>133</v>
      </c>
      <c r="C33" s="206">
        <v>42117487.793516003</v>
      </c>
      <c r="G33" s="116"/>
      <c r="H33" s="116"/>
      <c r="I33" s="116"/>
    </row>
    <row r="34" spans="2:14" x14ac:dyDescent="0.25">
      <c r="B34" s="84" t="s">
        <v>134</v>
      </c>
      <c r="C34" s="206">
        <v>112452311.135539</v>
      </c>
      <c r="G34" s="116"/>
      <c r="H34" s="116"/>
      <c r="I34" s="116"/>
    </row>
    <row r="35" spans="2:14" x14ac:dyDescent="0.25">
      <c r="B35" s="84" t="s">
        <v>135</v>
      </c>
      <c r="C35" s="206">
        <v>11499333.319952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39" t="s">
        <v>184</v>
      </c>
      <c r="C41" s="240"/>
      <c r="D41" s="241"/>
      <c r="E41" s="67" t="s">
        <v>138</v>
      </c>
      <c r="F41" s="73">
        <f ca="1">IF(MONTH(TODAY())=5,DAY(TODAY())/DAY(EOMONTH(TODAY(),0)),IF(MONTH(TODAY())&gt;5,1,0))</f>
        <v>0.22580645161290322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1118215153.6377149</v>
      </c>
      <c r="F43" s="44">
        <f>IFERROR(E43/D43,0)</f>
        <v>0.16349897399361182</v>
      </c>
      <c r="G43" s="118">
        <f>D43-E43</f>
        <v>5721064178.3622856</v>
      </c>
      <c r="H43" s="118">
        <f ca="1">IFERROR(G43/C3,0)</f>
        <v>272431627.54106122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270879795.56390703</v>
      </c>
      <c r="F44" s="44">
        <f>IFERROR(E44/D44,0)</f>
        <v>0.18361435256687544</v>
      </c>
      <c r="G44" s="118">
        <f>D44-E44</f>
        <v>1204385028.6564546</v>
      </c>
      <c r="H44" s="118">
        <f ca="1">IFERROR(G44/C3,0)</f>
        <v>57351668.031259738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266185497.76463902</v>
      </c>
      <c r="F45" s="44">
        <f>IFERROR(E45/D45,0)</f>
        <v>0.14929258227849679</v>
      </c>
      <c r="G45" s="118">
        <f>D45-E45</f>
        <v>1516793225.639617</v>
      </c>
      <c r="H45" s="118">
        <f ca="1">IFERROR(G45/C3,0)</f>
        <v>72228248.839981765</v>
      </c>
      <c r="I45" s="116"/>
    </row>
    <row r="46" spans="2:14" ht="18.75" customHeight="1" x14ac:dyDescent="0.25">
      <c r="B46" s="222" t="s">
        <v>146</v>
      </c>
      <c r="C46" s="223"/>
      <c r="D46" s="47">
        <f>D43+D44+D45</f>
        <v>10097522879.624619</v>
      </c>
      <c r="E46" s="47">
        <f>E43+E44+E45</f>
        <v>1655280446.9662609</v>
      </c>
      <c r="F46" s="43">
        <f>IFERROR(E46/D46,0)</f>
        <v>0.1639293583881235</v>
      </c>
      <c r="G46" s="119">
        <f>G43+G44+G45</f>
        <v>8442242432.6583567</v>
      </c>
      <c r="H46" s="119">
        <f ca="1">IFERROR(G46/C3,0)</f>
        <v>402011544.41230267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20.100000000000001" customHeight="1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22.5" customHeight="1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ht="20.100000000000001" customHeight="1" x14ac:dyDescent="0.25">
      <c r="B51" s="201" t="s">
        <v>67</v>
      </c>
      <c r="C51" s="202" t="s">
        <v>68</v>
      </c>
      <c r="D51" s="205">
        <f>TARGETS!L5</f>
        <v>416683478</v>
      </c>
      <c r="E51" s="205">
        <f>TARGETS!M5</f>
        <v>68270401.220654309</v>
      </c>
      <c r="F51" s="205">
        <f t="shared" ref="F51:F64" si="0">D51+E51</f>
        <v>484953879.22065431</v>
      </c>
      <c r="G51" s="122">
        <f>M8</f>
        <v>42873985.280547</v>
      </c>
      <c r="H51" s="122">
        <f>N8</f>
        <v>14041957.978482001</v>
      </c>
      <c r="I51" s="122">
        <f t="shared" ref="I51:I64" si="1">G51+H51</f>
        <v>56915943.259029001</v>
      </c>
      <c r="J51" s="61">
        <f t="shared" ref="J51:J64" si="2">IFERROR(I51/F51,0)</f>
        <v>0.11736362094988462</v>
      </c>
      <c r="K51" s="51">
        <f t="shared" ref="K51:M64" si="3">D51-G51</f>
        <v>373809492.71945298</v>
      </c>
      <c r="L51" s="51">
        <f t="shared" si="3"/>
        <v>54228443.242172308</v>
      </c>
      <c r="M51" s="51">
        <f t="shared" si="3"/>
        <v>428037935.96162534</v>
      </c>
      <c r="N51" s="51">
        <f ca="1">IFERROR(M51/C3,0)</f>
        <v>20382758.855315492</v>
      </c>
    </row>
    <row r="52" spans="2:14" ht="20.100000000000001" customHeight="1" x14ac:dyDescent="0.25">
      <c r="B52" s="201" t="s">
        <v>69</v>
      </c>
      <c r="C52" s="202" t="s">
        <v>70</v>
      </c>
      <c r="D52" s="205">
        <f>TARGETS!L6</f>
        <v>555182371</v>
      </c>
      <c r="E52" s="205">
        <f>TARGETS!M6</f>
        <v>191546784</v>
      </c>
      <c r="F52" s="205">
        <f t="shared" si="0"/>
        <v>746729155</v>
      </c>
      <c r="G52" s="122">
        <f>M9</f>
        <v>99060006.837617993</v>
      </c>
      <c r="H52" s="122">
        <f>N9</f>
        <v>18273402.330292001</v>
      </c>
      <c r="I52" s="122">
        <f t="shared" si="1"/>
        <v>117333409.16790999</v>
      </c>
      <c r="J52" s="61">
        <f t="shared" si="2"/>
        <v>0.15712980855543265</v>
      </c>
      <c r="K52" s="54">
        <f t="shared" si="3"/>
        <v>456122364.16238201</v>
      </c>
      <c r="L52" s="54">
        <f t="shared" si="3"/>
        <v>173273381.66970801</v>
      </c>
      <c r="M52" s="54">
        <f t="shared" si="3"/>
        <v>629395745.83209002</v>
      </c>
      <c r="N52" s="54">
        <f ca="1">IFERROR(M52/C3,0)</f>
        <v>29971225.992004286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32194810</v>
      </c>
      <c r="H53" s="122">
        <f>IF(D22="",0,D22)</f>
        <v>0</v>
      </c>
      <c r="I53" s="122">
        <f>G53+H53</f>
        <v>32194810</v>
      </c>
      <c r="J53" s="61">
        <f>IFERROR(I53/F53,0)</f>
        <v>0.1333266007730512</v>
      </c>
      <c r="K53" s="54">
        <f>D53-G53</f>
        <v>209278458</v>
      </c>
      <c r="L53" s="54">
        <f>E53-H53</f>
        <v>0</v>
      </c>
      <c r="M53" s="54">
        <f>F53-I53</f>
        <v>209278458</v>
      </c>
      <c r="N53" s="54">
        <f ca="1">IFERROR(M53/C3,0)</f>
        <v>9965640.8571428563</v>
      </c>
    </row>
    <row r="54" spans="2:14" ht="20.100000000000001" customHeight="1" x14ac:dyDescent="0.25">
      <c r="B54" s="201" t="s">
        <v>71</v>
      </c>
      <c r="C54" s="202" t="s">
        <v>72</v>
      </c>
      <c r="D54" s="205">
        <f>TARGETS!L8</f>
        <v>610712472</v>
      </c>
      <c r="E54" s="205">
        <f>TARGETS!M8</f>
        <v>46881826.81733489</v>
      </c>
      <c r="F54" s="205">
        <f t="shared" si="0"/>
        <v>657594298.81733489</v>
      </c>
      <c r="G54" s="122">
        <f>M10</f>
        <v>117467040.76519699</v>
      </c>
      <c r="H54" s="122">
        <f t="shared" ref="H54:H58" si="4">N10</f>
        <v>10240095.673957</v>
      </c>
      <c r="I54" s="122">
        <f t="shared" si="1"/>
        <v>127707136.439154</v>
      </c>
      <c r="J54" s="61">
        <f t="shared" si="2"/>
        <v>0.19420353349904607</v>
      </c>
      <c r="K54" s="54">
        <f>D54-G54</f>
        <v>493245431.23480302</v>
      </c>
      <c r="L54" s="54">
        <f t="shared" si="3"/>
        <v>36641731.143377893</v>
      </c>
      <c r="M54" s="54">
        <f t="shared" si="3"/>
        <v>529887162.37818086</v>
      </c>
      <c r="N54" s="54">
        <f ca="1">IFERROR(M54/C3,0)</f>
        <v>25232722.018008612</v>
      </c>
    </row>
    <row r="55" spans="2:14" ht="20.100000000000001" customHeight="1" x14ac:dyDescent="0.25">
      <c r="B55" s="201" t="s">
        <v>73</v>
      </c>
      <c r="C55" s="202" t="s">
        <v>74</v>
      </c>
      <c r="D55" s="205">
        <f>TARGETS!L9</f>
        <v>405063284</v>
      </c>
      <c r="E55" s="205">
        <f>TARGETS!M9</f>
        <v>82869315.191524148</v>
      </c>
      <c r="F55" s="205">
        <f t="shared" si="0"/>
        <v>487932599.19152415</v>
      </c>
      <c r="G55" s="122">
        <f>M11</f>
        <v>21387387.039999999</v>
      </c>
      <c r="H55" s="122">
        <f t="shared" si="4"/>
        <v>594594.6</v>
      </c>
      <c r="I55" s="122">
        <f t="shared" si="1"/>
        <v>21981981.640000001</v>
      </c>
      <c r="J55" s="61">
        <f t="shared" si="2"/>
        <v>4.5051266663516359E-2</v>
      </c>
      <c r="K55" s="54">
        <f t="shared" si="3"/>
        <v>383675896.95999998</v>
      </c>
      <c r="L55" s="54">
        <f t="shared" si="3"/>
        <v>82274720.591524154</v>
      </c>
      <c r="M55" s="54">
        <f t="shared" si="3"/>
        <v>465950617.55152416</v>
      </c>
      <c r="N55" s="54">
        <f ca="1">IFERROR(M55/C3,0)</f>
        <v>22188124.645310674</v>
      </c>
    </row>
    <row r="56" spans="2:14" ht="20.100000000000001" customHeight="1" x14ac:dyDescent="0.25">
      <c r="B56" s="201" t="s">
        <v>75</v>
      </c>
      <c r="C56" s="202" t="s">
        <v>74</v>
      </c>
      <c r="D56" s="205">
        <f>TARGETS!L10</f>
        <v>473918832</v>
      </c>
      <c r="E56" s="205">
        <f>TARGETS!M10</f>
        <v>81239394.122653604</v>
      </c>
      <c r="F56" s="205">
        <f t="shared" si="0"/>
        <v>555158226.1226536</v>
      </c>
      <c r="G56" s="122">
        <f>M12</f>
        <v>56191655.338026002</v>
      </c>
      <c r="H56" s="122">
        <f t="shared" si="4"/>
        <v>19878088.459867999</v>
      </c>
      <c r="I56" s="122">
        <f t="shared" si="1"/>
        <v>76069743.797894001</v>
      </c>
      <c r="J56" s="61">
        <f t="shared" si="2"/>
        <v>0.13702353710793716</v>
      </c>
      <c r="K56" s="54">
        <f t="shared" si="3"/>
        <v>417727176.66197401</v>
      </c>
      <c r="L56" s="54">
        <f t="shared" si="3"/>
        <v>61361305.662785605</v>
      </c>
      <c r="M56" s="54">
        <f t="shared" si="3"/>
        <v>479088482.3247596</v>
      </c>
      <c r="N56" s="54">
        <f ca="1">IFERROR(M56/C3,0)</f>
        <v>22813737.253559981</v>
      </c>
    </row>
    <row r="57" spans="2:14" ht="20.100000000000001" customHeight="1" x14ac:dyDescent="0.25">
      <c r="B57" s="201" t="s">
        <v>76</v>
      </c>
      <c r="C57" s="202" t="s">
        <v>77</v>
      </c>
      <c r="D57" s="205">
        <f>TARGETS!L11</f>
        <v>961758345</v>
      </c>
      <c r="E57" s="205">
        <f>TARGETS!M11</f>
        <v>91928576.339156389</v>
      </c>
      <c r="F57" s="205">
        <f t="shared" si="0"/>
        <v>1053686921.3391564</v>
      </c>
      <c r="G57" s="122">
        <f>M13</f>
        <v>152304041.79159999</v>
      </c>
      <c r="H57" s="122">
        <f t="shared" si="4"/>
        <v>17140076.309966002</v>
      </c>
      <c r="I57" s="122">
        <f t="shared" si="1"/>
        <v>169444118.10156599</v>
      </c>
      <c r="J57" s="61">
        <f t="shared" si="2"/>
        <v>0.16081068737781742</v>
      </c>
      <c r="K57" s="54">
        <f t="shared" si="3"/>
        <v>809454303.20840001</v>
      </c>
      <c r="L57" s="54">
        <f t="shared" si="3"/>
        <v>74788500.029190391</v>
      </c>
      <c r="M57" s="54">
        <f t="shared" si="3"/>
        <v>884242803.23759043</v>
      </c>
      <c r="N57" s="54">
        <f ca="1">IFERROR(M57/C3,0)</f>
        <v>42106800.154170975</v>
      </c>
    </row>
    <row r="58" spans="2:14" ht="20.100000000000001" customHeight="1" x14ac:dyDescent="0.25">
      <c r="B58" s="201" t="s">
        <v>78</v>
      </c>
      <c r="C58" s="202" t="s">
        <v>79</v>
      </c>
      <c r="D58" s="205">
        <f>TARGETS!L12</f>
        <v>505287059</v>
      </c>
      <c r="E58" s="205">
        <f>TARGETS!M12</f>
        <v>63781404</v>
      </c>
      <c r="F58" s="205">
        <f t="shared" si="0"/>
        <v>569068463</v>
      </c>
      <c r="G58" s="122">
        <f>M14</f>
        <v>98086123.531784996</v>
      </c>
      <c r="H58" s="122">
        <f t="shared" si="4"/>
        <v>20422324.289864</v>
      </c>
      <c r="I58" s="122">
        <f>G58+H58</f>
        <v>118508447.821649</v>
      </c>
      <c r="J58" s="61">
        <f>IFERROR(I58/F58,0)</f>
        <v>0.20824989527077167</v>
      </c>
      <c r="K58" s="54">
        <f t="shared" si="3"/>
        <v>407200935.46821499</v>
      </c>
      <c r="L58" s="54">
        <f t="shared" si="3"/>
        <v>43359079.710135996</v>
      </c>
      <c r="M58" s="54">
        <f t="shared" si="3"/>
        <v>450560015.17835099</v>
      </c>
      <c r="N58" s="54">
        <f ca="1">IFERROR(M58/C3,0)</f>
        <v>21455238.818016715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68042438.249974996</v>
      </c>
      <c r="H59" s="122">
        <f>IF(D23="",0,D23)</f>
        <v>0</v>
      </c>
      <c r="I59" s="122">
        <f>G59+H59</f>
        <v>68042438.249974996</v>
      </c>
      <c r="J59" s="61">
        <f>IFERROR(I59/F59,0)</f>
        <v>0.16836617265810105</v>
      </c>
      <c r="K59" s="54">
        <f>D59-G59</f>
        <v>336091225.75002503</v>
      </c>
      <c r="L59" s="54">
        <f>E59-H59</f>
        <v>0</v>
      </c>
      <c r="M59" s="54">
        <f>F59-I59</f>
        <v>336091225.75002503</v>
      </c>
      <c r="N59" s="54">
        <f ca="1">IFERROR(M59/C3,0)</f>
        <v>16004344.083334526</v>
      </c>
    </row>
    <row r="60" spans="2:14" ht="20.100000000000001" customHeight="1" x14ac:dyDescent="0.25">
      <c r="B60" s="201" t="s">
        <v>80</v>
      </c>
      <c r="C60" s="202" t="s">
        <v>81</v>
      </c>
      <c r="D60" s="205">
        <f>TARGETS!L14</f>
        <v>404017309</v>
      </c>
      <c r="E60" s="205">
        <f>TARGETS!M14</f>
        <v>138464390.21799541</v>
      </c>
      <c r="F60" s="205">
        <f t="shared" si="0"/>
        <v>542481699.21799541</v>
      </c>
      <c r="G60" s="122">
        <f>M15</f>
        <v>86706793.804280996</v>
      </c>
      <c r="H60" s="122">
        <f t="shared" ref="H60:H64" si="5">N15</f>
        <v>23834171.600310002</v>
      </c>
      <c r="I60" s="122">
        <f t="shared" si="1"/>
        <v>110540965.40459099</v>
      </c>
      <c r="J60" s="61">
        <f t="shared" si="2"/>
        <v>0.20376902218810203</v>
      </c>
      <c r="K60" s="54">
        <f t="shared" si="3"/>
        <v>317310515.195719</v>
      </c>
      <c r="L60" s="54">
        <f t="shared" si="3"/>
        <v>114630218.61768541</v>
      </c>
      <c r="M60" s="54">
        <f t="shared" si="3"/>
        <v>431940733.81340444</v>
      </c>
      <c r="N60" s="54">
        <f ca="1">IFERROR(M60/C3,0)</f>
        <v>20568606.372066878</v>
      </c>
    </row>
    <row r="61" spans="2:14" ht="20.100000000000001" customHeight="1" x14ac:dyDescent="0.25">
      <c r="B61" s="201" t="s">
        <v>82</v>
      </c>
      <c r="C61" s="202" t="s">
        <v>83</v>
      </c>
      <c r="D61" s="205">
        <f>TARGETS!L15</f>
        <v>631629596</v>
      </c>
      <c r="E61" s="205">
        <f>TARGETS!M15</f>
        <v>58741600.610625267</v>
      </c>
      <c r="F61" s="205">
        <f t="shared" si="0"/>
        <v>690371196.61062527</v>
      </c>
      <c r="G61" s="122">
        <f>M16</f>
        <v>79658589.395199001</v>
      </c>
      <c r="H61" s="122">
        <f t="shared" si="5"/>
        <v>16881583.799972001</v>
      </c>
      <c r="I61" s="122">
        <f t="shared" si="1"/>
        <v>96540173.195170999</v>
      </c>
      <c r="J61" s="61">
        <f t="shared" si="2"/>
        <v>0.13983806634624185</v>
      </c>
      <c r="K61" s="54">
        <f t="shared" si="3"/>
        <v>551971006.60480094</v>
      </c>
      <c r="L61" s="54">
        <f t="shared" si="3"/>
        <v>41860016.810653269</v>
      </c>
      <c r="M61" s="54">
        <f t="shared" si="3"/>
        <v>593831023.41545427</v>
      </c>
      <c r="N61" s="54">
        <f ca="1">IFERROR(M61/C3,0)</f>
        <v>28277667.781688299</v>
      </c>
    </row>
    <row r="62" spans="2:14" ht="20.100000000000001" customHeight="1" x14ac:dyDescent="0.25">
      <c r="B62" s="201" t="s">
        <v>84</v>
      </c>
      <c r="C62" s="202" t="s">
        <v>85</v>
      </c>
      <c r="D62" s="205">
        <f>TARGETS!L16</f>
        <v>386543023</v>
      </c>
      <c r="E62" s="205">
        <f>TARGETS!M16</f>
        <v>63764154.799813807</v>
      </c>
      <c r="F62" s="205">
        <f t="shared" si="0"/>
        <v>450307177.79981381</v>
      </c>
      <c r="G62" s="122">
        <f>M17</f>
        <v>54174339.979146004</v>
      </c>
      <c r="H62" s="122">
        <f t="shared" si="5"/>
        <v>5380116.9003720004</v>
      </c>
      <c r="I62" s="122">
        <f t="shared" si="1"/>
        <v>59554456.879518002</v>
      </c>
      <c r="J62" s="61">
        <f t="shared" si="2"/>
        <v>0.13225295934765938</v>
      </c>
      <c r="K62" s="54">
        <f t="shared" si="3"/>
        <v>332368683.020854</v>
      </c>
      <c r="L62" s="54">
        <f t="shared" si="3"/>
        <v>58384037.899441808</v>
      </c>
      <c r="M62" s="54">
        <f t="shared" si="3"/>
        <v>390752720.92029583</v>
      </c>
      <c r="N62" s="54">
        <f ca="1">IFERROR(M62/C3,0)</f>
        <v>18607272.424775992</v>
      </c>
    </row>
    <row r="63" spans="2:14" ht="20.100000000000001" customHeight="1" x14ac:dyDescent="0.25">
      <c r="B63" s="201" t="s">
        <v>86</v>
      </c>
      <c r="C63" s="202" t="s">
        <v>87</v>
      </c>
      <c r="D63" s="205">
        <f>TARGETS!L17</f>
        <v>583350942</v>
      </c>
      <c r="E63" s="205">
        <f>TARGETS!M17</f>
        <v>329806944.99271739</v>
      </c>
      <c r="F63" s="205">
        <f t="shared" si="0"/>
        <v>913157886.99271739</v>
      </c>
      <c r="G63" s="122">
        <f>M18</f>
        <v>169536385.769223</v>
      </c>
      <c r="H63" s="122">
        <f t="shared" si="5"/>
        <v>85651530.428636</v>
      </c>
      <c r="I63" s="122">
        <f t="shared" si="1"/>
        <v>255187916.19785899</v>
      </c>
      <c r="J63" s="61">
        <f t="shared" si="2"/>
        <v>0.27945651002179228</v>
      </c>
      <c r="K63" s="54">
        <f t="shared" si="3"/>
        <v>413814556.23077703</v>
      </c>
      <c r="L63" s="54">
        <f t="shared" si="3"/>
        <v>244155414.56408137</v>
      </c>
      <c r="M63" s="54">
        <f t="shared" si="3"/>
        <v>657969970.79485846</v>
      </c>
      <c r="N63" s="54">
        <f ca="1">IFERROR(M63/C3,0)</f>
        <v>31331903.371183734</v>
      </c>
    </row>
    <row r="64" spans="2:14" ht="20.100000000000001" customHeight="1" x14ac:dyDescent="0.25">
      <c r="B64" s="201" t="s">
        <v>88</v>
      </c>
      <c r="C64" s="202" t="s">
        <v>89</v>
      </c>
      <c r="D64" s="205">
        <f>TARGETS!L18</f>
        <v>259525689</v>
      </c>
      <c r="E64" s="205">
        <f>TARGETS!M18</f>
        <v>257970031.90788639</v>
      </c>
      <c r="F64" s="205">
        <f t="shared" si="0"/>
        <v>517495720.90788639</v>
      </c>
      <c r="G64" s="122">
        <f>M19</f>
        <v>40531555.855117999</v>
      </c>
      <c r="H64" s="122">
        <f t="shared" si="5"/>
        <v>38541853.192187995</v>
      </c>
      <c r="I64" s="122">
        <f t="shared" si="1"/>
        <v>79073409.047306001</v>
      </c>
      <c r="J64" s="61">
        <f t="shared" si="2"/>
        <v>0.15280012153256234</v>
      </c>
      <c r="K64" s="54">
        <f t="shared" si="3"/>
        <v>218994133.14488199</v>
      </c>
      <c r="L64" s="54">
        <f t="shared" si="3"/>
        <v>219428178.71569839</v>
      </c>
      <c r="M64" s="54">
        <f t="shared" si="3"/>
        <v>438422311.86058038</v>
      </c>
      <c r="N64" s="54">
        <f ca="1">IFERROR(M64/C3,0)</f>
        <v>20877252.945741922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1118215153.6377149</v>
      </c>
      <c r="H65" s="152">
        <f>SUM(H51:H64)</f>
        <v>270879795.56390703</v>
      </c>
      <c r="I65" s="152">
        <f>SUM(I51:I64)</f>
        <v>1389094949.201622</v>
      </c>
      <c r="J65" s="153">
        <f>IFERROR(I65/F65,0)</f>
        <v>0.16706808251928015</v>
      </c>
      <c r="K65" s="154">
        <f>SUM(K51:K64)</f>
        <v>5721064178.3622847</v>
      </c>
      <c r="L65" s="154">
        <f>SUM(L51:L64)</f>
        <v>1204385028.6564546</v>
      </c>
      <c r="M65" s="154">
        <f>SUM(M51:M64)</f>
        <v>6925449207.0187397</v>
      </c>
      <c r="N65" s="154">
        <f ca="1">IFERROR(M65/C3,0)</f>
        <v>329783295.57232094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4" t="s">
        <v>41</v>
      </c>
      <c r="C68" s="224" t="s">
        <v>42</v>
      </c>
      <c r="D68" s="134" t="s">
        <v>139</v>
      </c>
    </row>
    <row r="69" spans="2:14" ht="18" customHeight="1" x14ac:dyDescent="0.25">
      <c r="B69" s="224"/>
      <c r="C69" s="224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204">
        <v>8419819.6199999992</v>
      </c>
    </row>
    <row r="71" spans="2:14" ht="20.100000000000001" customHeight="1" x14ac:dyDescent="0.25">
      <c r="B71" s="201" t="s">
        <v>69</v>
      </c>
      <c r="C71" s="202" t="s">
        <v>70</v>
      </c>
      <c r="D71" s="204">
        <v>9592792.6799999997</v>
      </c>
    </row>
    <row r="72" spans="2:14" ht="20.100000000000001" customHeight="1" x14ac:dyDescent="0.25">
      <c r="B72" s="201" t="s">
        <v>176</v>
      </c>
      <c r="C72" s="202" t="s">
        <v>177</v>
      </c>
      <c r="D72" s="204">
        <v>4036035.92</v>
      </c>
    </row>
    <row r="73" spans="2:14" ht="20.100000000000001" customHeight="1" x14ac:dyDescent="0.25">
      <c r="B73" s="201" t="s">
        <v>71</v>
      </c>
      <c r="C73" s="202" t="s">
        <v>72</v>
      </c>
      <c r="D73" s="204">
        <v>15773873.699999999</v>
      </c>
    </row>
    <row r="74" spans="2:14" ht="20.100000000000001" customHeight="1" x14ac:dyDescent="0.25">
      <c r="B74" s="201" t="s">
        <v>73</v>
      </c>
      <c r="C74" s="202" t="s">
        <v>74</v>
      </c>
      <c r="D74" s="204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204">
        <v>7175675.5999999996</v>
      </c>
    </row>
    <row r="76" spans="2:14" ht="20.100000000000001" customHeight="1" x14ac:dyDescent="0.25">
      <c r="B76" s="201" t="s">
        <v>76</v>
      </c>
      <c r="C76" s="202" t="s">
        <v>77</v>
      </c>
      <c r="D76" s="204">
        <v>235554977.329956</v>
      </c>
    </row>
    <row r="77" spans="2:14" ht="20.100000000000001" customHeight="1" x14ac:dyDescent="0.25">
      <c r="B77" s="201" t="s">
        <v>78</v>
      </c>
      <c r="C77" s="202" t="s">
        <v>79</v>
      </c>
      <c r="D77" s="204">
        <v>12157657.52</v>
      </c>
    </row>
    <row r="78" spans="2:14" ht="20.100000000000001" customHeight="1" x14ac:dyDescent="0.25">
      <c r="B78" s="201" t="s">
        <v>176</v>
      </c>
      <c r="C78" s="202" t="s">
        <v>178</v>
      </c>
      <c r="D78" s="204">
        <v>1441441.4</v>
      </c>
    </row>
    <row r="79" spans="2:14" ht="20.100000000000001" customHeight="1" x14ac:dyDescent="0.25">
      <c r="B79" s="201" t="s">
        <v>80</v>
      </c>
      <c r="C79" s="202" t="s">
        <v>81</v>
      </c>
      <c r="D79" s="204">
        <v>2972973</v>
      </c>
    </row>
    <row r="80" spans="2:14" ht="20.100000000000001" customHeight="1" x14ac:dyDescent="0.25">
      <c r="B80" s="201" t="s">
        <v>82</v>
      </c>
      <c r="C80" s="202" t="s">
        <v>83</v>
      </c>
      <c r="D80" s="204">
        <v>61576576.450000003</v>
      </c>
    </row>
    <row r="81" spans="2:9" ht="20.100000000000001" customHeight="1" x14ac:dyDescent="0.25">
      <c r="B81" s="201" t="s">
        <v>84</v>
      </c>
      <c r="C81" s="202" t="s">
        <v>85</v>
      </c>
      <c r="D81" s="204">
        <v>40139638.439999998</v>
      </c>
    </row>
    <row r="82" spans="2:9" ht="20.100000000000001" customHeight="1" x14ac:dyDescent="0.25">
      <c r="B82" s="201" t="s">
        <v>86</v>
      </c>
      <c r="C82" s="202" t="s">
        <v>87</v>
      </c>
      <c r="D82" s="204">
        <v>4259459.54</v>
      </c>
    </row>
    <row r="83" spans="2:9" ht="20.100000000000001" customHeight="1" x14ac:dyDescent="0.25">
      <c r="B83" s="201" t="s">
        <v>88</v>
      </c>
      <c r="C83" s="202" t="s">
        <v>89</v>
      </c>
      <c r="D83" s="204">
        <v>21881081.52</v>
      </c>
    </row>
    <row r="84" spans="2:9" ht="20.100000000000001" customHeight="1" x14ac:dyDescent="0.25">
      <c r="B84" s="57" t="s">
        <v>152</v>
      </c>
      <c r="C84" s="58"/>
      <c r="D84" s="129">
        <f>SUM(D70:D83)</f>
        <v>424982002.71995592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100116365.515632</v>
      </c>
      <c r="F89" s="61">
        <f t="shared" ref="F89:F94" si="7">IFERROR(E89/D89,0)</f>
        <v>0.36004712239268455</v>
      </c>
      <c r="G89" s="125">
        <f>D89-E89</f>
        <v>177948252.38857755</v>
      </c>
      <c r="H89" s="125">
        <f ca="1">IFERROR(G89/C3,0)</f>
        <v>8473726.3042179793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42117487.793516003</v>
      </c>
      <c r="F90" s="61">
        <f t="shared" si="7"/>
        <v>0.10085157249875584</v>
      </c>
      <c r="G90" s="126">
        <f>D90-E90</f>
        <v>375501065.39300561</v>
      </c>
      <c r="H90" s="126">
        <f ca="1">IFERROR(G90/C3,0)</f>
        <v>17881003.113952648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123951644.45549099</v>
      </c>
      <c r="F91" s="61">
        <f t="shared" si="7"/>
        <v>0.11399995538632461</v>
      </c>
      <c r="G91" s="125">
        <f>D91-E91</f>
        <v>963343907.85803378</v>
      </c>
      <c r="H91" s="125">
        <f ca="1">IFERROR(G91/C3,0)</f>
        <v>45873519.421811134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266185497.76463902</v>
      </c>
      <c r="F94" s="43">
        <f t="shared" si="7"/>
        <v>0.14929258227849679</v>
      </c>
      <c r="G94" s="119">
        <f>SUM(G89:G93)</f>
        <v>1516793225.639617</v>
      </c>
      <c r="H94" s="119">
        <f ca="1">IFERROR(G94/C3,0)</f>
        <v>72228248.839981765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160</v>
      </c>
      <c r="C41" s="226"/>
      <c r="D41" s="227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179</v>
      </c>
      <c r="C41" s="226"/>
      <c r="D41" s="227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163</v>
      </c>
      <c r="C41" s="226"/>
      <c r="D41" s="227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165</v>
      </c>
      <c r="C41" s="226"/>
      <c r="D41" s="227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167</v>
      </c>
      <c r="C41" s="226"/>
      <c r="D41" s="227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180</v>
      </c>
      <c r="C41" s="226"/>
      <c r="D41" s="227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182</v>
      </c>
      <c r="C41" s="226"/>
      <c r="D41" s="227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2026-05-07T00:57:15Z</dcterms:modified>
  <dc:language>en-US</dc:language>
</cp:coreProperties>
</file>